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timelines/timeline2.xml" ContentType="application/vnd.ms-excel.timelin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CURSOS\CET-Colcubsidio\Fundamentos para el analisis y organización de datos\Ejercicios\"/>
    </mc:Choice>
  </mc:AlternateContent>
  <xr:revisionPtr revIDLastSave="0" documentId="13_ncr:1_{F58C5790-7D5C-4041-BAB4-5A709C1CDE85}" xr6:coauthVersionLast="47" xr6:coauthVersionMax="47" xr10:uidLastSave="{00000000-0000-0000-0000-000000000000}"/>
  <bookViews>
    <workbookView xWindow="-108" yWindow="-108" windowWidth="23256" windowHeight="12456" activeTab="2" xr2:uid="{9BF13FE8-9AD9-4D2C-8FF9-0441F8DB2882}"/>
  </bookViews>
  <sheets>
    <sheet name="Hoja1" sheetId="1" r:id="rId1"/>
    <sheet name="Hoja2" sheetId="2" r:id="rId2"/>
    <sheet name="DashBoard" sheetId="3" r:id="rId3"/>
  </sheets>
  <definedNames>
    <definedName name="NativeTimeline_Fecha">#N/A</definedName>
    <definedName name="SegmentaciónDeDatos_Fp">#N/A</definedName>
  </definedNames>
  <calcPr calcId="191029"/>
  <pivotCaches>
    <pivotCache cacheId="2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6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<sst xmlns="http://schemas.openxmlformats.org/spreadsheetml/2006/main" count="876" uniqueCount="122">
  <si>
    <t>No Aportes</t>
  </si>
  <si>
    <t>Razon Social</t>
  </si>
  <si>
    <t>País</t>
  </si>
  <si>
    <t xml:space="preserve">Contacto </t>
  </si>
  <si>
    <t>Fp</t>
  </si>
  <si>
    <t>Compañía</t>
  </si>
  <si>
    <t>Fecha</t>
  </si>
  <si>
    <t>Aporte</t>
  </si>
  <si>
    <t>Bono</t>
  </si>
  <si>
    <t>Total</t>
  </si>
  <si>
    <t>TCC</t>
  </si>
  <si>
    <t>DEPRISA</t>
  </si>
  <si>
    <t>cheque</t>
  </si>
  <si>
    <t>éfectivo</t>
  </si>
  <si>
    <t>Camilo</t>
  </si>
  <si>
    <t>Gladys</t>
  </si>
  <si>
    <t>Wilson</t>
  </si>
  <si>
    <t>Ingrid</t>
  </si>
  <si>
    <t>Marcela</t>
  </si>
  <si>
    <t>Estados Unidos</t>
  </si>
  <si>
    <t>Venezuela</t>
  </si>
  <si>
    <t>Alemania</t>
  </si>
  <si>
    <t>Canadá</t>
  </si>
  <si>
    <t>Suecia</t>
  </si>
  <si>
    <t>Francia</t>
  </si>
  <si>
    <t>Reino Unido</t>
  </si>
  <si>
    <t>España</t>
  </si>
  <si>
    <t>México</t>
  </si>
  <si>
    <t>Brasil</t>
  </si>
  <si>
    <t>Finlandia</t>
  </si>
  <si>
    <t>Austria</t>
  </si>
  <si>
    <t>Argentina</t>
  </si>
  <si>
    <t>Bélgica</t>
  </si>
  <si>
    <t>Polonia</t>
  </si>
  <si>
    <t>Italia</t>
  </si>
  <si>
    <t>Suiza</t>
  </si>
  <si>
    <t>Portugal</t>
  </si>
  <si>
    <t>Noruega</t>
  </si>
  <si>
    <t>Dinamarca</t>
  </si>
  <si>
    <t>Hungry Coyote Import Store</t>
  </si>
  <si>
    <t>LILA-Supermercado</t>
  </si>
  <si>
    <t>Drachenblut Delikatessen</t>
  </si>
  <si>
    <t>Bottom-Dollar Markets</t>
  </si>
  <si>
    <t>Split Rail Beer &amp; Ale</t>
  </si>
  <si>
    <t>Folk och fä HB</t>
  </si>
  <si>
    <t>Toms Spezialitäten</t>
  </si>
  <si>
    <t>Berglunds snabbköp</t>
  </si>
  <si>
    <t>Blondel père et fils</t>
  </si>
  <si>
    <t>Königlich Essen</t>
  </si>
  <si>
    <t>B's Beverages</t>
  </si>
  <si>
    <t>Laughing Bacchus Wine Cellars</t>
  </si>
  <si>
    <t>Mère Paillarde</t>
  </si>
  <si>
    <t>North/South</t>
  </si>
  <si>
    <t>Galería del gastronómo</t>
  </si>
  <si>
    <t>Tortuga Restaurante</t>
  </si>
  <si>
    <t>Blauer See Delikatessen</t>
  </si>
  <si>
    <t>Old World Delicatessen</t>
  </si>
  <si>
    <t>Wellington Importadora</t>
  </si>
  <si>
    <t>Lonesome Pine Restaurant</t>
  </si>
  <si>
    <t>Antonio Moreno Taquería</t>
  </si>
  <si>
    <t>Morgenstern Gesundkost</t>
  </si>
  <si>
    <t>Vins et alcools Chevalier</t>
  </si>
  <si>
    <t>Ana Trujillo Emparedados y hel</t>
  </si>
  <si>
    <t>Folies gourmandes</t>
  </si>
  <si>
    <t>QUICK-Stop</t>
  </si>
  <si>
    <t>Around the Horn</t>
  </si>
  <si>
    <t>Victuailles en stock</t>
  </si>
  <si>
    <t>Rattlesnake Canyon Grocery</t>
  </si>
  <si>
    <t>Tradição Hipermercados</t>
  </si>
  <si>
    <t>France restauration</t>
  </si>
  <si>
    <t>Wilman Kala</t>
  </si>
  <si>
    <t>Hanari Carnes</t>
  </si>
  <si>
    <t>Lehmanns Marktstand</t>
  </si>
  <si>
    <t>Great Lakes Food Market</t>
  </si>
  <si>
    <t>Godos Cocina Típica</t>
  </si>
  <si>
    <t>The Cracker Box</t>
  </si>
  <si>
    <t>Piccolo und mehr</t>
  </si>
  <si>
    <t>Rancho grande</t>
  </si>
  <si>
    <t>La maison d'Asie</t>
  </si>
  <si>
    <t>Trail's Head Gourmet Provision</t>
  </si>
  <si>
    <t>HILARIÓN-Abastos</t>
  </si>
  <si>
    <t>Island Trading</t>
  </si>
  <si>
    <t>Que Delícia</t>
  </si>
  <si>
    <t>Gourmet Lanchonetes</t>
  </si>
  <si>
    <t>Familia Arquibaldo</t>
  </si>
  <si>
    <t>Bon app'</t>
  </si>
  <si>
    <t>Suprêmes délices</t>
  </si>
  <si>
    <t>LINO-Delicateses</t>
  </si>
  <si>
    <t>White Clover Markets</t>
  </si>
  <si>
    <t>Save-a-lot Markets</t>
  </si>
  <si>
    <t>Océano Atlántico Ltda.</t>
  </si>
  <si>
    <t>Wolski Zajazd</t>
  </si>
  <si>
    <t>Reggiani Caseifici</t>
  </si>
  <si>
    <t>Romero y tomillo</t>
  </si>
  <si>
    <t>Richter Supermarkt</t>
  </si>
  <si>
    <t>La corne d'abondance</t>
  </si>
  <si>
    <t>Princesa Isabel Vinhos</t>
  </si>
  <si>
    <t>Ricardo Adocicados</t>
  </si>
  <si>
    <t>Maison Dewey</t>
  </si>
  <si>
    <t>Frankenversand</t>
  </si>
  <si>
    <t>Spécialités du monde</t>
  </si>
  <si>
    <t>Wartian Herkku</t>
  </si>
  <si>
    <t>Cactus Comidas para llevar</t>
  </si>
  <si>
    <t>Santé Gourmet</t>
  </si>
  <si>
    <t>Ottilies Käseladen</t>
  </si>
  <si>
    <t>Franchi S.p.A.</t>
  </si>
  <si>
    <t>Pericles Comidas clásicas</t>
  </si>
  <si>
    <t>Seven Seas Imports</t>
  </si>
  <si>
    <t>Lazy K Kountry Store</t>
  </si>
  <si>
    <t>Let's Stop N Shop</t>
  </si>
  <si>
    <t>Furia Bacalhau e Frutos do Mar</t>
  </si>
  <si>
    <t>Chop-suey Chinese</t>
  </si>
  <si>
    <t>GROSELLA-Restaurante</t>
  </si>
  <si>
    <t>Vaffeljernet</t>
  </si>
  <si>
    <t>Magazzini Alimentari Riuniti</t>
  </si>
  <si>
    <t>Comércio Mineiro</t>
  </si>
  <si>
    <t>The Big Cheese</t>
  </si>
  <si>
    <t>Etiquetas de fila</t>
  </si>
  <si>
    <t>Total general</t>
  </si>
  <si>
    <t>Suma de Total</t>
  </si>
  <si>
    <t>Etiquetas de columna</t>
  </si>
  <si>
    <r>
      <rPr>
        <b/>
        <sz val="18"/>
        <color rgb="FF002060"/>
        <rFont val="Algerian"/>
        <family val="5"/>
      </rPr>
      <t>Dashboard</t>
    </r>
    <r>
      <rPr>
        <sz val="11"/>
        <color rgb="FF002060"/>
        <rFont val="Aptos Narrow"/>
        <family val="2"/>
        <scheme val="minor"/>
      </rPr>
      <t xml:space="preserve">
</t>
    </r>
    <r>
      <rPr>
        <b/>
        <sz val="11"/>
        <color rgb="FF002060"/>
        <rFont val="Aptos Narrow"/>
        <family val="2"/>
        <scheme val="minor"/>
      </rPr>
      <t>Análisis De Datos - Aportes En Dolares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</si>
</sst>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&quot;$&quot;\ 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206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8"/>
      <color rgb="FF002060"/>
      <name val="Algerian"/>
      <family val="5"/>
    </font>
    <font>
      <sz val="11"/>
      <color rgb="FF002060"/>
      <name val="Aptos Narrow"/>
      <family val="5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4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44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5" fillId="3" borderId="0" xfId="0" applyFont="1" applyFill="1" applyAlignment="1">
      <alignment horizontal="left" wrapText="1"/>
    </xf>
    <xf numFmtId="0" fontId="0" fillId="3" borderId="0" xfId="0" applyFill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numFmt numFmtId="34" formatCode="_-&quot;$&quot;\ * #,##0.00_-;\-&quot;$&quot;\ * #,##0.00_-;_-&quot;$&quot;\ * &quot;-&quot;??_-;_-@_-"/>
    </dxf>
    <dxf>
      <numFmt numFmtId="164" formatCode="&quot;$&quot;\ #,##0.00"/>
    </dxf>
    <dxf>
      <numFmt numFmtId="164" formatCode="&quot;$&quot;\ #,##0.00"/>
    </dxf>
    <dxf>
      <numFmt numFmtId="34" formatCode="_-&quot;$&quot;\ * #,##0.00_-;\-&quot;$&quot;\ * #,##0.00_-;_-&quot;$&quot;\ * &quot;-&quot;??_-;_-@_-"/>
    </dxf>
    <dxf>
      <numFmt numFmtId="19" formatCode="d/mm/yyyy"/>
    </dxf>
    <dxf>
      <numFmt numFmtId="30" formatCode="@"/>
      <alignment horizontal="center"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1/relationships/timelineCache" Target="timelineCaches/timelineCach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[ProyectoFinalA.xlsx]Hoja2!TablaDinámica2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Total Aportes x País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Hoja2!$B$3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Hoja2!$A$4:$A$11</c:f>
              <c:strCache>
                <c:ptCount val="7"/>
                <c:pt idx="0">
                  <c:v>Alemania</c:v>
                </c:pt>
                <c:pt idx="1">
                  <c:v>Argentina</c:v>
                </c:pt>
                <c:pt idx="2">
                  <c:v>Canadá</c:v>
                </c:pt>
                <c:pt idx="3">
                  <c:v>Estados Unidos</c:v>
                </c:pt>
                <c:pt idx="4">
                  <c:v>Francia</c:v>
                </c:pt>
                <c:pt idx="5">
                  <c:v>Reino Unido</c:v>
                </c:pt>
                <c:pt idx="6">
                  <c:v>Suecia</c:v>
                </c:pt>
              </c:strCache>
            </c:strRef>
          </c:cat>
          <c:val>
            <c:numRef>
              <c:f>Hoja2!$B$4:$B$11</c:f>
              <c:numCache>
                <c:formatCode>_("$"* #,##0.00_);_("$"* \(#,##0.00\);_("$"* "-"??_);_(@_)</c:formatCode>
                <c:ptCount val="7"/>
                <c:pt idx="0">
                  <c:v>539.48928000000001</c:v>
                </c:pt>
                <c:pt idx="1">
                  <c:v>645.34367999999995</c:v>
                </c:pt>
                <c:pt idx="2">
                  <c:v>731.45519999999999</c:v>
                </c:pt>
                <c:pt idx="3">
                  <c:v>285.25952000000001</c:v>
                </c:pt>
                <c:pt idx="4">
                  <c:v>1456.93776</c:v>
                </c:pt>
                <c:pt idx="5">
                  <c:v>418.33855999999997</c:v>
                </c:pt>
                <c:pt idx="6">
                  <c:v>529.84064000000001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7F-460E-A670-F1EBE7222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3102848"/>
        <c:axId val="1633103328"/>
      </c:lineChart>
      <c:catAx>
        <c:axId val="16331028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33103328"/>
        <c:crosses val="autoZero"/>
        <c:auto val="1"/>
        <c:lblAlgn val="ctr"/>
        <c:lblOffset val="100"/>
        <c:noMultiLvlLbl val="0"/>
      </c:catAx>
      <c:valAx>
        <c:axId val="16331033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3310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[ProyectoFinalA.xlsx]Hoja2!TablaDinámica3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% AportesxPaís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Hoja2!$B$28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5F64-47FB-A233-C05255630B3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5F64-47FB-A233-C05255630B3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5F64-47FB-A233-C05255630B3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5F64-47FB-A233-C05255630B3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5F64-47FB-A233-C05255630B3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5F64-47FB-A233-C05255630B38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5F64-47FB-A233-C05255630B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Hoja2!$A$29:$A$36</c:f>
              <c:strCache>
                <c:ptCount val="7"/>
                <c:pt idx="0">
                  <c:v>Alemania</c:v>
                </c:pt>
                <c:pt idx="1">
                  <c:v>Argentina</c:v>
                </c:pt>
                <c:pt idx="2">
                  <c:v>Canadá</c:v>
                </c:pt>
                <c:pt idx="3">
                  <c:v>Estados Unidos</c:v>
                </c:pt>
                <c:pt idx="4">
                  <c:v>Francia</c:v>
                </c:pt>
                <c:pt idx="5">
                  <c:v>Reino Unido</c:v>
                </c:pt>
                <c:pt idx="6">
                  <c:v>Suecia</c:v>
                </c:pt>
              </c:strCache>
            </c:strRef>
          </c:cat>
          <c:val>
            <c:numRef>
              <c:f>Hoja2!$B$29:$B$36</c:f>
              <c:numCache>
                <c:formatCode>0.00%</c:formatCode>
                <c:ptCount val="7"/>
                <c:pt idx="0">
                  <c:v>0.1171106043438838</c:v>
                </c:pt>
                <c:pt idx="1">
                  <c:v>0.14008913833154563</c:v>
                </c:pt>
                <c:pt idx="2">
                  <c:v>0.15878195118627081</c:v>
                </c:pt>
                <c:pt idx="3">
                  <c:v>6.1923222611663775E-2</c:v>
                </c:pt>
                <c:pt idx="4">
                  <c:v>0.31626738081806616</c:v>
                </c:pt>
                <c:pt idx="5">
                  <c:v>9.0811594221019726E-2</c:v>
                </c:pt>
                <c:pt idx="6">
                  <c:v>0.11501610848754988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CC-41A6-A343-4ACCD36E177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[ProyectoFinalA.xlsx]Hoja2!TablaDinámica4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Aportes x Contacto y Forma De Pago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Hoja2!$B$55:$B$56</c:f>
              <c:strCache>
                <c:ptCount val="1"/>
                <c:pt idx="0">
                  <c:v>cheque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Hoja2!$A$57:$A$60</c:f>
              <c:strCache>
                <c:ptCount val="3"/>
                <c:pt idx="0">
                  <c:v>Camilo</c:v>
                </c:pt>
                <c:pt idx="1">
                  <c:v>Gladys</c:v>
                </c:pt>
                <c:pt idx="2">
                  <c:v>Marcela</c:v>
                </c:pt>
              </c:strCache>
            </c:strRef>
          </c:cat>
          <c:val>
            <c:numRef>
              <c:f>Hoja2!$B$57:$B$60</c:f>
              <c:numCache>
                <c:formatCode>"$"\ #,##0.00</c:formatCode>
                <c:ptCount val="3"/>
                <c:pt idx="0">
                  <c:v>1991.0806400000001</c:v>
                </c:pt>
                <c:pt idx="1">
                  <c:v>1785.8662399999998</c:v>
                </c:pt>
                <c:pt idx="2">
                  <c:v>418.33855999999997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46-4039-97CC-8F8AFAB7578B}"/>
            </c:ext>
          </c:extLst>
        </c:ser>
        <c:ser>
          <c:idx val="1"/>
          <c:order val="1"/>
          <c:tx>
            <c:strRef>
              <c:f>Hoja2!$C$55:$C$56</c:f>
              <c:strCache>
                <c:ptCount val="1"/>
                <c:pt idx="0">
                  <c:v>éfectivo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Hoja2!$A$57:$A$60</c:f>
              <c:strCache>
                <c:ptCount val="3"/>
                <c:pt idx="0">
                  <c:v>Camilo</c:v>
                </c:pt>
                <c:pt idx="1">
                  <c:v>Gladys</c:v>
                </c:pt>
                <c:pt idx="2">
                  <c:v>Marcela</c:v>
                </c:pt>
              </c:strCache>
            </c:strRef>
          </c:cat>
          <c:val>
            <c:numRef>
              <c:f>Hoja2!$C$57:$C$60</c:f>
              <c:numCache>
                <c:formatCode>"$"\ #,##0.00</c:formatCode>
                <c:ptCount val="3"/>
                <c:pt idx="0">
                  <c:v>232.512</c:v>
                </c:pt>
                <c:pt idx="1">
                  <c:v>178.8672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46-4039-97CC-8F8AFAB7578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41044288"/>
        <c:axId val="1741046688"/>
        <c:axId val="0"/>
      </c:bar3DChart>
      <c:catAx>
        <c:axId val="174104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1046688"/>
        <c:crosses val="autoZero"/>
        <c:auto val="1"/>
        <c:lblAlgn val="ctr"/>
        <c:lblOffset val="100"/>
        <c:noMultiLvlLbl val="0"/>
      </c:catAx>
      <c:valAx>
        <c:axId val="174104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104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[ProyectoFinalA.xlsx]Hoja2!TablaDinámica2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Total Aportes x País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Hoja2!$B$3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Hoja2!$A$4:$A$11</c:f>
              <c:strCache>
                <c:ptCount val="7"/>
                <c:pt idx="0">
                  <c:v>Alemania</c:v>
                </c:pt>
                <c:pt idx="1">
                  <c:v>Argentina</c:v>
                </c:pt>
                <c:pt idx="2">
                  <c:v>Canadá</c:v>
                </c:pt>
                <c:pt idx="3">
                  <c:v>Estados Unidos</c:v>
                </c:pt>
                <c:pt idx="4">
                  <c:v>Francia</c:v>
                </c:pt>
                <c:pt idx="5">
                  <c:v>Reino Unido</c:v>
                </c:pt>
                <c:pt idx="6">
                  <c:v>Suecia</c:v>
                </c:pt>
              </c:strCache>
            </c:strRef>
          </c:cat>
          <c:val>
            <c:numRef>
              <c:f>Hoja2!$B$4:$B$11</c:f>
              <c:numCache>
                <c:formatCode>_("$"* #,##0.00_);_("$"* \(#,##0.00\);_("$"* "-"??_);_(@_)</c:formatCode>
                <c:ptCount val="7"/>
                <c:pt idx="0">
                  <c:v>539.48928000000001</c:v>
                </c:pt>
                <c:pt idx="1">
                  <c:v>645.34367999999995</c:v>
                </c:pt>
                <c:pt idx="2">
                  <c:v>731.45519999999999</c:v>
                </c:pt>
                <c:pt idx="3">
                  <c:v>285.25952000000001</c:v>
                </c:pt>
                <c:pt idx="4">
                  <c:v>1456.93776</c:v>
                </c:pt>
                <c:pt idx="5">
                  <c:v>418.33855999999997</c:v>
                </c:pt>
                <c:pt idx="6">
                  <c:v>529.84064000000001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3-4E7F-8194-F70390D38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3102848"/>
        <c:axId val="1633103328"/>
      </c:lineChart>
      <c:catAx>
        <c:axId val="16331028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33103328"/>
        <c:crosses val="autoZero"/>
        <c:auto val="1"/>
        <c:lblAlgn val="ctr"/>
        <c:lblOffset val="100"/>
        <c:noMultiLvlLbl val="0"/>
      </c:catAx>
      <c:valAx>
        <c:axId val="16331033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3310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[ProyectoFinalA.xlsx]Hoja2!TablaDinámica4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Aportes x Contacto y Forma De Pago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Hoja2!$B$55:$B$56</c:f>
              <c:strCache>
                <c:ptCount val="1"/>
                <c:pt idx="0">
                  <c:v>cheque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Hoja2!$A$57:$A$60</c:f>
              <c:strCache>
                <c:ptCount val="3"/>
                <c:pt idx="0">
                  <c:v>Camilo</c:v>
                </c:pt>
                <c:pt idx="1">
                  <c:v>Gladys</c:v>
                </c:pt>
                <c:pt idx="2">
                  <c:v>Marcela</c:v>
                </c:pt>
              </c:strCache>
            </c:strRef>
          </c:cat>
          <c:val>
            <c:numRef>
              <c:f>Hoja2!$B$57:$B$60</c:f>
              <c:numCache>
                <c:formatCode>"$"\ #,##0.00</c:formatCode>
                <c:ptCount val="3"/>
                <c:pt idx="0">
                  <c:v>1991.0806400000001</c:v>
                </c:pt>
                <c:pt idx="1">
                  <c:v>1785.8662399999998</c:v>
                </c:pt>
                <c:pt idx="2">
                  <c:v>418.33855999999997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BB-4986-AF2A-91E953ECFE69}"/>
            </c:ext>
          </c:extLst>
        </c:ser>
        <c:ser>
          <c:idx val="1"/>
          <c:order val="1"/>
          <c:tx>
            <c:strRef>
              <c:f>Hoja2!$C$55:$C$56</c:f>
              <c:strCache>
                <c:ptCount val="1"/>
                <c:pt idx="0">
                  <c:v>éfectivo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Hoja2!$A$57:$A$60</c:f>
              <c:strCache>
                <c:ptCount val="3"/>
                <c:pt idx="0">
                  <c:v>Camilo</c:v>
                </c:pt>
                <c:pt idx="1">
                  <c:v>Gladys</c:v>
                </c:pt>
                <c:pt idx="2">
                  <c:v>Marcela</c:v>
                </c:pt>
              </c:strCache>
            </c:strRef>
          </c:cat>
          <c:val>
            <c:numRef>
              <c:f>Hoja2!$C$57:$C$60</c:f>
              <c:numCache>
                <c:formatCode>"$"\ #,##0.00</c:formatCode>
                <c:ptCount val="3"/>
                <c:pt idx="0">
                  <c:v>232.512</c:v>
                </c:pt>
                <c:pt idx="1">
                  <c:v>178.8672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8BB-4986-AF2A-91E953ECFE6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41044288"/>
        <c:axId val="1741046688"/>
        <c:axId val="0"/>
      </c:bar3DChart>
      <c:catAx>
        <c:axId val="174104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1046688"/>
        <c:crosses val="autoZero"/>
        <c:auto val="1"/>
        <c:lblAlgn val="ctr"/>
        <c:lblOffset val="100"/>
        <c:noMultiLvlLbl val="0"/>
      </c:catAx>
      <c:valAx>
        <c:axId val="174104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104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[ProyectoFinalA.xlsx]Hoja2!TablaDinámica3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% AportesxPaís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5"/>
      </c:pivotFmt>
      <c:pivotFmt>
        <c:idx val="26"/>
      </c:pivotFmt>
      <c:pivotFmt>
        <c:idx val="27"/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9"/>
      </c:pivotFmt>
      <c:pivotFmt>
        <c:idx val="30"/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2"/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1"/>
      </c:pivotFmt>
      <c:pivotFmt>
        <c:idx val="42"/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Hoja2!$B$28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E015-400E-BB4C-A8DA7F5CE20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E015-400E-BB4C-A8DA7F5CE20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E015-400E-BB4C-A8DA7F5CE20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E015-400E-BB4C-A8DA7F5CE20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E015-400E-BB4C-A8DA7F5CE20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E015-400E-BB4C-A8DA7F5CE202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E015-400E-BB4C-A8DA7F5CE202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E015-400E-BB4C-A8DA7F5CE202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E015-400E-BB4C-A8DA7F5CE202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E015-400E-BB4C-A8DA7F5CE202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E015-400E-BB4C-A8DA7F5CE202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E015-400E-BB4C-A8DA7F5CE202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E015-400E-BB4C-A8DA7F5CE202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E015-400E-BB4C-A8DA7F5CE202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E015-400E-BB4C-A8DA7F5CE202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E015-400E-BB4C-A8DA7F5CE202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E015-400E-BB4C-A8DA7F5CE202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E015-400E-BB4C-A8DA7F5CE202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E015-400E-BB4C-A8DA7F5CE202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7-E015-400E-BB4C-A8DA7F5CE2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Hoja2!$A$29:$A$36</c:f>
              <c:strCache>
                <c:ptCount val="7"/>
                <c:pt idx="0">
                  <c:v>Alemania</c:v>
                </c:pt>
                <c:pt idx="1">
                  <c:v>Argentina</c:v>
                </c:pt>
                <c:pt idx="2">
                  <c:v>Canadá</c:v>
                </c:pt>
                <c:pt idx="3">
                  <c:v>Estados Unidos</c:v>
                </c:pt>
                <c:pt idx="4">
                  <c:v>Francia</c:v>
                </c:pt>
                <c:pt idx="5">
                  <c:v>Reino Unido</c:v>
                </c:pt>
                <c:pt idx="6">
                  <c:v>Suecia</c:v>
                </c:pt>
              </c:strCache>
            </c:strRef>
          </c:cat>
          <c:val>
            <c:numRef>
              <c:f>Hoja2!$B$29:$B$36</c:f>
              <c:numCache>
                <c:formatCode>0.00%</c:formatCode>
                <c:ptCount val="7"/>
                <c:pt idx="0">
                  <c:v>0.1171106043438838</c:v>
                </c:pt>
                <c:pt idx="1">
                  <c:v>0.14008913833154563</c:v>
                </c:pt>
                <c:pt idx="2">
                  <c:v>0.15878195118627081</c:v>
                </c:pt>
                <c:pt idx="3">
                  <c:v>6.1923222611663775E-2</c:v>
                </c:pt>
                <c:pt idx="4">
                  <c:v>0.31626738081806616</c:v>
                </c:pt>
                <c:pt idx="5">
                  <c:v>9.0811594221019726E-2</c:v>
                </c:pt>
                <c:pt idx="6">
                  <c:v>0.11501610848754988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015-400E-BB4C-A8DA7F5CE20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259080</xdr:colOff>
      <xdr:row>5</xdr:row>
      <xdr:rowOff>41910</xdr:rowOff>
    </xdr:from>
    <xdr:to>
      <xdr:col>9</xdr:col>
      <xdr:colOff>76200</xdr:colOff>
      <xdr:row>20</xdr:row>
      <xdr:rowOff>41910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0613BEF-EF61-9434-8900-6473E8E4C3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312420</xdr:colOff>
      <xdr:row>5</xdr:row>
      <xdr:rowOff>68581</xdr:rowOff>
    </xdr:from>
    <xdr:to>
      <xdr:col>11</xdr:col>
      <xdr:colOff>556260</xdr:colOff>
      <xdr:row>10</xdr:row>
      <xdr:rowOff>137161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Fp">
              <a:extLst>
                <a:ext uri="{FF2B5EF4-FFF2-40B4-BE49-F238E27FC236}">
                  <a16:creationId xmlns:a16="http://schemas.microsoft.com/office/drawing/2014/main" id="{BC6DECF0-74F0-3C31-A1BD-AFE541E439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99120" y="982981"/>
              <a:ext cx="1828800" cy="9829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3</xdr:col>
      <xdr:colOff>144780</xdr:colOff>
      <xdr:row>29</xdr:row>
      <xdr:rowOff>125730</xdr:rowOff>
    </xdr:from>
    <xdr:to>
      <xdr:col>8</xdr:col>
      <xdr:colOff>754380</xdr:colOff>
      <xdr:row>44</xdr:row>
      <xdr:rowOff>125730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2E81BBF-B496-50B1-3E2A-1D1F02D59D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68580</xdr:colOff>
      <xdr:row>47</xdr:row>
      <xdr:rowOff>38100</xdr:rowOff>
    </xdr:from>
    <xdr:to>
      <xdr:col>16</xdr:col>
      <xdr:colOff>236220</xdr:colOff>
      <xdr:row>54</xdr:row>
      <xdr:rowOff>129540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9" name="Fecha">
              <a:extLst>
                <a:ext uri="{FF2B5EF4-FFF2-40B4-BE49-F238E27FC236}">
                  <a16:creationId xmlns:a16="http://schemas.microsoft.com/office/drawing/2014/main" id="{35AA01BE-C369-71D5-8E01-32A50A7440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32720" y="8633460"/>
              <a:ext cx="3337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>
    <xdr:from>
      <xdr:col>4</xdr:col>
      <xdr:colOff>434340</xdr:colOff>
      <xdr:row>47</xdr:row>
      <xdr:rowOff>118110</xdr:rowOff>
    </xdr:from>
    <xdr:to>
      <xdr:col>11</xdr:col>
      <xdr:colOff>175260</xdr:colOff>
      <xdr:row>62</xdr:row>
      <xdr:rowOff>118110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67982220-BF48-E8FF-B4A7-89392C3606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5</xdr:col>
      <xdr:colOff>7620</xdr:colOff>
      <xdr:row>29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9E17707-8D24-4A71-B7E4-973E157AF4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3</xdr:row>
      <xdr:rowOff>0</xdr:rowOff>
    </xdr:from>
    <xdr:to>
      <xdr:col>10</xdr:col>
      <xdr:colOff>784860</xdr:colOff>
      <xdr:row>29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0B2833-10B2-4A7F-AFDF-5963E40A23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3</xdr:row>
      <xdr:rowOff>0</xdr:rowOff>
    </xdr:from>
    <xdr:to>
      <xdr:col>18</xdr:col>
      <xdr:colOff>7620</xdr:colOff>
      <xdr:row>22</xdr:row>
      <xdr:rowOff>7620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C3BCAFE-0BDC-4B79-9381-B2044A424B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3</xdr:row>
      <xdr:rowOff>0</xdr:rowOff>
    </xdr:from>
    <xdr:to>
      <xdr:col>1</xdr:col>
      <xdr:colOff>53340</xdr:colOff>
      <xdr:row>12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Fp 1">
              <a:extLst>
                <a:ext uri="{FF2B5EF4-FFF2-40B4-BE49-F238E27FC236}">
                  <a16:creationId xmlns:a16="http://schemas.microsoft.com/office/drawing/2014/main" id="{0E613565-6EA0-4FE3-8F54-3AFDA2CC4D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p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48640"/>
              <a:ext cx="845820" cy="1645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60960</xdr:colOff>
      <xdr:row>3</xdr:row>
      <xdr:rowOff>0</xdr:rowOff>
    </xdr:from>
    <xdr:to>
      <xdr:col>4</xdr:col>
      <xdr:colOff>784860</xdr:colOff>
      <xdr:row>12</xdr:row>
      <xdr:rowOff>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7" name="Fecha 1">
              <a:extLst>
                <a:ext uri="{FF2B5EF4-FFF2-40B4-BE49-F238E27FC236}">
                  <a16:creationId xmlns:a16="http://schemas.microsoft.com/office/drawing/2014/main" id="{9DDEAC5D-1698-4B4B-A260-C85AC54FAA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3440" y="548640"/>
              <a:ext cx="3101340" cy="1645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784859</xdr:colOff>
          <xdr:row>22</xdr:row>
          <xdr:rowOff>38100</xdr:rowOff>
        </xdr:from>
        <xdr:to>
          <xdr:col>18</xdr:col>
          <xdr:colOff>22860</xdr:colOff>
          <xdr:row>29</xdr:row>
          <xdr:rowOff>7620</xdr:rowOff>
        </xdr:to>
        <xdr:pic>
          <xdr:nvPicPr>
            <xdr:cNvPr id="8" name="Imagen 7">
              <a:extLst>
                <a:ext uri="{FF2B5EF4-FFF2-40B4-BE49-F238E27FC236}">
                  <a16:creationId xmlns:a16="http://schemas.microsoft.com/office/drawing/2014/main" id="{E8CF055E-6C35-E59D-B2E7-4D94DAE702E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Hoja2!$A$55:$D$60" spid="_x0000_s3106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8709659" y="4061460"/>
              <a:ext cx="5577841" cy="12496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eison Silva" refreshedDate="46204.736680787035" createdVersion="8" refreshedVersion="8" minRefreshableVersion="3" recordCount="167" xr:uid="{C00A8560-5B02-4E10-A569-696D6CE757F0}">
  <cacheSource type="worksheet">
    <worksheetSource name="Tabla1"/>
  </cacheSource>
  <cacheFields count="10">
    <cacheField name="No Aportes" numFmtId="0">
      <sharedItems containsSemiMixedTypes="0" containsString="0" containsNumber="1" containsInteger="1" minValue="10374" maxValue="11077"/>
    </cacheField>
    <cacheField name="Razon Social" numFmtId="0">
      <sharedItems/>
    </cacheField>
    <cacheField name="País" numFmtId="0">
      <sharedItems count="20">
        <s v="Estados Unidos"/>
        <s v="Venezuela"/>
        <s v="Alemania"/>
        <s v="Canadá"/>
        <s v="Suecia"/>
        <s v="Francia"/>
        <s v="Reino Unido"/>
        <s v="España"/>
        <s v="México"/>
        <s v="Brasil"/>
        <s v="Finlandia"/>
        <s v="Austria"/>
        <s v="Argentina"/>
        <s v="Bélgica"/>
        <s v="Polonia"/>
        <s v="Italia"/>
        <s v="Suiza"/>
        <s v="Portugal"/>
        <s v="Noruega"/>
        <s v="Dinamarca"/>
      </sharedItems>
    </cacheField>
    <cacheField name="Contacto " numFmtId="0">
      <sharedItems count="5">
        <s v="Camilo"/>
        <s v="Gladys"/>
        <s v="Wilson"/>
        <s v="Ingrid"/>
        <s v="Marcela"/>
      </sharedItems>
    </cacheField>
    <cacheField name="Fp" numFmtId="0">
      <sharedItems count="2">
        <s v="cheque"/>
        <s v="éfectivo"/>
      </sharedItems>
    </cacheField>
    <cacheField name="Compañía" numFmtId="0">
      <sharedItems/>
    </cacheField>
    <cacheField name="Fecha" numFmtId="14">
      <sharedItems containsSemiMixedTypes="0" containsNonDate="0" containsDate="1" containsString="0" minDate="2013-01-05T00:00:00" maxDate="2014-06-06T00:00:00" count="142">
        <d v="2013-01-06T00:00:00"/>
        <d v="2013-01-12T00:00:00"/>
        <d v="2013-01-23T00:00:00"/>
        <d v="2013-02-10T00:00:00"/>
        <d v="2013-03-03T00:00:00"/>
        <d v="2013-03-06T00:00:00"/>
        <d v="2013-03-09T00:00:00"/>
        <d v="2013-03-15T00:00:00"/>
        <d v="2013-03-21T00:00:00"/>
        <d v="2013-04-07T00:00:00"/>
        <d v="2013-04-24T00:00:00"/>
        <d v="2013-05-04T00:00:00"/>
        <d v="2013-05-15T00:00:00"/>
        <d v="2013-05-25T00:00:00"/>
        <d v="2013-06-26T00:00:00"/>
        <d v="2013-07-14T00:00:00"/>
        <d v="2013-07-24T00:00:00"/>
        <d v="2013-07-28T00:00:00"/>
        <d v="2013-08-09T00:00:00"/>
        <d v="2013-09-25T00:00:00"/>
        <d v="2013-10-10T00:00:00"/>
        <d v="2013-10-26T00:00:00"/>
        <d v="2013-11-09T00:00:00"/>
        <d v="2013-12-13T00:00:00"/>
        <d v="2013-12-29T00:00:00"/>
        <d v="2014-01-03T00:00:00"/>
        <d v="2014-01-04T00:00:00"/>
        <d v="2014-01-24T00:00:00"/>
        <d v="2014-01-31T00:00:00"/>
        <d v="2014-02-07T00:00:00"/>
        <d v="2014-02-19T00:00:00"/>
        <d v="2014-02-28T00:00:00"/>
        <d v="2014-03-12T00:00:00"/>
        <d v="2014-03-26T00:00:00"/>
        <d v="2014-04-08T00:00:00"/>
        <d v="2014-04-09T00:00:00"/>
        <d v="2014-04-12T00:00:00"/>
        <d v="2014-04-24T00:00:00"/>
        <d v="2014-05-06T00:00:00"/>
        <d v="2014-05-07T00:00:00"/>
        <d v="2014-05-29T00:00:00"/>
        <d v="2013-02-27T00:00:00"/>
        <d v="2013-03-02T00:00:00"/>
        <d v="2013-03-20T00:00:00"/>
        <d v="2013-03-24T00:00:00"/>
        <d v="2013-03-30T00:00:00"/>
        <d v="2013-05-03T00:00:00"/>
        <d v="2013-07-11T00:00:00"/>
        <d v="2013-07-20T00:00:00"/>
        <d v="2013-07-25T00:00:00"/>
        <d v="2013-08-07T00:00:00"/>
        <d v="2013-08-23T00:00:00"/>
        <d v="2013-08-29T00:00:00"/>
        <d v="2013-08-31T00:00:00"/>
        <d v="2013-09-05T00:00:00"/>
        <d v="2013-09-12T00:00:00"/>
        <d v="2013-09-27T00:00:00"/>
        <d v="2013-10-02T00:00:00"/>
        <d v="2013-10-19T00:00:00"/>
        <d v="2013-10-30T00:00:00"/>
        <d v="2013-11-16T00:00:00"/>
        <d v="2013-11-24T00:00:00"/>
        <d v="2013-12-01T00:00:00"/>
        <d v="2013-12-15T00:00:00"/>
        <d v="2013-12-27T00:00:00"/>
        <d v="2014-01-05T00:00:00"/>
        <d v="2014-02-21T00:00:00"/>
        <d v="2014-03-01T00:00:00"/>
        <d v="2014-03-04T00:00:00"/>
        <d v="2014-03-08T00:00:00"/>
        <d v="2014-03-13T00:00:00"/>
        <d v="2014-03-22T00:00:00"/>
        <d v="2014-03-27T00:00:00"/>
        <d v="2014-03-28T00:00:00"/>
        <d v="2014-04-01T00:00:00"/>
        <d v="2014-04-02T00:00:00"/>
        <d v="2014-04-03T00:00:00"/>
        <d v="2014-04-05T00:00:00"/>
        <d v="2014-04-10T00:00:00"/>
        <d v="2014-04-23T00:00:00"/>
        <d v="2014-05-02T00:00:00"/>
        <d v="2014-05-13T00:00:00"/>
        <d v="2014-05-22T00:00:00"/>
        <d v="2014-05-30T00:00:00"/>
        <d v="2014-06-05T00:00:00"/>
        <d v="2013-01-10T00:00:00"/>
        <d v="2013-04-04T00:00:00"/>
        <d v="2013-04-17T00:00:00"/>
        <d v="2013-09-28T00:00:00"/>
        <d v="2013-10-20T00:00:00"/>
        <d v="2013-11-22T00:00:00"/>
        <d v="2014-01-02T00:00:00"/>
        <d v="2014-03-06T00:00:00"/>
        <d v="2013-02-14T00:00:00"/>
        <d v="2013-04-11T00:00:00"/>
        <d v="2013-04-18T00:00:00"/>
        <d v="2013-07-31T00:00:00"/>
        <d v="2013-08-30T00:00:00"/>
        <d v="2013-10-23T00:00:00"/>
        <d v="2013-12-08T00:00:00"/>
        <d v="2013-12-12T00:00:00"/>
        <d v="2013-12-25T00:00:00"/>
        <d v="2014-02-01T00:00:00"/>
        <d v="2014-02-05T00:00:00"/>
        <d v="2014-02-14T00:00:00"/>
        <d v="2014-03-29T00:00:00"/>
        <d v="2014-05-09T00:00:00"/>
        <d v="2014-05-10T00:00:00"/>
        <d v="2014-05-14T00:00:00"/>
        <d v="2014-05-20T00:00:00"/>
        <d v="2014-05-27T00:00:00"/>
        <d v="2014-06-04T00:00:00"/>
        <d v="2013-01-05T00:00:00"/>
        <d v="2013-01-09T00:00:00"/>
        <d v="2013-01-17T00:00:00"/>
        <d v="2013-01-25T00:00:00"/>
        <d v="2013-04-13T00:00:00"/>
        <d v="2013-04-21T00:00:00"/>
        <d v="2013-04-26T00:00:00"/>
        <d v="2013-05-17T00:00:00"/>
        <d v="2013-06-02T00:00:00"/>
        <d v="2013-06-20T00:00:00"/>
        <d v="2013-07-26T00:00:00"/>
        <d v="2013-08-14T00:00:00"/>
        <d v="2013-09-13T00:00:00"/>
        <d v="2013-10-04T00:00:00"/>
        <d v="2013-10-11T00:00:00"/>
        <d v="2013-10-12T00:00:00"/>
        <d v="2013-11-01T00:00:00"/>
        <d v="2013-12-18T00:00:00"/>
        <d v="2013-12-20T00:00:00"/>
        <d v="2014-01-18T00:00:00"/>
        <d v="2014-01-22T00:00:00"/>
        <d v="2014-01-23T00:00:00"/>
        <d v="2014-02-15T00:00:00"/>
        <d v="2014-02-20T00:00:00"/>
        <d v="2014-04-11T00:00:00"/>
        <d v="2014-04-15T00:00:00"/>
        <d v="2014-04-22T00:00:00"/>
        <d v="2014-05-01T00:00:00"/>
        <d v="2014-05-21T00:00:00"/>
        <d v="2014-06-03T00:00:00"/>
      </sharedItems>
    </cacheField>
    <cacheField name="Aporte" numFmtId="44">
      <sharedItems containsSemiMixedTypes="0" containsString="0" containsNumber="1" minValue="71.680000000000007" maxValue="3619.2256000000002"/>
    </cacheField>
    <cacheField name="Bono" numFmtId="164">
      <sharedItems containsSemiMixedTypes="0" containsString="0" containsNumber="1" minValue="1.7203200000000001" maxValue="130.2921216"/>
    </cacheField>
    <cacheField name="Total" numFmtId="164">
      <sharedItems containsSemiMixedTypes="0" containsString="0" containsNumber="1" minValue="73.400319999999994" maxValue="3749.5177216000002"/>
    </cacheField>
  </cacheFields>
  <extLst>
    <ext xmlns:x14="http://schemas.microsoft.com/office/spreadsheetml/2009/9/main" uri="{725AE2AE-9491-48be-B2B4-4EB974FC3084}">
      <x14:pivotCacheDefinition pivotCacheId="34965899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n v="10375"/>
    <s v="Hungry Coyote Import Store"/>
    <x v="0"/>
    <x v="0"/>
    <x v="0"/>
    <s v="TCC"/>
    <x v="0"/>
    <n v="321.92"/>
    <n v="8.6918399999999991"/>
    <n v="330.61183999999997"/>
  </r>
  <r>
    <n v="10381"/>
    <s v="LILA-Supermercado"/>
    <x v="1"/>
    <x v="0"/>
    <x v="1"/>
    <s v="DEPRISA"/>
    <x v="1"/>
    <n v="511.36"/>
    <n v="17.386240000000001"/>
    <n v="528.74623999999994"/>
  </r>
  <r>
    <n v="10391"/>
    <s v="Drachenblut Delikatessen"/>
    <x v="2"/>
    <x v="0"/>
    <x v="1"/>
    <s v="DEPRISA"/>
    <x v="2"/>
    <n v="348.8"/>
    <n v="8.3712"/>
    <n v="357.1712"/>
  </r>
  <r>
    <n v="10410"/>
    <s v="Bottom-Dollar Markets"/>
    <x v="3"/>
    <x v="0"/>
    <x v="1"/>
    <s v="DEPRISA"/>
    <x v="3"/>
    <n v="153.6"/>
    <n v="5.5296000000000003"/>
    <n v="159.12960000000001"/>
  </r>
  <r>
    <n v="10432"/>
    <s v="Split Rail Beer &amp; Ale"/>
    <x v="0"/>
    <x v="0"/>
    <x v="0"/>
    <s v="TCC"/>
    <x v="4"/>
    <n v="277.76"/>
    <n v="7.4995200000000004"/>
    <n v="285.25952000000001"/>
  </r>
  <r>
    <n v="10434"/>
    <s v="Folk och fä HB"/>
    <x v="4"/>
    <x v="0"/>
    <x v="0"/>
    <s v="TCC"/>
    <x v="5"/>
    <n v="286.72000000000003"/>
    <n v="10.608639999999999"/>
    <n v="297.32864000000001"/>
  </r>
  <r>
    <n v="10438"/>
    <s v="Toms Spezialitäten"/>
    <x v="2"/>
    <x v="0"/>
    <x v="0"/>
    <s v="TCC"/>
    <x v="6"/>
    <n v="527.36"/>
    <n v="12.12928"/>
    <n v="539.48928000000001"/>
  </r>
  <r>
    <n v="10444"/>
    <s v="Berglunds snabbköp"/>
    <x v="4"/>
    <x v="0"/>
    <x v="1"/>
    <s v="DEPRISA"/>
    <x v="7"/>
    <n v="224"/>
    <n v="8.5120000000000005"/>
    <n v="232.512"/>
  </r>
  <r>
    <n v="10449"/>
    <s v="Blondel père et fils"/>
    <x v="5"/>
    <x v="0"/>
    <x v="0"/>
    <s v="TCC"/>
    <x v="8"/>
    <n v="852.8"/>
    <n v="16.203199999999999"/>
    <n v="869.00319999999999"/>
  </r>
  <r>
    <n v="10468"/>
    <s v="Königlich Essen"/>
    <x v="2"/>
    <x v="0"/>
    <x v="1"/>
    <s v="DEPRISA"/>
    <x v="9"/>
    <n v="705.92"/>
    <n v="16.942080000000001"/>
    <n v="722.86207999999999"/>
  </r>
  <r>
    <n v="10484"/>
    <s v="B's Beverages"/>
    <x v="6"/>
    <x v="0"/>
    <x v="1"/>
    <s v="DEPRISA"/>
    <x v="10"/>
    <n v="440.32"/>
    <n v="14.09024"/>
    <n v="454.41023999999999"/>
  </r>
  <r>
    <n v="10495"/>
    <s v="Laughing Bacchus Wine Cellars"/>
    <x v="3"/>
    <x v="0"/>
    <x v="1"/>
    <s v="DEPRISA"/>
    <x v="11"/>
    <n v="297.60000000000002"/>
    <n v="10.7136"/>
    <n v="308.31360000000001"/>
  </r>
  <r>
    <n v="10505"/>
    <s v="Mère Paillarde"/>
    <x v="3"/>
    <x v="0"/>
    <x v="1"/>
    <s v="DEPRISA"/>
    <x v="12"/>
    <n v="456.32"/>
    <n v="16.427520000000001"/>
    <n v="472.74752000000001"/>
  </r>
  <r>
    <n v="10517"/>
    <s v="North/South"/>
    <x v="6"/>
    <x v="0"/>
    <x v="1"/>
    <s v="DEPRISA"/>
    <x v="13"/>
    <n v="513.12"/>
    <n v="16.419840000000001"/>
    <n v="529.53984000000003"/>
  </r>
  <r>
    <n v="10548"/>
    <s v="Toms Spezialitäten"/>
    <x v="2"/>
    <x v="0"/>
    <x v="0"/>
    <s v="TCC"/>
    <x v="14"/>
    <n v="91.52"/>
    <n v="2.1049600000000002"/>
    <n v="93.624960000000002"/>
  </r>
  <r>
    <n v="10568"/>
    <s v="Galería del gastronómo"/>
    <x v="7"/>
    <x v="0"/>
    <x v="1"/>
    <s v="DEPRISA"/>
    <x v="15"/>
    <n v="418.56"/>
    <n v="19.25376"/>
    <n v="437.81376"/>
  </r>
  <r>
    <n v="10576"/>
    <s v="Tortuga Restaurante"/>
    <x v="8"/>
    <x v="0"/>
    <x v="1"/>
    <s v="DEPRISA"/>
    <x v="16"/>
    <n v="296.95999999999998"/>
    <n v="14.25408"/>
    <n v="311.21408000000002"/>
  </r>
  <r>
    <n v="10582"/>
    <s v="Blauer See Delikatessen"/>
    <x v="2"/>
    <x v="0"/>
    <x v="0"/>
    <s v="DEPRISA"/>
    <x v="17"/>
    <n v="443.36"/>
    <n v="10.640639999999999"/>
    <n v="454.00063999999998"/>
  </r>
  <r>
    <n v="10594"/>
    <s v="Old World Delicatessen"/>
    <x v="0"/>
    <x v="0"/>
    <x v="0"/>
    <s v="DEPRISA"/>
    <x v="18"/>
    <n v="335.36"/>
    <n v="9.3900799999999993"/>
    <n v="344.75008000000003"/>
  </r>
  <r>
    <n v="10644"/>
    <s v="Wellington Importadora"/>
    <x v="9"/>
    <x v="0"/>
    <x v="0"/>
    <s v="DEPRISA"/>
    <x v="19"/>
    <n v="80.281599999999997"/>
    <n v="1.7661952000000001"/>
    <n v="82.047795199999996"/>
  </r>
  <r>
    <n v="10662"/>
    <s v="Lonesome Pine Restaurant"/>
    <x v="0"/>
    <x v="0"/>
    <x v="0"/>
    <s v="DEPRISA"/>
    <x v="20"/>
    <n v="81.92"/>
    <n v="2.2937599999999998"/>
    <n v="84.213759999999994"/>
  </r>
  <r>
    <n v="10682"/>
    <s v="Antonio Moreno Taquería"/>
    <x v="8"/>
    <x v="0"/>
    <x v="0"/>
    <s v="DEPRISA"/>
    <x v="21"/>
    <n v="578.08000000000004"/>
    <n v="27.74784"/>
    <n v="605.82784000000004"/>
  </r>
  <r>
    <n v="10699"/>
    <s v="Morgenstern Gesundkost"/>
    <x v="2"/>
    <x v="0"/>
    <x v="1"/>
    <s v="DEPRISA"/>
    <x v="22"/>
    <n v="1377.8943999999999"/>
    <n v="33.069465600000001"/>
    <n v="1410.9638656"/>
  </r>
  <r>
    <n v="10739"/>
    <s v="Vins et alcools Chevalier"/>
    <x v="5"/>
    <x v="0"/>
    <x v="1"/>
    <s v="DEPRISA"/>
    <x v="23"/>
    <n v="709.12"/>
    <n v="14.182399999999999"/>
    <n v="723.30240000000003"/>
  </r>
  <r>
    <n v="10759"/>
    <s v="Ana Trujillo Emparedados y hel"/>
    <x v="8"/>
    <x v="0"/>
    <x v="1"/>
    <s v="DEPRISA"/>
    <x v="24"/>
    <n v="767.36"/>
    <n v="36.833280000000002"/>
    <n v="804.19327999999996"/>
  </r>
  <r>
    <n v="10763"/>
    <s v="Folies gourmandes"/>
    <x v="5"/>
    <x v="0"/>
    <x v="1"/>
    <s v="DEPRISA"/>
    <x v="25"/>
    <n v="597.6"/>
    <n v="11.952"/>
    <n v="609.55200000000002"/>
  </r>
  <r>
    <n v="10765"/>
    <s v="QUICK-Stop"/>
    <x v="2"/>
    <x v="0"/>
    <x v="1"/>
    <s v="DEPRISA"/>
    <x v="26"/>
    <n v="683.84"/>
    <n v="16.41216"/>
    <n v="700.25216"/>
  </r>
  <r>
    <n v="10793"/>
    <s v="Around the Horn"/>
    <x v="6"/>
    <x v="0"/>
    <x v="1"/>
    <s v="DEPRISA"/>
    <x v="27"/>
    <n v="289.27999999999997"/>
    <n v="9.2569599999999994"/>
    <n v="298.53696000000002"/>
  </r>
  <r>
    <n v="10806"/>
    <s v="Victuailles en stock"/>
    <x v="5"/>
    <x v="0"/>
    <x v="0"/>
    <s v="DEPRISA"/>
    <x v="28"/>
    <n v="353.76"/>
    <n v="7.0751999999999997"/>
    <n v="360.83519999999999"/>
  </r>
  <r>
    <n v="10820"/>
    <s v="Rattlesnake Canyon Grocery"/>
    <x v="0"/>
    <x v="0"/>
    <x v="0"/>
    <s v="DEPRISA"/>
    <x v="29"/>
    <n v="600.32000000000005"/>
    <n v="16.808959999999999"/>
    <n v="617.12896000000001"/>
  </r>
  <r>
    <n v="10839"/>
    <s v="Tradição Hipermercados"/>
    <x v="9"/>
    <x v="0"/>
    <x v="1"/>
    <s v="DEPRISA"/>
    <x v="30"/>
    <n v="566.88"/>
    <n v="12.471360000000001"/>
    <n v="579.35136"/>
  </r>
  <r>
    <n v="10860"/>
    <s v="France restauration"/>
    <x v="5"/>
    <x v="0"/>
    <x v="1"/>
    <s v="DEPRISA"/>
    <x v="31"/>
    <n v="308.16000000000003"/>
    <n v="6.1631999999999998"/>
    <n v="314.32319999999999"/>
  </r>
  <r>
    <n v="10879"/>
    <s v="Wilman Kala"/>
    <x v="10"/>
    <x v="0"/>
    <x v="1"/>
    <s v="DEPRISA"/>
    <x v="32"/>
    <n v="544"/>
    <n v="16.32"/>
    <n v="560.32000000000005"/>
  </r>
  <r>
    <n v="10903"/>
    <s v="Hanari Carnes"/>
    <x v="9"/>
    <x v="0"/>
    <x v="1"/>
    <s v="DEPRISA"/>
    <x v="33"/>
    <n v="587.36"/>
    <n v="12.92192"/>
    <n v="600.28192000000001"/>
  </r>
  <r>
    <n v="10934"/>
    <s v="Lehmanns Marktstand"/>
    <x v="2"/>
    <x v="0"/>
    <x v="1"/>
    <s v="DEPRISA"/>
    <x v="34"/>
    <n v="512.16"/>
    <n v="12.291840000000001"/>
    <n v="524.45183999999995"/>
  </r>
  <r>
    <n v="10936"/>
    <s v="Great Lakes Food Market"/>
    <x v="0"/>
    <x v="0"/>
    <x v="0"/>
    <s v="DEPRISA"/>
    <x v="34"/>
    <n v="538.88"/>
    <n v="15.08864"/>
    <n v="553.96864000000005"/>
  </r>
  <r>
    <n v="10938"/>
    <s v="QUICK-Stop"/>
    <x v="2"/>
    <x v="0"/>
    <x v="0"/>
    <s v="DEPRISA"/>
    <x v="35"/>
    <n v="510.24"/>
    <n v="12.245760000000001"/>
    <n v="522.48576000000003"/>
  </r>
  <r>
    <n v="10947"/>
    <s v="B's Beverages"/>
    <x v="6"/>
    <x v="0"/>
    <x v="0"/>
    <s v="DEPRISA"/>
    <x v="36"/>
    <n v="208.64"/>
    <n v="6.6764799999999997"/>
    <n v="215.31648000000001"/>
  </r>
  <r>
    <n v="10948"/>
    <s v="Godos Cocina Típica"/>
    <x v="7"/>
    <x v="0"/>
    <x v="1"/>
    <s v="DEPRISA"/>
    <x v="36"/>
    <n v="374.24"/>
    <n v="17.215039999999998"/>
    <n v="391.45504"/>
  </r>
  <r>
    <n v="10974"/>
    <s v="Split Rail Beer &amp; Ale"/>
    <x v="0"/>
    <x v="0"/>
    <x v="1"/>
    <s v="DEPRISA"/>
    <x v="37"/>
    <n v="207.36"/>
    <n v="5.8060799999999997"/>
    <n v="213.16607999999999"/>
  </r>
  <r>
    <n v="11003"/>
    <s v="The Cracker Box"/>
    <x v="0"/>
    <x v="0"/>
    <x v="1"/>
    <s v="DEPRISA"/>
    <x v="38"/>
    <n v="238.56"/>
    <n v="6.6796800000000003"/>
    <n v="245.23967999999999"/>
  </r>
  <r>
    <n v="11006"/>
    <s v="Great Lakes Food Market"/>
    <x v="0"/>
    <x v="0"/>
    <x v="0"/>
    <s v="DEPRISA"/>
    <x v="39"/>
    <n v="403.04"/>
    <n v="11.285119999999999"/>
    <n v="414.32512000000003"/>
  </r>
  <r>
    <n v="11057"/>
    <s v="North/South"/>
    <x v="6"/>
    <x v="0"/>
    <x v="1"/>
    <s v="DEPRISA"/>
    <x v="40"/>
    <n v="264.32"/>
    <n v="8.45824"/>
    <n v="272.77823999999998"/>
  </r>
  <r>
    <n v="10427"/>
    <s v="Piccolo und mehr"/>
    <x v="11"/>
    <x v="1"/>
    <x v="0"/>
    <s v="TCC"/>
    <x v="41"/>
    <n v="500.64"/>
    <n v="28.536480000000001"/>
    <n v="529.17647999999997"/>
  </r>
  <r>
    <n v="10431"/>
    <s v="Bottom-Dollar Markets"/>
    <x v="3"/>
    <x v="1"/>
    <x v="0"/>
    <s v="TCC"/>
    <x v="42"/>
    <n v="706.72"/>
    <n v="24.735199999999999"/>
    <n v="731.45519999999999"/>
  </r>
  <r>
    <n v="10448"/>
    <s v="Rancho grande"/>
    <x v="12"/>
    <x v="1"/>
    <x v="0"/>
    <s v="TCC"/>
    <x v="43"/>
    <n v="621.12"/>
    <n v="24.223680000000002"/>
    <n v="645.34367999999995"/>
  </r>
  <r>
    <n v="10454"/>
    <s v="La maison d'Asie"/>
    <x v="5"/>
    <x v="1"/>
    <x v="1"/>
    <s v="DEPRISA"/>
    <x v="44"/>
    <n v="175.36"/>
    <n v="3.5072000000000001"/>
    <n v="178.8672"/>
  </r>
  <r>
    <n v="10459"/>
    <s v="Victuailles en stock"/>
    <x v="5"/>
    <x v="1"/>
    <x v="0"/>
    <s v="TCC"/>
    <x v="45"/>
    <n v="401.44"/>
    <n v="7.6273600000000004"/>
    <n v="409.06736000000001"/>
  </r>
  <r>
    <n v="10493"/>
    <s v="La maison d'Asie"/>
    <x v="5"/>
    <x v="1"/>
    <x v="1"/>
    <s v="DEPRISA"/>
    <x v="46"/>
    <n v="680.96"/>
    <n v="13.619199999999999"/>
    <n v="694.57920000000001"/>
  </r>
  <r>
    <n v="10564"/>
    <s v="Rattlesnake Canyon Grocery"/>
    <x v="0"/>
    <x v="1"/>
    <x v="1"/>
    <s v="DEPRISA"/>
    <x v="47"/>
    <n v="220"/>
    <n v="6.16"/>
    <n v="226.16"/>
  </r>
  <r>
    <n v="10574"/>
    <s v="Trail's Head Gourmet Provision"/>
    <x v="0"/>
    <x v="1"/>
    <x v="0"/>
    <s v="DEPRISA"/>
    <x v="48"/>
    <n v="601.6"/>
    <n v="16.844799999999999"/>
    <n v="618.44479999999999"/>
  </r>
  <r>
    <n v="10578"/>
    <s v="B's Beverages"/>
    <x v="6"/>
    <x v="1"/>
    <x v="1"/>
    <s v="DEPRISA"/>
    <x v="49"/>
    <n v="473.6"/>
    <n v="15.155200000000001"/>
    <n v="488.7552"/>
  </r>
  <r>
    <n v="10590"/>
    <s v="Mère Paillarde"/>
    <x v="3"/>
    <x v="1"/>
    <x v="1"/>
    <s v="DEPRISA"/>
    <x v="50"/>
    <n v="716.32"/>
    <n v="25.787520000000001"/>
    <n v="742.10752000000002"/>
  </r>
  <r>
    <n v="10608"/>
    <s v="Toms Spezialitäten"/>
    <x v="2"/>
    <x v="1"/>
    <x v="0"/>
    <s v="DEPRISA"/>
    <x v="51"/>
    <n v="444.64"/>
    <n v="10.67136"/>
    <n v="455.31135999999998"/>
  </r>
  <r>
    <n v="10613"/>
    <s v="HILARIÓN-Abastos"/>
    <x v="1"/>
    <x v="1"/>
    <x v="0"/>
    <s v="DEPRISA"/>
    <x v="52"/>
    <n v="519.04"/>
    <n v="17.647359999999999"/>
    <n v="536.68736000000001"/>
  </r>
  <r>
    <n v="10617"/>
    <s v="Great Lakes Food Market"/>
    <x v="0"/>
    <x v="1"/>
    <x v="0"/>
    <s v="DEPRISA"/>
    <x v="53"/>
    <n v="296.48"/>
    <n v="8.3014399999999995"/>
    <n v="304.78143999999998"/>
  </r>
  <r>
    <n v="10621"/>
    <s v="Island Trading"/>
    <x v="6"/>
    <x v="1"/>
    <x v="0"/>
    <s v="DEPRISA"/>
    <x v="54"/>
    <n v="379.68"/>
    <n v="12.149760000000001"/>
    <n v="391.82976000000002"/>
  </r>
  <r>
    <n v="10628"/>
    <s v="Blondel père et fils"/>
    <x v="5"/>
    <x v="1"/>
    <x v="1"/>
    <s v="DEPRISA"/>
    <x v="55"/>
    <n v="485.76"/>
    <n v="9.7151999999999994"/>
    <n v="495.47519999999997"/>
  </r>
  <r>
    <n v="10647"/>
    <s v="Que Delícia"/>
    <x v="9"/>
    <x v="1"/>
    <x v="0"/>
    <s v="DEPRISA"/>
    <x v="56"/>
    <n v="728.64"/>
    <n v="16.030080000000002"/>
    <n v="744.67007999999998"/>
  </r>
  <r>
    <n v="10652"/>
    <s v="Gourmet Lanchonetes"/>
    <x v="9"/>
    <x v="1"/>
    <x v="0"/>
    <s v="DEPRISA"/>
    <x v="57"/>
    <n v="456.96"/>
    <n v="10.05312"/>
    <n v="467.01312000000001"/>
  </r>
  <r>
    <n v="10674"/>
    <s v="Island Trading"/>
    <x v="6"/>
    <x v="1"/>
    <x v="0"/>
    <s v="DEPRISA"/>
    <x v="58"/>
    <n v="3317.76"/>
    <n v="106.16831999999999"/>
    <n v="3423.92832"/>
  </r>
  <r>
    <n v="10685"/>
    <s v="Gourmet Lanchonetes"/>
    <x v="9"/>
    <x v="1"/>
    <x v="0"/>
    <s v="DEPRISA"/>
    <x v="59"/>
    <n v="540"/>
    <n v="11.88"/>
    <n v="551.88"/>
  </r>
  <r>
    <n v="10707"/>
    <s v="Around the Horn"/>
    <x v="6"/>
    <x v="1"/>
    <x v="1"/>
    <s v="DEPRISA"/>
    <x v="60"/>
    <n v="347.84"/>
    <n v="11.130879999999999"/>
    <n v="358.97088000000002"/>
  </r>
  <r>
    <n v="10716"/>
    <s v="Rancho grande"/>
    <x v="12"/>
    <x v="1"/>
    <x v="0"/>
    <s v="DEPRISA"/>
    <x v="61"/>
    <n v="361.12"/>
    <n v="14.444800000000001"/>
    <n v="375.56479999999999"/>
  </r>
  <r>
    <n v="10725"/>
    <s v="Familia Arquibaldo"/>
    <x v="9"/>
    <x v="1"/>
    <x v="1"/>
    <s v="DEPRISA"/>
    <x v="62"/>
    <n v="693.12"/>
    <n v="15.24864"/>
    <n v="708.36864000000003"/>
  </r>
  <r>
    <n v="10741"/>
    <s v="Berglunds snabbköp"/>
    <x v="4"/>
    <x v="1"/>
    <x v="1"/>
    <s v="DEPRISA"/>
    <x v="63"/>
    <n v="701.44"/>
    <n v="26.654720000000001"/>
    <n v="728.09472000000005"/>
  </r>
  <r>
    <n v="10755"/>
    <s v="Bon app'"/>
    <x v="5"/>
    <x v="1"/>
    <x v="0"/>
    <s v="DEPRISA"/>
    <x v="64"/>
    <n v="267.36"/>
    <n v="5.3472"/>
    <n v="272.7072"/>
  </r>
  <r>
    <n v="10767"/>
    <s v="Suprêmes délices"/>
    <x v="13"/>
    <x v="1"/>
    <x v="1"/>
    <s v="DEPRISA"/>
    <x v="65"/>
    <n v="101.76"/>
    <n v="2.6457600000000001"/>
    <n v="104.40576"/>
  </r>
  <r>
    <n v="10840"/>
    <s v="LINO-Delicateses"/>
    <x v="1"/>
    <x v="1"/>
    <x v="0"/>
    <s v="DEPRISA"/>
    <x v="30"/>
    <n v="173.44"/>
    <n v="5.89696"/>
    <n v="179.33696"/>
  </r>
  <r>
    <n v="10843"/>
    <s v="Victuailles en stock"/>
    <x v="5"/>
    <x v="1"/>
    <x v="0"/>
    <s v="DEPRISA"/>
    <x v="66"/>
    <n v="592.64"/>
    <n v="11.8528"/>
    <n v="604.49279999999999"/>
  </r>
  <r>
    <n v="10861"/>
    <s v="White Clover Markets"/>
    <x v="0"/>
    <x v="1"/>
    <x v="0"/>
    <s v="DEPRISA"/>
    <x v="67"/>
    <n v="238.88"/>
    <n v="6.6886400000000004"/>
    <n v="245.56863999999999"/>
  </r>
  <r>
    <n v="10863"/>
    <s v="HILARIÓN-Abastos"/>
    <x v="1"/>
    <x v="1"/>
    <x v="0"/>
    <s v="DEPRISA"/>
    <x v="68"/>
    <n v="484.16"/>
    <n v="16.46144"/>
    <n v="500.62144000000001"/>
  </r>
  <r>
    <n v="10864"/>
    <s v="Around the Horn"/>
    <x v="6"/>
    <x v="1"/>
    <x v="0"/>
    <s v="DEPRISA"/>
    <x v="68"/>
    <n v="194.56"/>
    <n v="6.2259200000000003"/>
    <n v="200.78592"/>
  </r>
  <r>
    <n v="10875"/>
    <s v="Berglunds snabbköp"/>
    <x v="4"/>
    <x v="1"/>
    <x v="0"/>
    <s v="DEPRISA"/>
    <x v="69"/>
    <n v="517.91999999999996"/>
    <n v="19.680959999999999"/>
    <n v="537.60095999999999"/>
  </r>
  <r>
    <n v="10882"/>
    <s v="Save-a-lot Markets"/>
    <x v="0"/>
    <x v="1"/>
    <x v="1"/>
    <s v="DEPRISA"/>
    <x v="70"/>
    <n v="369.6"/>
    <n v="10.348800000000001"/>
    <n v="379.94880000000001"/>
  </r>
  <r>
    <n v="10898"/>
    <s v="Océano Atlántico Ltda."/>
    <x v="12"/>
    <x v="1"/>
    <x v="0"/>
    <s v="DEPRISA"/>
    <x v="71"/>
    <n v="81.28"/>
    <n v="3.2511999999999999"/>
    <n v="84.531199999999998"/>
  </r>
  <r>
    <n v="10906"/>
    <s v="Wolski Zajazd"/>
    <x v="14"/>
    <x v="1"/>
    <x v="1"/>
    <s v="DEPRISA"/>
    <x v="72"/>
    <n v="420.64"/>
    <n v="21.032"/>
    <n v="441.67200000000003"/>
  </r>
  <r>
    <n v="10908"/>
    <s v="Reggiani Caseifici"/>
    <x v="15"/>
    <x v="1"/>
    <x v="0"/>
    <s v="DEPRISA"/>
    <x v="73"/>
    <n v="527.36"/>
    <n v="23.20384"/>
    <n v="550.56384000000003"/>
  </r>
  <r>
    <n v="10917"/>
    <s v="Romero y tomillo"/>
    <x v="7"/>
    <x v="1"/>
    <x v="0"/>
    <s v="DEPRISA"/>
    <x v="74"/>
    <n v="530.55999999999995"/>
    <n v="24.405760000000001"/>
    <n v="554.96576000000005"/>
  </r>
  <r>
    <n v="10920"/>
    <s v="Around the Horn"/>
    <x v="6"/>
    <x v="1"/>
    <x v="0"/>
    <s v="DEPRISA"/>
    <x v="75"/>
    <n v="473.76"/>
    <n v="15.16032"/>
    <n v="488.92032"/>
  </r>
  <r>
    <n v="10926"/>
    <s v="Ana Trujillo Emparedados y hel"/>
    <x v="8"/>
    <x v="1"/>
    <x v="1"/>
    <s v="DEPRISA"/>
    <x v="76"/>
    <n v="638.72"/>
    <n v="30.658560000000001"/>
    <n v="669.37855999999999"/>
  </r>
  <r>
    <n v="10930"/>
    <s v="Suprêmes délices"/>
    <x v="13"/>
    <x v="1"/>
    <x v="1"/>
    <s v="DEPRISA"/>
    <x v="77"/>
    <n v="248.8"/>
    <n v="6.4687999999999999"/>
    <n v="255.2688"/>
  </r>
  <r>
    <n v="10931"/>
    <s v="Richter Supermarkt"/>
    <x v="16"/>
    <x v="1"/>
    <x v="0"/>
    <s v="DEPRISA"/>
    <x v="77"/>
    <n v="217.6"/>
    <n v="12.185600000000001"/>
    <n v="229.78559999999999"/>
  </r>
  <r>
    <n v="10943"/>
    <s v="B's Beverages"/>
    <x v="6"/>
    <x v="1"/>
    <x v="0"/>
    <s v="DEPRISA"/>
    <x v="78"/>
    <n v="138.88"/>
    <n v="4.4441600000000001"/>
    <n v="143.32416000000001"/>
  </r>
  <r>
    <n v="10972"/>
    <s v="La corne d'abondance"/>
    <x v="5"/>
    <x v="1"/>
    <x v="0"/>
    <s v="DEPRISA"/>
    <x v="79"/>
    <n v="131.53337343999999"/>
    <n v="2.6306674688"/>
    <n v="134.16404090879999"/>
  </r>
  <r>
    <n v="10996"/>
    <s v="QUICK-Stop"/>
    <x v="2"/>
    <x v="1"/>
    <x v="0"/>
    <s v="DEPRISA"/>
    <x v="80"/>
    <n v="71.680000000000007"/>
    <n v="1.7203200000000001"/>
    <n v="73.400319999999994"/>
  </r>
  <r>
    <n v="11018"/>
    <s v="Lonesome Pine Restaurant"/>
    <x v="0"/>
    <x v="1"/>
    <x v="0"/>
    <s v="DEPRISA"/>
    <x v="81"/>
    <n v="745.6"/>
    <n v="20.876799999999999"/>
    <n v="766.47680000000003"/>
  </r>
  <r>
    <n v="11040"/>
    <s v="Great Lakes Food Market"/>
    <x v="0"/>
    <x v="1"/>
    <x v="1"/>
    <s v="DEPRISA"/>
    <x v="82"/>
    <n v="301.44"/>
    <n v="8.4403199999999998"/>
    <n v="309.88031999999998"/>
  </r>
  <r>
    <n v="11061"/>
    <s v="Great Lakes Food Market"/>
    <x v="0"/>
    <x v="1"/>
    <x v="1"/>
    <s v="DEPRISA"/>
    <x v="83"/>
    <n v="224.16"/>
    <n v="6.2764800000000003"/>
    <n v="230.43647999999999"/>
  </r>
  <r>
    <n v="11062"/>
    <s v="Reggiani Caseifici"/>
    <x v="15"/>
    <x v="1"/>
    <x v="0"/>
    <s v="DEPRISA"/>
    <x v="83"/>
    <n v="478.88"/>
    <n v="21.070720000000001"/>
    <n v="499.95071999999999"/>
  </r>
  <r>
    <n v="11076"/>
    <s v="Bon app'"/>
    <x v="5"/>
    <x v="1"/>
    <x v="0"/>
    <s v="DEPRISA"/>
    <x v="84"/>
    <n v="612.48"/>
    <n v="12.249599999999999"/>
    <n v="624.7296"/>
  </r>
  <r>
    <n v="10378"/>
    <s v="Folk och fä HB"/>
    <x v="4"/>
    <x v="2"/>
    <x v="1"/>
    <s v="DEPRISA"/>
    <x v="85"/>
    <n v="348.16"/>
    <n v="13.230079999999999"/>
    <n v="361.39008000000001"/>
  </r>
  <r>
    <n v="10463"/>
    <s v="Suprêmes délices"/>
    <x v="13"/>
    <x v="2"/>
    <x v="1"/>
    <s v="DEPRISA"/>
    <x v="86"/>
    <n v="236.48"/>
    <n v="6.1484800000000002"/>
    <n v="242.62848"/>
  </r>
  <r>
    <n v="10477"/>
    <s v="Princesa Isabel Vinhos"/>
    <x v="17"/>
    <x v="2"/>
    <x v="0"/>
    <s v="TCC"/>
    <x v="87"/>
    <n v="208.32"/>
    <n v="8.5411199999999994"/>
    <n v="216.86112"/>
  </r>
  <r>
    <n v="10648"/>
    <s v="Ricardo Adocicados"/>
    <x v="9"/>
    <x v="2"/>
    <x v="0"/>
    <s v="DEPRISA"/>
    <x v="88"/>
    <n v="228"/>
    <n v="5.016"/>
    <n v="233.01599999999999"/>
  </r>
  <r>
    <n v="10649"/>
    <s v="Maison Dewey"/>
    <x v="13"/>
    <x v="2"/>
    <x v="1"/>
    <s v="DEPRISA"/>
    <x v="88"/>
    <n v="396.8"/>
    <n v="10.316800000000001"/>
    <n v="407.11680000000001"/>
  </r>
  <r>
    <n v="10675"/>
    <s v="Frankenversand"/>
    <x v="2"/>
    <x v="2"/>
    <x v="0"/>
    <s v="DEPRISA"/>
    <x v="89"/>
    <n v="509.6"/>
    <n v="12.230399999999999"/>
    <n v="521.83040000000005"/>
  </r>
  <r>
    <n v="10714"/>
    <s v="Save-a-lot Markets"/>
    <x v="0"/>
    <x v="2"/>
    <x v="1"/>
    <s v="DEPRISA"/>
    <x v="90"/>
    <n v="391.84"/>
    <n v="10.97152"/>
    <n v="402.81151999999997"/>
  </r>
  <r>
    <n v="10761"/>
    <s v="Rattlesnake Canyon Grocery"/>
    <x v="0"/>
    <x v="2"/>
    <x v="0"/>
    <s v="DEPRISA"/>
    <x v="91"/>
    <n v="298.56"/>
    <n v="8.3596800000000009"/>
    <n v="306.91968000000003"/>
  </r>
  <r>
    <n v="10870"/>
    <s v="White Clover Markets"/>
    <x v="0"/>
    <x v="2"/>
    <x v="1"/>
    <s v="DEPRISA"/>
    <x v="92"/>
    <n v="770.56"/>
    <n v="21.575679999999998"/>
    <n v="792.13567999999998"/>
  </r>
  <r>
    <n v="10874"/>
    <s v="Godos Cocina Típica"/>
    <x v="7"/>
    <x v="2"/>
    <x v="0"/>
    <s v="DEPRISA"/>
    <x v="69"/>
    <n v="313.27999999999997"/>
    <n v="14.410880000000001"/>
    <n v="327.69087999999999"/>
  </r>
  <r>
    <n v="10899"/>
    <s v="LILA-Supermercado"/>
    <x v="1"/>
    <x v="2"/>
    <x v="1"/>
    <s v="DEPRISA"/>
    <x v="71"/>
    <n v="77.44"/>
    <n v="2.6329600000000002"/>
    <n v="80.072959999999995"/>
  </r>
  <r>
    <n v="11043"/>
    <s v="Spécialités du monde"/>
    <x v="5"/>
    <x v="2"/>
    <x v="0"/>
    <s v="DEPRISA"/>
    <x v="82"/>
    <n v="563.20000000000005"/>
    <n v="11.263999999999999"/>
    <n v="574.46400000000006"/>
  </r>
  <r>
    <n v="10414"/>
    <s v="Familia Arquibaldo"/>
    <x v="9"/>
    <x v="3"/>
    <x v="1"/>
    <s v="DEPRISA"/>
    <x v="93"/>
    <n v="343.68"/>
    <n v="7.5609599999999997"/>
    <n v="351.24095999999997"/>
  </r>
  <r>
    <n v="10471"/>
    <s v="B's Beverages"/>
    <x v="6"/>
    <x v="3"/>
    <x v="1"/>
    <s v="DEPRISA"/>
    <x v="94"/>
    <n v="729.44"/>
    <n v="23.342079999999999"/>
    <n v="752.78207999999995"/>
  </r>
  <r>
    <n v="10478"/>
    <s v="Victuailles en stock"/>
    <x v="5"/>
    <x v="3"/>
    <x v="1"/>
    <s v="DEPRISA"/>
    <x v="95"/>
    <n v="307.83999999999997"/>
    <n v="6.1567999999999996"/>
    <n v="313.99680000000001"/>
  </r>
  <r>
    <n v="10583"/>
    <s v="Wartian Herkku"/>
    <x v="10"/>
    <x v="3"/>
    <x v="0"/>
    <s v="DEPRISA"/>
    <x v="96"/>
    <n v="465.92"/>
    <n v="13.977600000000001"/>
    <n v="479.89760000000001"/>
  </r>
  <r>
    <n v="10615"/>
    <s v="Wilman Kala"/>
    <x v="10"/>
    <x v="3"/>
    <x v="1"/>
    <s v="DEPRISA"/>
    <x v="97"/>
    <n v="2304"/>
    <n v="69.12"/>
    <n v="2373.12"/>
  </r>
  <r>
    <n v="10620"/>
    <s v="Laughing Bacchus Wine Cellars"/>
    <x v="3"/>
    <x v="3"/>
    <x v="1"/>
    <s v="DEPRISA"/>
    <x v="54"/>
    <n v="3619.2256000000002"/>
    <n v="130.2921216"/>
    <n v="3749.5177216000002"/>
  </r>
  <r>
    <n v="10676"/>
    <s v="Tortuga Restaurante"/>
    <x v="8"/>
    <x v="3"/>
    <x v="0"/>
    <s v="DEPRISA"/>
    <x v="98"/>
    <n v="128.63999999999999"/>
    <n v="6.1747199999999998"/>
    <n v="134.81471999999999"/>
  </r>
  <r>
    <n v="10734"/>
    <s v="Gourmet Lanchonetes"/>
    <x v="9"/>
    <x v="3"/>
    <x v="1"/>
    <s v="DEPRISA"/>
    <x v="99"/>
    <n v="104.32"/>
    <n v="2.2950400000000002"/>
    <n v="106.61503999999999"/>
  </r>
  <r>
    <n v="10737"/>
    <s v="Vins et alcools Chevalier"/>
    <x v="5"/>
    <x v="3"/>
    <x v="0"/>
    <s v="DEPRISA"/>
    <x v="100"/>
    <n v="498.56"/>
    <n v="9.9711999999999996"/>
    <n v="508.53120000000001"/>
  </r>
  <r>
    <n v="10752"/>
    <s v="North/South"/>
    <x v="6"/>
    <x v="3"/>
    <x v="1"/>
    <s v="DEPRISA"/>
    <x v="101"/>
    <n v="88.96"/>
    <n v="2.8467199999999999"/>
    <n v="91.806719999999999"/>
  </r>
  <r>
    <n v="10808"/>
    <s v="Old World Delicatessen"/>
    <x v="0"/>
    <x v="3"/>
    <x v="1"/>
    <s v="DEPRISA"/>
    <x v="102"/>
    <n v="728.48"/>
    <n v="20.39744"/>
    <n v="748.87743999999998"/>
  </r>
  <r>
    <n v="10810"/>
    <s v="Laughing Bacchus Wine Cellars"/>
    <x v="3"/>
    <x v="3"/>
    <x v="1"/>
    <s v="DEPRISA"/>
    <x v="102"/>
    <n v="277.12"/>
    <n v="9.9763199999999994"/>
    <n v="287.09631999999999"/>
  </r>
  <r>
    <n v="10815"/>
    <s v="Save-a-lot Markets"/>
    <x v="0"/>
    <x v="3"/>
    <x v="1"/>
    <s v="DEPRISA"/>
    <x v="103"/>
    <n v="233.92"/>
    <n v="6.54976"/>
    <n v="240.46976000000001"/>
  </r>
  <r>
    <n v="10819"/>
    <s v="Cactus Comidas para llevar"/>
    <x v="12"/>
    <x v="3"/>
    <x v="1"/>
    <s v="DEPRISA"/>
    <x v="29"/>
    <n v="316.16000000000003"/>
    <n v="12.6464"/>
    <n v="328.8064"/>
  </r>
  <r>
    <n v="10832"/>
    <s v="La maison d'Asie"/>
    <x v="5"/>
    <x v="3"/>
    <x v="0"/>
    <s v="DEPRISA"/>
    <x v="104"/>
    <n v="692.16"/>
    <n v="13.8432"/>
    <n v="706.00319999999999"/>
  </r>
  <r>
    <n v="10915"/>
    <s v="Tortuga Restaurante"/>
    <x v="8"/>
    <x v="3"/>
    <x v="0"/>
    <s v="DEPRISA"/>
    <x v="105"/>
    <n v="224.64"/>
    <n v="10.782719999999999"/>
    <n v="235.42272"/>
  </r>
  <r>
    <n v="10919"/>
    <s v="LINO-Delicateses"/>
    <x v="1"/>
    <x v="3"/>
    <x v="0"/>
    <s v="DEPRISA"/>
    <x v="74"/>
    <n v="316.8"/>
    <n v="10.7712"/>
    <n v="327.57119999999998"/>
  </r>
  <r>
    <n v="11000"/>
    <s v="Rattlesnake Canyon Grocery"/>
    <x v="0"/>
    <x v="3"/>
    <x v="1"/>
    <s v="DEPRISA"/>
    <x v="38"/>
    <n v="881.92"/>
    <n v="24.693760000000001"/>
    <n v="906.61375999999996"/>
  </r>
  <r>
    <n v="11010"/>
    <s v="Reggiani Caseifici"/>
    <x v="15"/>
    <x v="3"/>
    <x v="0"/>
    <s v="DEPRISA"/>
    <x v="106"/>
    <n v="459.36"/>
    <n v="20.211839999999999"/>
    <n v="479.57184000000001"/>
  </r>
  <r>
    <n v="11014"/>
    <s v="LINO-Delicateses"/>
    <x v="1"/>
    <x v="3"/>
    <x v="1"/>
    <s v="DEPRISA"/>
    <x v="107"/>
    <n v="377.6"/>
    <n v="12.8384"/>
    <n v="390.4384"/>
  </r>
  <r>
    <n v="11015"/>
    <s v="Santé Gourmet"/>
    <x v="18"/>
    <x v="3"/>
    <x v="0"/>
    <s v="DEPRISA"/>
    <x v="107"/>
    <n v="295.68"/>
    <n v="15.375360000000001"/>
    <n v="311.05536000000001"/>
  </r>
  <r>
    <n v="11020"/>
    <s v="Ottilies Käseladen"/>
    <x v="2"/>
    <x v="3"/>
    <x v="0"/>
    <s v="DEPRISA"/>
    <x v="108"/>
    <n v="692.8"/>
    <n v="16.627199999999998"/>
    <n v="709.42719999999997"/>
  </r>
  <r>
    <n v="11035"/>
    <s v="Suprêmes délices"/>
    <x v="13"/>
    <x v="3"/>
    <x v="0"/>
    <s v="DEPRISA"/>
    <x v="109"/>
    <n v="118.37439999999999"/>
    <n v="3.0777344000000002"/>
    <n v="121.45213440000001"/>
  </r>
  <r>
    <n v="11053"/>
    <s v="Piccolo und mehr"/>
    <x v="11"/>
    <x v="3"/>
    <x v="0"/>
    <s v="DEPRISA"/>
    <x v="110"/>
    <n v="848.8"/>
    <n v="49.230400000000003"/>
    <n v="898.03039999999999"/>
  </r>
  <r>
    <n v="11060"/>
    <s v="Franchi S.p.A."/>
    <x v="15"/>
    <x v="3"/>
    <x v="0"/>
    <s v="DEPRISA"/>
    <x v="83"/>
    <n v="702.72"/>
    <n v="30.91968"/>
    <n v="733.63968"/>
  </r>
  <r>
    <n v="11073"/>
    <s v="Pericles Comidas clásicas"/>
    <x v="8"/>
    <x v="3"/>
    <x v="0"/>
    <s v="DEPRISA"/>
    <x v="111"/>
    <n v="399.2"/>
    <n v="19.1616"/>
    <n v="418.36160000000001"/>
  </r>
  <r>
    <n v="10374"/>
    <s v="Wolski Zajazd"/>
    <x v="14"/>
    <x v="4"/>
    <x v="1"/>
    <s v="DEPRISA"/>
    <x v="112"/>
    <n v="252.16"/>
    <n v="12.608000000000001"/>
    <n v="264.76799999999997"/>
  </r>
  <r>
    <n v="10376"/>
    <s v="Mère Paillarde"/>
    <x v="3"/>
    <x v="4"/>
    <x v="0"/>
    <s v="TCC"/>
    <x v="113"/>
    <n v="326.24"/>
    <n v="11.4184"/>
    <n v="337.65839999999997"/>
  </r>
  <r>
    <n v="10377"/>
    <s v="Seven Seas Imports"/>
    <x v="6"/>
    <x v="4"/>
    <x v="1"/>
    <s v="DEPRISA"/>
    <x v="113"/>
    <n v="355.36"/>
    <n v="11.37152"/>
    <n v="366.73151999999999"/>
  </r>
  <r>
    <n v="10385"/>
    <s v="Split Rail Beer &amp; Ale"/>
    <x v="0"/>
    <x v="4"/>
    <x v="0"/>
    <s v="TCC"/>
    <x v="114"/>
    <n v="495.36"/>
    <n v="13.37472"/>
    <n v="508.73471999999998"/>
  </r>
  <r>
    <n v="10394"/>
    <s v="Hungry Coyote Import Store"/>
    <x v="0"/>
    <x v="4"/>
    <x v="1"/>
    <s v="DEPRISA"/>
    <x v="115"/>
    <n v="485.44"/>
    <n v="13.592320000000001"/>
    <n v="499.03232000000003"/>
  </r>
  <r>
    <n v="10453"/>
    <s v="Around the Horn"/>
    <x v="6"/>
    <x v="4"/>
    <x v="0"/>
    <s v="TCC"/>
    <x v="44"/>
    <n v="405.76"/>
    <n v="12.57856"/>
    <n v="418.33855999999997"/>
  </r>
  <r>
    <n v="10473"/>
    <s v="Island Trading"/>
    <x v="6"/>
    <x v="4"/>
    <x v="1"/>
    <s v="DEPRISA"/>
    <x v="116"/>
    <n v="261.92"/>
    <n v="8.3814399999999996"/>
    <n v="270.30144000000001"/>
  </r>
  <r>
    <n v="10482"/>
    <s v="Lazy K Kountry Store"/>
    <x v="0"/>
    <x v="4"/>
    <x v="1"/>
    <s v="DEPRISA"/>
    <x v="117"/>
    <n v="478.72"/>
    <n v="13.404159999999999"/>
    <n v="492.12416000000002"/>
  </r>
  <r>
    <n v="10486"/>
    <s v="HILARIÓN-Abastos"/>
    <x v="1"/>
    <x v="4"/>
    <x v="0"/>
    <s v="TCC"/>
    <x v="118"/>
    <n v="488.48"/>
    <n v="16.11984"/>
    <n v="504.59983999999997"/>
  </r>
  <r>
    <n v="10508"/>
    <s v="Ottilies Käseladen"/>
    <x v="2"/>
    <x v="4"/>
    <x v="0"/>
    <s v="TCC"/>
    <x v="119"/>
    <n v="319.36"/>
    <n v="7.3452799999999998"/>
    <n v="326.70528000000002"/>
  </r>
  <r>
    <n v="10525"/>
    <s v="Bon app'"/>
    <x v="5"/>
    <x v="4"/>
    <x v="0"/>
    <s v="TCC"/>
    <x v="120"/>
    <n v="707.84"/>
    <n v="13.44896"/>
    <n v="721.28895999999997"/>
  </r>
  <r>
    <n v="10542"/>
    <s v="Königlich Essen"/>
    <x v="2"/>
    <x v="4"/>
    <x v="1"/>
    <s v="DEPRISA"/>
    <x v="121"/>
    <n v="700.8"/>
    <n v="16.819199999999999"/>
    <n v="717.61919999999998"/>
  </r>
  <r>
    <n v="10579"/>
    <s v="Let's Stop N Shop"/>
    <x v="0"/>
    <x v="4"/>
    <x v="0"/>
    <s v="DEPRISA"/>
    <x v="122"/>
    <n v="219.68"/>
    <n v="6.1510400000000001"/>
    <n v="225.83104"/>
  </r>
  <r>
    <n v="10598"/>
    <s v="Rattlesnake Canyon Grocery"/>
    <x v="0"/>
    <x v="4"/>
    <x v="1"/>
    <s v="DEPRISA"/>
    <x v="123"/>
    <n v="710.72"/>
    <n v="19.90016"/>
    <n v="730.62016000000006"/>
  </r>
  <r>
    <n v="10630"/>
    <s v="Königlich Essen"/>
    <x v="2"/>
    <x v="4"/>
    <x v="0"/>
    <s v="DEPRISA"/>
    <x v="124"/>
    <n v="517.6"/>
    <n v="12.4224"/>
    <n v="530.02239999999995"/>
  </r>
  <r>
    <n v="10655"/>
    <s v="Reggiani Caseifici"/>
    <x v="15"/>
    <x v="4"/>
    <x v="0"/>
    <s v="DEPRISA"/>
    <x v="125"/>
    <n v="282.24"/>
    <n v="12.418559999999999"/>
    <n v="294.65856000000002"/>
  </r>
  <r>
    <n v="10664"/>
    <s v="Furia Bacalhau e Frutos do Mar"/>
    <x v="17"/>
    <x v="4"/>
    <x v="1"/>
    <s v="DEPRISA"/>
    <x v="126"/>
    <n v="81.28"/>
    <n v="3.4137599999999999"/>
    <n v="84.693759999999997"/>
  </r>
  <r>
    <n v="10665"/>
    <s v="Lonesome Pine Restaurant"/>
    <x v="0"/>
    <x v="4"/>
    <x v="0"/>
    <s v="DEPRISA"/>
    <x v="127"/>
    <n v="420.96"/>
    <n v="11.78688"/>
    <n v="432.74687999999998"/>
  </r>
  <r>
    <n v="10677"/>
    <s v="Antonio Moreno Taquería"/>
    <x v="8"/>
    <x v="4"/>
    <x v="1"/>
    <s v="DEPRISA"/>
    <x v="98"/>
    <n v="257.92"/>
    <n v="12.38016"/>
    <n v="270.30016000000001"/>
  </r>
  <r>
    <n v="10689"/>
    <s v="Berglunds snabbköp"/>
    <x v="4"/>
    <x v="4"/>
    <x v="0"/>
    <s v="DEPRISA"/>
    <x v="128"/>
    <n v="214.72"/>
    <n v="8.1593599999999995"/>
    <n v="222.87935999999999"/>
  </r>
  <r>
    <n v="10743"/>
    <s v="Around the Horn"/>
    <x v="6"/>
    <x v="4"/>
    <x v="0"/>
    <s v="DEPRISA"/>
    <x v="129"/>
    <n v="379.52"/>
    <n v="12.144640000000001"/>
    <n v="391.66464000000002"/>
  </r>
  <r>
    <n v="10746"/>
    <s v="Chop-suey Chinese"/>
    <x v="16"/>
    <x v="4"/>
    <x v="1"/>
    <s v="DEPRISA"/>
    <x v="130"/>
    <n v="502.88"/>
    <n v="28.161280000000001"/>
    <n v="531.04128000000003"/>
  </r>
  <r>
    <n v="10785"/>
    <s v="GROSELLA-Restaurante"/>
    <x v="1"/>
    <x v="4"/>
    <x v="1"/>
    <s v="DEPRISA"/>
    <x v="131"/>
    <n v="96.64"/>
    <n v="3.2857599999999998"/>
    <n v="99.925759999999997"/>
  </r>
  <r>
    <n v="10788"/>
    <s v="QUICK-Stop"/>
    <x v="2"/>
    <x v="4"/>
    <x v="0"/>
    <s v="DEPRISA"/>
    <x v="132"/>
    <n v="683.2"/>
    <n v="16.396799999999999"/>
    <n v="699.59680000000003"/>
  </r>
  <r>
    <n v="10792"/>
    <s v="Wolski Zajazd"/>
    <x v="14"/>
    <x v="4"/>
    <x v="1"/>
    <s v="DEPRISA"/>
    <x v="133"/>
    <n v="380.64"/>
    <n v="19.032"/>
    <n v="399.67200000000003"/>
  </r>
  <r>
    <n v="10834"/>
    <s v="Tradição Hipermercados"/>
    <x v="9"/>
    <x v="4"/>
    <x v="1"/>
    <s v="DEPRISA"/>
    <x v="134"/>
    <n v="476.48"/>
    <n v="10.482559999999999"/>
    <n v="486.96256"/>
  </r>
  <r>
    <n v="10842"/>
    <s v="Tortuga Restaurante"/>
    <x v="8"/>
    <x v="4"/>
    <x v="1"/>
    <s v="DEPRISA"/>
    <x v="135"/>
    <n v="870.72"/>
    <n v="41.794559999999997"/>
    <n v="912.51455999999996"/>
  </r>
  <r>
    <n v="10900"/>
    <s v="Wellington Importadora"/>
    <x v="9"/>
    <x v="4"/>
    <x v="0"/>
    <s v="DEPRISA"/>
    <x v="71"/>
    <n v="106.24"/>
    <n v="2.3372799999999998"/>
    <n v="108.57728"/>
  </r>
  <r>
    <n v="10910"/>
    <s v="Wilman Kala"/>
    <x v="10"/>
    <x v="4"/>
    <x v="1"/>
    <s v="DEPRISA"/>
    <x v="73"/>
    <n v="609.76"/>
    <n v="18.2928"/>
    <n v="628.05280000000005"/>
  </r>
  <r>
    <n v="10946"/>
    <s v="Vaffeljernet"/>
    <x v="19"/>
    <x v="4"/>
    <x v="0"/>
    <s v="DEPRISA"/>
    <x v="136"/>
    <n v="435.2"/>
    <n v="23.500800000000002"/>
    <n v="458.70080000000002"/>
  </r>
  <r>
    <n v="10950"/>
    <s v="Magazzini Alimentari Riuniti"/>
    <x v="15"/>
    <x v="4"/>
    <x v="0"/>
    <s v="DEPRISA"/>
    <x v="137"/>
    <n v="160"/>
    <n v="7.04"/>
    <n v="167.04"/>
  </r>
  <r>
    <n v="10969"/>
    <s v="Comércio Mineiro"/>
    <x v="9"/>
    <x v="4"/>
    <x v="0"/>
    <s v="DEPRISA"/>
    <x v="138"/>
    <n v="180.6336"/>
    <n v="3.9739391999999998"/>
    <n v="184.60753919999999"/>
  </r>
  <r>
    <n v="10975"/>
    <s v="Bottom-Dollar Markets"/>
    <x v="3"/>
    <x v="4"/>
    <x v="1"/>
    <s v="DEPRISA"/>
    <x v="37"/>
    <n v="516.32000000000005"/>
    <n v="18.587520000000001"/>
    <n v="534.90751999999998"/>
  </r>
  <r>
    <n v="10992"/>
    <s v="The Big Cheese"/>
    <x v="0"/>
    <x v="4"/>
    <x v="1"/>
    <s v="DEPRISA"/>
    <x v="139"/>
    <n v="273.27999999999997"/>
    <n v="7.65184"/>
    <n v="280.93184000000002"/>
  </r>
  <r>
    <n v="11038"/>
    <s v="Suprêmes délices"/>
    <x v="13"/>
    <x v="4"/>
    <x v="0"/>
    <s v="DEPRISA"/>
    <x v="140"/>
    <n v="473.44"/>
    <n v="12.30944"/>
    <n v="485.74943999999999"/>
  </r>
  <r>
    <n v="11067"/>
    <s v="Drachenblut Delikatessen"/>
    <x v="2"/>
    <x v="4"/>
    <x v="0"/>
    <s v="DEPRISA"/>
    <x v="141"/>
    <n v="510.72"/>
    <n v="12.25728"/>
    <n v="522.97727999999995"/>
  </r>
  <r>
    <n v="11069"/>
    <s v="Tortuga Restaurante"/>
    <x v="8"/>
    <x v="4"/>
    <x v="0"/>
    <s v="DEPRISA"/>
    <x v="141"/>
    <n v="250.72"/>
    <n v="12.034560000000001"/>
    <n v="262.75456000000003"/>
  </r>
  <r>
    <n v="11077"/>
    <s v="Rattlesnake Canyon Grocery"/>
    <x v="0"/>
    <x v="4"/>
    <x v="0"/>
    <s v="DEPRISA"/>
    <x v="84"/>
    <n v="545.91999999999996"/>
    <n v="15.28576"/>
    <n v="561.205760000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AC8117-A84C-43A6-B620-353CEE80C69E}" name="TablaDinámica3" cacheId="2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2">
  <location ref="A28:B36" firstHeaderRow="1" firstDataRow="1" firstDataCol="1"/>
  <pivotFields count="10">
    <pivotField showAll="0"/>
    <pivotField showAll="0"/>
    <pivotField axis="axisRow" showAll="0">
      <items count="21">
        <item x="2"/>
        <item x="12"/>
        <item x="11"/>
        <item x="13"/>
        <item x="9"/>
        <item x="3"/>
        <item x="19"/>
        <item x="7"/>
        <item x="0"/>
        <item x="10"/>
        <item x="5"/>
        <item x="15"/>
        <item x="8"/>
        <item x="18"/>
        <item x="14"/>
        <item x="17"/>
        <item x="6"/>
        <item x="4"/>
        <item x="16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14" showAll="0">
      <items count="143">
        <item x="112"/>
        <item x="0"/>
        <item x="113"/>
        <item x="85"/>
        <item x="1"/>
        <item x="114"/>
        <item x="2"/>
        <item x="115"/>
        <item x="3"/>
        <item x="93"/>
        <item x="41"/>
        <item x="42"/>
        <item x="4"/>
        <item x="5"/>
        <item x="6"/>
        <item x="7"/>
        <item x="43"/>
        <item x="8"/>
        <item x="44"/>
        <item x="45"/>
        <item x="86"/>
        <item x="9"/>
        <item x="94"/>
        <item x="116"/>
        <item x="87"/>
        <item x="95"/>
        <item x="117"/>
        <item x="10"/>
        <item x="118"/>
        <item x="46"/>
        <item x="11"/>
        <item x="12"/>
        <item x="119"/>
        <item x="13"/>
        <item x="120"/>
        <item x="121"/>
        <item x="14"/>
        <item x="47"/>
        <item x="15"/>
        <item x="48"/>
        <item x="16"/>
        <item x="49"/>
        <item x="122"/>
        <item x="17"/>
        <item x="96"/>
        <item x="50"/>
        <item x="18"/>
        <item x="123"/>
        <item x="51"/>
        <item x="52"/>
        <item x="97"/>
        <item x="53"/>
        <item x="54"/>
        <item x="55"/>
        <item x="124"/>
        <item x="19"/>
        <item x="56"/>
        <item x="88"/>
        <item x="57"/>
        <item x="125"/>
        <item x="20"/>
        <item x="126"/>
        <item x="127"/>
        <item x="58"/>
        <item x="89"/>
        <item x="98"/>
        <item x="21"/>
        <item x="59"/>
        <item x="128"/>
        <item x="22"/>
        <item x="60"/>
        <item x="90"/>
        <item x="61"/>
        <item x="62"/>
        <item x="99"/>
        <item x="100"/>
        <item x="23"/>
        <item x="63"/>
        <item x="129"/>
        <item x="130"/>
        <item x="101"/>
        <item x="64"/>
        <item x="24"/>
        <item x="91"/>
        <item x="25"/>
        <item x="26"/>
        <item x="65"/>
        <item x="131"/>
        <item x="132"/>
        <item x="133"/>
        <item x="27"/>
        <item x="28"/>
        <item x="102"/>
        <item x="103"/>
        <item x="29"/>
        <item x="104"/>
        <item x="134"/>
        <item x="30"/>
        <item x="135"/>
        <item x="66"/>
        <item x="31"/>
        <item x="67"/>
        <item x="68"/>
        <item x="92"/>
        <item x="69"/>
        <item x="32"/>
        <item x="70"/>
        <item x="71"/>
        <item x="33"/>
        <item x="72"/>
        <item x="73"/>
        <item x="105"/>
        <item x="74"/>
        <item x="75"/>
        <item x="76"/>
        <item x="77"/>
        <item x="34"/>
        <item x="35"/>
        <item x="78"/>
        <item x="136"/>
        <item x="36"/>
        <item x="137"/>
        <item x="138"/>
        <item x="79"/>
        <item x="37"/>
        <item x="139"/>
        <item x="80"/>
        <item x="38"/>
        <item x="39"/>
        <item x="106"/>
        <item x="107"/>
        <item x="81"/>
        <item x="108"/>
        <item x="109"/>
        <item x="140"/>
        <item x="82"/>
        <item x="110"/>
        <item x="40"/>
        <item x="83"/>
        <item x="141"/>
        <item x="111"/>
        <item x="84"/>
        <item t="default"/>
      </items>
    </pivotField>
    <pivotField numFmtId="44" showAll="0"/>
    <pivotField numFmtId="164" showAll="0"/>
    <pivotField dataField="1" numFmtId="164" showAll="0"/>
  </pivotFields>
  <rowFields count="1">
    <field x="2"/>
  </rowFields>
  <rowItems count="8">
    <i>
      <x/>
    </i>
    <i>
      <x v="1"/>
    </i>
    <i>
      <x v="5"/>
    </i>
    <i>
      <x v="8"/>
    </i>
    <i>
      <x v="10"/>
    </i>
    <i>
      <x v="16"/>
    </i>
    <i>
      <x v="17"/>
    </i>
    <i t="grand">
      <x/>
    </i>
  </rowItems>
  <colItems count="1">
    <i/>
  </colItems>
  <dataFields count="1">
    <dataField name="Suma de Total" fld="9" showDataAs="percentOfTotal" baseField="2" baseItem="0" numFmtId="10"/>
  </dataFields>
  <chartFormats count="29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5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5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5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5" format="3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5" format="35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5" format="36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5" format="3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5" format="38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5" format="39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5" format="40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5" format="4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5" format="42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</chartFormats>
  <pivotTableStyleInfo name="PivotStyleLight17" showRowHeaders="1" showColHeaders="1" showRowStripes="0" showColStripes="0" showLastColumn="1"/>
  <filters count="1">
    <filter fld="6" type="dateBetween" evalOrder="-1" id="25" name="Fecha">
      <autoFilter ref="A1">
        <filterColumn colId="0">
          <customFilters and="1">
            <customFilter operator="greaterThanOrEqual" val="41334"/>
            <customFilter operator="lessThanOrEqual" val="4136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94DE94-7F5E-4F6B-8662-B0CD5206FD18}" name="TablaDinámica2" cacheId="2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29">
  <location ref="A3:B11" firstHeaderRow="1" firstDataRow="1" firstDataCol="1"/>
  <pivotFields count="10">
    <pivotField showAll="0"/>
    <pivotField showAll="0"/>
    <pivotField axis="axisRow" showAll="0" sortType="ascending">
      <items count="21">
        <item x="2"/>
        <item x="12"/>
        <item x="11"/>
        <item x="13"/>
        <item x="9"/>
        <item x="3"/>
        <item x="19"/>
        <item x="7"/>
        <item x="0"/>
        <item x="10"/>
        <item x="5"/>
        <item x="15"/>
        <item x="8"/>
        <item x="18"/>
        <item x="14"/>
        <item x="17"/>
        <item x="6"/>
        <item x="4"/>
        <item x="16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14" showAll="0">
      <items count="143">
        <item x="112"/>
        <item x="0"/>
        <item x="113"/>
        <item x="85"/>
        <item x="1"/>
        <item x="114"/>
        <item x="2"/>
        <item x="115"/>
        <item x="3"/>
        <item x="93"/>
        <item x="41"/>
        <item x="42"/>
        <item x="4"/>
        <item x="5"/>
        <item x="6"/>
        <item x="7"/>
        <item x="43"/>
        <item x="8"/>
        <item x="44"/>
        <item x="45"/>
        <item x="86"/>
        <item x="9"/>
        <item x="94"/>
        <item x="116"/>
        <item x="87"/>
        <item x="95"/>
        <item x="117"/>
        <item x="10"/>
        <item x="118"/>
        <item x="46"/>
        <item x="11"/>
        <item x="12"/>
        <item x="119"/>
        <item x="13"/>
        <item x="120"/>
        <item x="121"/>
        <item x="14"/>
        <item x="47"/>
        <item x="15"/>
        <item x="48"/>
        <item x="16"/>
        <item x="49"/>
        <item x="122"/>
        <item x="17"/>
        <item x="96"/>
        <item x="50"/>
        <item x="18"/>
        <item x="123"/>
        <item x="51"/>
        <item x="52"/>
        <item x="97"/>
        <item x="53"/>
        <item x="54"/>
        <item x="55"/>
        <item x="124"/>
        <item x="19"/>
        <item x="56"/>
        <item x="88"/>
        <item x="57"/>
        <item x="125"/>
        <item x="20"/>
        <item x="126"/>
        <item x="127"/>
        <item x="58"/>
        <item x="89"/>
        <item x="98"/>
        <item x="21"/>
        <item x="59"/>
        <item x="128"/>
        <item x="22"/>
        <item x="60"/>
        <item x="90"/>
        <item x="61"/>
        <item x="62"/>
        <item x="99"/>
        <item x="100"/>
        <item x="23"/>
        <item x="63"/>
        <item x="129"/>
        <item x="130"/>
        <item x="101"/>
        <item x="64"/>
        <item x="24"/>
        <item x="91"/>
        <item x="25"/>
        <item x="26"/>
        <item x="65"/>
        <item x="131"/>
        <item x="132"/>
        <item x="133"/>
        <item x="27"/>
        <item x="28"/>
        <item x="102"/>
        <item x="103"/>
        <item x="29"/>
        <item x="104"/>
        <item x="134"/>
        <item x="30"/>
        <item x="135"/>
        <item x="66"/>
        <item x="31"/>
        <item x="67"/>
        <item x="68"/>
        <item x="92"/>
        <item x="69"/>
        <item x="32"/>
        <item x="70"/>
        <item x="71"/>
        <item x="33"/>
        <item x="72"/>
        <item x="73"/>
        <item x="105"/>
        <item x="74"/>
        <item x="75"/>
        <item x="76"/>
        <item x="77"/>
        <item x="34"/>
        <item x="35"/>
        <item x="78"/>
        <item x="136"/>
        <item x="36"/>
        <item x="137"/>
        <item x="138"/>
        <item x="79"/>
        <item x="37"/>
        <item x="139"/>
        <item x="80"/>
        <item x="38"/>
        <item x="39"/>
        <item x="106"/>
        <item x="107"/>
        <item x="81"/>
        <item x="108"/>
        <item x="109"/>
        <item x="140"/>
        <item x="82"/>
        <item x="110"/>
        <item x="40"/>
        <item x="83"/>
        <item x="141"/>
        <item x="111"/>
        <item x="84"/>
        <item t="default"/>
      </items>
    </pivotField>
    <pivotField numFmtId="44" showAll="0"/>
    <pivotField numFmtId="164" showAll="0"/>
    <pivotField dataField="1" numFmtId="164" showAll="0"/>
  </pivotFields>
  <rowFields count="1">
    <field x="2"/>
  </rowFields>
  <rowItems count="8">
    <i>
      <x/>
    </i>
    <i>
      <x v="1"/>
    </i>
    <i>
      <x v="5"/>
    </i>
    <i>
      <x v="8"/>
    </i>
    <i>
      <x v="10"/>
    </i>
    <i>
      <x v="16"/>
    </i>
    <i>
      <x v="17"/>
    </i>
    <i t="grand">
      <x/>
    </i>
  </rowItems>
  <colItems count="1">
    <i/>
  </colItems>
  <dataFields count="1">
    <dataField name="Suma de Total" fld="9" baseField="2" baseItem="0" numFmtId="164"/>
  </dataFields>
  <formats count="1">
    <format dxfId="0">
      <pivotArea collapsedLevelsAreSubtotals="1" fieldPosition="0">
        <references count="1">
          <reference field="2" count="0"/>
        </references>
      </pivotArea>
    </format>
  </formats>
  <chartFormats count="2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filters count="1">
    <filter fld="6" type="dateBetween" evalOrder="-1" id="25" name="Fecha">
      <autoFilter ref="A1">
        <filterColumn colId="0">
          <customFilters and="1">
            <customFilter operator="greaterThanOrEqual" val="41334"/>
            <customFilter operator="lessThanOrEqual" val="4136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591BA3-7BDB-4AB3-99CA-C1AE58E3E436}" name="TablaDinámica4" cacheId="2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4">
  <location ref="A55:D60" firstHeaderRow="1" firstDataRow="2" firstDataCol="1"/>
  <pivotFields count="10">
    <pivotField showAll="0"/>
    <pivotField showAll="0"/>
    <pivotField showAll="0"/>
    <pivotField axis="axisRow" showAll="0">
      <items count="6">
        <item x="0"/>
        <item x="1"/>
        <item x="3"/>
        <item x="4"/>
        <item x="2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numFmtId="14" showAll="0">
      <items count="143">
        <item x="112"/>
        <item x="0"/>
        <item x="113"/>
        <item x="85"/>
        <item x="1"/>
        <item x="114"/>
        <item x="2"/>
        <item x="115"/>
        <item x="3"/>
        <item x="93"/>
        <item x="41"/>
        <item x="42"/>
        <item x="4"/>
        <item x="5"/>
        <item x="6"/>
        <item x="7"/>
        <item x="43"/>
        <item x="8"/>
        <item x="44"/>
        <item x="45"/>
        <item x="86"/>
        <item x="9"/>
        <item x="94"/>
        <item x="116"/>
        <item x="87"/>
        <item x="95"/>
        <item x="117"/>
        <item x="10"/>
        <item x="118"/>
        <item x="46"/>
        <item x="11"/>
        <item x="12"/>
        <item x="119"/>
        <item x="13"/>
        <item x="120"/>
        <item x="121"/>
        <item x="14"/>
        <item x="47"/>
        <item x="15"/>
        <item x="48"/>
        <item x="16"/>
        <item x="49"/>
        <item x="122"/>
        <item x="17"/>
        <item x="96"/>
        <item x="50"/>
        <item x="18"/>
        <item x="123"/>
        <item x="51"/>
        <item x="52"/>
        <item x="97"/>
        <item x="53"/>
        <item x="54"/>
        <item x="55"/>
        <item x="124"/>
        <item x="19"/>
        <item x="56"/>
        <item x="88"/>
        <item x="57"/>
        <item x="125"/>
        <item x="20"/>
        <item x="126"/>
        <item x="127"/>
        <item x="58"/>
        <item x="89"/>
        <item x="98"/>
        <item x="21"/>
        <item x="59"/>
        <item x="128"/>
        <item x="22"/>
        <item x="60"/>
        <item x="90"/>
        <item x="61"/>
        <item x="62"/>
        <item x="99"/>
        <item x="100"/>
        <item x="23"/>
        <item x="63"/>
        <item x="129"/>
        <item x="130"/>
        <item x="101"/>
        <item x="64"/>
        <item x="24"/>
        <item x="91"/>
        <item x="25"/>
        <item x="26"/>
        <item x="65"/>
        <item x="131"/>
        <item x="132"/>
        <item x="133"/>
        <item x="27"/>
        <item x="28"/>
        <item x="102"/>
        <item x="103"/>
        <item x="29"/>
        <item x="104"/>
        <item x="134"/>
        <item x="30"/>
        <item x="135"/>
        <item x="66"/>
        <item x="31"/>
        <item x="67"/>
        <item x="68"/>
        <item x="92"/>
        <item x="69"/>
        <item x="32"/>
        <item x="70"/>
        <item x="71"/>
        <item x="33"/>
        <item x="72"/>
        <item x="73"/>
        <item x="105"/>
        <item x="74"/>
        <item x="75"/>
        <item x="76"/>
        <item x="77"/>
        <item x="34"/>
        <item x="35"/>
        <item x="78"/>
        <item x="136"/>
        <item x="36"/>
        <item x="137"/>
        <item x="138"/>
        <item x="79"/>
        <item x="37"/>
        <item x="139"/>
        <item x="80"/>
        <item x="38"/>
        <item x="39"/>
        <item x="106"/>
        <item x="107"/>
        <item x="81"/>
        <item x="108"/>
        <item x="109"/>
        <item x="140"/>
        <item x="82"/>
        <item x="110"/>
        <item x="40"/>
        <item x="83"/>
        <item x="141"/>
        <item x="111"/>
        <item x="84"/>
        <item t="default"/>
      </items>
    </pivotField>
    <pivotField numFmtId="44" showAll="0"/>
    <pivotField numFmtId="164" showAll="0"/>
    <pivotField dataField="1" numFmtId="164" showAll="0"/>
  </pivotFields>
  <rowFields count="1">
    <field x="3"/>
  </rowFields>
  <rowItems count="4">
    <i>
      <x/>
    </i>
    <i>
      <x v="1"/>
    </i>
    <i>
      <x v="3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a de Total" fld="9" baseField="0" baseItem="0" numFmtId="164"/>
  </dataFields>
  <chartFormats count="6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filters count="1">
    <filter fld="6" type="dateBetween" evalOrder="-1" id="60" name="Fecha">
      <autoFilter ref="A1">
        <filterColumn colId="0">
          <customFilters and="1">
            <customFilter operator="greaterThanOrEqual" val="41334"/>
            <customFilter operator="lessThanOrEqual" val="4136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p" xr10:uid="{322FAFB8-F3ED-47C0-839A-F462BF11109A}" sourceName="Fp">
  <pivotTables>
    <pivotTable tabId="2" name="TablaDinámica2"/>
    <pivotTable tabId="2" name="TablaDinámica3"/>
    <pivotTable tabId="2" name="TablaDinámica4"/>
  </pivotTables>
  <data>
    <tabular pivotCacheId="349658993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p" xr10:uid="{809FCD22-F5F7-42E1-93A6-354B38990DB7}" cache="SegmentaciónDeDatos_Fp" caption="Fp" style="SlicerStyleLight2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p 1" xr10:uid="{33790B5D-0C15-4CD7-B94B-4CE108A5BB2C}" cache="SegmentaciónDeDatos_Fp" caption="Fp" style="SlicerStyleLight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2075AA-635A-43D0-AC43-E759A4E09850}" name="Tabla1" displayName="Tabla1" ref="A1:J168" totalsRowShown="0" headerRowDxfId="8" headerRowBorderDxfId="7" tableBorderDxfId="6">
  <autoFilter ref="A1:J168" xr:uid="{D32075AA-635A-43D0-AC43-E759A4E09850}"/>
  <tableColumns count="10">
    <tableColumn id="1" xr3:uid="{EA32C52A-4D0C-42BA-BB24-DBFD8B15B8A5}" name="No Aportes" dataDxfId="5"/>
    <tableColumn id="2" xr3:uid="{9F35BCFB-55F7-4B65-8F20-58139954999B}" name="Razon Social"/>
    <tableColumn id="3" xr3:uid="{7930B294-21D4-4B1E-BC4B-1B23BF03D4BB}" name="País"/>
    <tableColumn id="4" xr3:uid="{099F0559-1F76-4F6F-A13D-7339F8018E1E}" name="Contacto "/>
    <tableColumn id="5" xr3:uid="{516721D8-035F-45C5-AA00-8011097D3FCE}" name="Fp"/>
    <tableColumn id="6" xr3:uid="{7D373518-65B6-4D59-9875-DED8514F32B0}" name="Compañía"/>
    <tableColumn id="7" xr3:uid="{7A726296-25D0-40AE-BEDA-9FD84455EDE3}" name="Fecha" dataDxfId="4"/>
    <tableColumn id="8" xr3:uid="{CA863499-A5A8-431B-BB13-26E3226082BE}" name="Aporte" dataDxfId="3"/>
    <tableColumn id="9" xr3:uid="{3C2C718A-B668-4BB5-BC12-82A7FD3E7445}" name="Bono" dataDxfId="2"/>
    <tableColumn id="10" xr3:uid="{73C77D12-0743-4A6A-9514-625616A59E75}" name="Total" dataDxfId="1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5D27B97B-17A2-4D85-8180-DECDAEFF8181}" sourceName="Fecha">
  <pivotTables>
    <pivotTable tabId="2" name="TablaDinámica4"/>
    <pivotTable tabId="2" name="TablaDinámica2"/>
    <pivotTable tabId="2" name="TablaDinámica3"/>
  </pivotTables>
  <state minimalRefreshVersion="6" lastRefreshVersion="6" pivotCacheId="349658993" filterType="dateBetween">
    <selection startDate="2013-03-01T00:00:00" endDate="2013-03-31T00:00:00"/>
    <bounds startDate="2013-01-01T00:00:00" endDate="201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BA94F4DD-3FCD-4B14-8E40-877F1DE274FD}" cache="NativeTimeline_Fecha" caption="Fecha" level="2" selectionLevel="2" scrollPosition="2013-01-01T00:00:00" style="TimeSlicerStyleLight2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 1" xr10:uid="{92B6A1BE-A49C-4EEF-BD28-FD657C01C08E}" cache="NativeTimeline_Fecha" caption="Fecha" level="2" selectionLevel="2" scrollPosition="2013-03-01T00:00:00" style="TimeSlicerStyleLight2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11/relationships/timeline" Target="../timelines/timelin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1/relationships/timeline" Target="../timelines/timelin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CB4A4-F3F2-4E62-BEA8-9687A9A88562}">
  <dimension ref="A1:J168"/>
  <sheetViews>
    <sheetView workbookViewId="0">
      <selection activeCell="K9" sqref="K9"/>
    </sheetView>
  </sheetViews>
  <sheetFormatPr baseColWidth="10" defaultRowHeight="14.4" x14ac:dyDescent="0.3"/>
  <cols>
    <col min="1" max="1" width="12" customWidth="1"/>
    <col min="2" max="2" width="28.44140625" customWidth="1"/>
    <col min="3" max="3" width="18.6640625" customWidth="1"/>
  </cols>
  <sheetData>
    <row r="1" spans="1:10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1" t="s">
        <v>9</v>
      </c>
    </row>
    <row r="2" spans="1:10" x14ac:dyDescent="0.3">
      <c r="A2" s="4">
        <v>10375</v>
      </c>
      <c r="B2" t="s">
        <v>39</v>
      </c>
      <c r="C2" t="s">
        <v>19</v>
      </c>
      <c r="D2" t="s">
        <v>14</v>
      </c>
      <c r="E2" t="s">
        <v>12</v>
      </c>
      <c r="F2" t="s">
        <v>10</v>
      </c>
      <c r="G2" s="3">
        <v>41280</v>
      </c>
      <c r="H2" s="2">
        <v>321.92</v>
      </c>
      <c r="I2" s="1">
        <v>8.6918399999999991</v>
      </c>
      <c r="J2" s="1">
        <v>330.61183999999997</v>
      </c>
    </row>
    <row r="3" spans="1:10" x14ac:dyDescent="0.3">
      <c r="A3" s="4">
        <v>10381</v>
      </c>
      <c r="B3" t="s">
        <v>40</v>
      </c>
      <c r="C3" t="s">
        <v>20</v>
      </c>
      <c r="D3" t="s">
        <v>14</v>
      </c>
      <c r="E3" t="s">
        <v>13</v>
      </c>
      <c r="F3" t="s">
        <v>11</v>
      </c>
      <c r="G3" s="3">
        <v>41286</v>
      </c>
      <c r="H3" s="2">
        <v>511.36</v>
      </c>
      <c r="I3" s="1">
        <v>17.386240000000001</v>
      </c>
      <c r="J3" s="1">
        <v>528.74623999999994</v>
      </c>
    </row>
    <row r="4" spans="1:10" x14ac:dyDescent="0.3">
      <c r="A4" s="4">
        <v>10391</v>
      </c>
      <c r="B4" t="s">
        <v>41</v>
      </c>
      <c r="C4" t="s">
        <v>21</v>
      </c>
      <c r="D4" t="s">
        <v>14</v>
      </c>
      <c r="E4" t="s">
        <v>13</v>
      </c>
      <c r="F4" t="s">
        <v>11</v>
      </c>
      <c r="G4" s="3">
        <v>41297</v>
      </c>
      <c r="H4" s="2">
        <v>348.8</v>
      </c>
      <c r="I4" s="1">
        <v>8.3712</v>
      </c>
      <c r="J4" s="1">
        <v>357.1712</v>
      </c>
    </row>
    <row r="5" spans="1:10" x14ac:dyDescent="0.3">
      <c r="A5" s="4">
        <v>10410</v>
      </c>
      <c r="B5" t="s">
        <v>42</v>
      </c>
      <c r="C5" t="s">
        <v>22</v>
      </c>
      <c r="D5" t="s">
        <v>14</v>
      </c>
      <c r="E5" t="s">
        <v>13</v>
      </c>
      <c r="F5" t="s">
        <v>11</v>
      </c>
      <c r="G5" s="3">
        <v>41315</v>
      </c>
      <c r="H5" s="2">
        <v>153.6</v>
      </c>
      <c r="I5" s="1">
        <v>5.5296000000000003</v>
      </c>
      <c r="J5" s="1">
        <v>159.12960000000001</v>
      </c>
    </row>
    <row r="6" spans="1:10" x14ac:dyDescent="0.3">
      <c r="A6" s="4">
        <v>10432</v>
      </c>
      <c r="B6" t="s">
        <v>43</v>
      </c>
      <c r="C6" t="s">
        <v>19</v>
      </c>
      <c r="D6" t="s">
        <v>14</v>
      </c>
      <c r="E6" t="s">
        <v>12</v>
      </c>
      <c r="F6" t="s">
        <v>10</v>
      </c>
      <c r="G6" s="3">
        <v>41336</v>
      </c>
      <c r="H6" s="2">
        <v>277.76</v>
      </c>
      <c r="I6" s="1">
        <v>7.4995200000000004</v>
      </c>
      <c r="J6" s="1">
        <v>285.25952000000001</v>
      </c>
    </row>
    <row r="7" spans="1:10" x14ac:dyDescent="0.3">
      <c r="A7" s="4">
        <v>10434</v>
      </c>
      <c r="B7" t="s">
        <v>44</v>
      </c>
      <c r="C7" t="s">
        <v>23</v>
      </c>
      <c r="D7" t="s">
        <v>14</v>
      </c>
      <c r="E7" t="s">
        <v>12</v>
      </c>
      <c r="F7" t="s">
        <v>10</v>
      </c>
      <c r="G7" s="3">
        <v>41339</v>
      </c>
      <c r="H7" s="2">
        <v>286.72000000000003</v>
      </c>
      <c r="I7" s="1">
        <v>10.608639999999999</v>
      </c>
      <c r="J7" s="1">
        <v>297.32864000000001</v>
      </c>
    </row>
    <row r="8" spans="1:10" x14ac:dyDescent="0.3">
      <c r="A8" s="4">
        <v>10438</v>
      </c>
      <c r="B8" t="s">
        <v>45</v>
      </c>
      <c r="C8" t="s">
        <v>21</v>
      </c>
      <c r="D8" t="s">
        <v>14</v>
      </c>
      <c r="E8" t="s">
        <v>12</v>
      </c>
      <c r="F8" t="s">
        <v>10</v>
      </c>
      <c r="G8" s="3">
        <v>41342</v>
      </c>
      <c r="H8" s="2">
        <v>527.36</v>
      </c>
      <c r="I8" s="1">
        <v>12.12928</v>
      </c>
      <c r="J8" s="1">
        <v>539.48928000000001</v>
      </c>
    </row>
    <row r="9" spans="1:10" x14ac:dyDescent="0.3">
      <c r="A9" s="4">
        <v>10444</v>
      </c>
      <c r="B9" t="s">
        <v>46</v>
      </c>
      <c r="C9" t="s">
        <v>23</v>
      </c>
      <c r="D9" t="s">
        <v>14</v>
      </c>
      <c r="E9" t="s">
        <v>13</v>
      </c>
      <c r="F9" t="s">
        <v>11</v>
      </c>
      <c r="G9" s="3">
        <v>41348</v>
      </c>
      <c r="H9" s="2">
        <v>224</v>
      </c>
      <c r="I9" s="1">
        <v>8.5120000000000005</v>
      </c>
      <c r="J9" s="1">
        <v>232.512</v>
      </c>
    </row>
    <row r="10" spans="1:10" x14ac:dyDescent="0.3">
      <c r="A10" s="4">
        <v>10449</v>
      </c>
      <c r="B10" t="s">
        <v>47</v>
      </c>
      <c r="C10" t="s">
        <v>24</v>
      </c>
      <c r="D10" t="s">
        <v>14</v>
      </c>
      <c r="E10" t="s">
        <v>12</v>
      </c>
      <c r="F10" t="s">
        <v>10</v>
      </c>
      <c r="G10" s="3">
        <v>41354</v>
      </c>
      <c r="H10" s="2">
        <v>852.8</v>
      </c>
      <c r="I10" s="1">
        <v>16.203199999999999</v>
      </c>
      <c r="J10" s="1">
        <v>869.00319999999999</v>
      </c>
    </row>
    <row r="11" spans="1:10" x14ac:dyDescent="0.3">
      <c r="A11" s="4">
        <v>10468</v>
      </c>
      <c r="B11" t="s">
        <v>48</v>
      </c>
      <c r="C11" t="s">
        <v>21</v>
      </c>
      <c r="D11" t="s">
        <v>14</v>
      </c>
      <c r="E11" t="s">
        <v>13</v>
      </c>
      <c r="F11" t="s">
        <v>11</v>
      </c>
      <c r="G11" s="3">
        <v>41371</v>
      </c>
      <c r="H11" s="2">
        <v>705.92</v>
      </c>
      <c r="I11" s="1">
        <v>16.942080000000001</v>
      </c>
      <c r="J11" s="1">
        <v>722.86207999999999</v>
      </c>
    </row>
    <row r="12" spans="1:10" x14ac:dyDescent="0.3">
      <c r="A12" s="4">
        <v>10484</v>
      </c>
      <c r="B12" t="s">
        <v>49</v>
      </c>
      <c r="C12" t="s">
        <v>25</v>
      </c>
      <c r="D12" t="s">
        <v>14</v>
      </c>
      <c r="E12" t="s">
        <v>13</v>
      </c>
      <c r="F12" t="s">
        <v>11</v>
      </c>
      <c r="G12" s="3">
        <v>41388</v>
      </c>
      <c r="H12" s="2">
        <v>440.32</v>
      </c>
      <c r="I12" s="1">
        <v>14.09024</v>
      </c>
      <c r="J12" s="1">
        <v>454.41023999999999</v>
      </c>
    </row>
    <row r="13" spans="1:10" x14ac:dyDescent="0.3">
      <c r="A13" s="4">
        <v>10495</v>
      </c>
      <c r="B13" t="s">
        <v>50</v>
      </c>
      <c r="C13" t="s">
        <v>22</v>
      </c>
      <c r="D13" t="s">
        <v>14</v>
      </c>
      <c r="E13" t="s">
        <v>13</v>
      </c>
      <c r="F13" t="s">
        <v>11</v>
      </c>
      <c r="G13" s="3">
        <v>41398</v>
      </c>
      <c r="H13" s="2">
        <v>297.60000000000002</v>
      </c>
      <c r="I13" s="1">
        <v>10.7136</v>
      </c>
      <c r="J13" s="1">
        <v>308.31360000000001</v>
      </c>
    </row>
    <row r="14" spans="1:10" x14ac:dyDescent="0.3">
      <c r="A14" s="4">
        <v>10505</v>
      </c>
      <c r="B14" t="s">
        <v>51</v>
      </c>
      <c r="C14" t="s">
        <v>22</v>
      </c>
      <c r="D14" t="s">
        <v>14</v>
      </c>
      <c r="E14" t="s">
        <v>13</v>
      </c>
      <c r="F14" t="s">
        <v>11</v>
      </c>
      <c r="G14" s="3">
        <v>41409</v>
      </c>
      <c r="H14" s="2">
        <v>456.32</v>
      </c>
      <c r="I14" s="1">
        <v>16.427520000000001</v>
      </c>
      <c r="J14" s="1">
        <v>472.74752000000001</v>
      </c>
    </row>
    <row r="15" spans="1:10" x14ac:dyDescent="0.3">
      <c r="A15" s="4">
        <v>10517</v>
      </c>
      <c r="B15" t="s">
        <v>52</v>
      </c>
      <c r="C15" t="s">
        <v>25</v>
      </c>
      <c r="D15" t="s">
        <v>14</v>
      </c>
      <c r="E15" t="s">
        <v>13</v>
      </c>
      <c r="F15" t="s">
        <v>11</v>
      </c>
      <c r="G15" s="3">
        <v>41419</v>
      </c>
      <c r="H15" s="2">
        <v>513.12</v>
      </c>
      <c r="I15" s="1">
        <v>16.419840000000001</v>
      </c>
      <c r="J15" s="1">
        <v>529.53984000000003</v>
      </c>
    </row>
    <row r="16" spans="1:10" x14ac:dyDescent="0.3">
      <c r="A16" s="4">
        <v>10548</v>
      </c>
      <c r="B16" t="s">
        <v>45</v>
      </c>
      <c r="C16" t="s">
        <v>21</v>
      </c>
      <c r="D16" t="s">
        <v>14</v>
      </c>
      <c r="E16" t="s">
        <v>12</v>
      </c>
      <c r="F16" t="s">
        <v>10</v>
      </c>
      <c r="G16" s="3">
        <v>41451</v>
      </c>
      <c r="H16" s="2">
        <v>91.52</v>
      </c>
      <c r="I16" s="1">
        <v>2.1049600000000002</v>
      </c>
      <c r="J16" s="1">
        <v>93.624960000000002</v>
      </c>
    </row>
    <row r="17" spans="1:10" x14ac:dyDescent="0.3">
      <c r="A17" s="4">
        <v>10568</v>
      </c>
      <c r="B17" t="s">
        <v>53</v>
      </c>
      <c r="C17" t="s">
        <v>26</v>
      </c>
      <c r="D17" t="s">
        <v>14</v>
      </c>
      <c r="E17" t="s">
        <v>13</v>
      </c>
      <c r="F17" t="s">
        <v>11</v>
      </c>
      <c r="G17" s="3">
        <v>41469</v>
      </c>
      <c r="H17" s="2">
        <v>418.56</v>
      </c>
      <c r="I17" s="1">
        <v>19.25376</v>
      </c>
      <c r="J17" s="1">
        <v>437.81376</v>
      </c>
    </row>
    <row r="18" spans="1:10" x14ac:dyDescent="0.3">
      <c r="A18" s="4">
        <v>10576</v>
      </c>
      <c r="B18" t="s">
        <v>54</v>
      </c>
      <c r="C18" t="s">
        <v>27</v>
      </c>
      <c r="D18" t="s">
        <v>14</v>
      </c>
      <c r="E18" t="s">
        <v>13</v>
      </c>
      <c r="F18" t="s">
        <v>11</v>
      </c>
      <c r="G18" s="3">
        <v>41479</v>
      </c>
      <c r="H18" s="2">
        <v>296.95999999999998</v>
      </c>
      <c r="I18" s="1">
        <v>14.25408</v>
      </c>
      <c r="J18" s="1">
        <v>311.21408000000002</v>
      </c>
    </row>
    <row r="19" spans="1:10" x14ac:dyDescent="0.3">
      <c r="A19" s="4">
        <v>10582</v>
      </c>
      <c r="B19" t="s">
        <v>55</v>
      </c>
      <c r="C19" t="s">
        <v>21</v>
      </c>
      <c r="D19" t="s">
        <v>14</v>
      </c>
      <c r="E19" t="s">
        <v>12</v>
      </c>
      <c r="F19" t="s">
        <v>11</v>
      </c>
      <c r="G19" s="3">
        <v>41483</v>
      </c>
      <c r="H19" s="2">
        <v>443.36</v>
      </c>
      <c r="I19" s="1">
        <v>10.640639999999999</v>
      </c>
      <c r="J19" s="1">
        <v>454.00063999999998</v>
      </c>
    </row>
    <row r="20" spans="1:10" x14ac:dyDescent="0.3">
      <c r="A20" s="4">
        <v>10594</v>
      </c>
      <c r="B20" t="s">
        <v>56</v>
      </c>
      <c r="C20" t="s">
        <v>19</v>
      </c>
      <c r="D20" t="s">
        <v>14</v>
      </c>
      <c r="E20" t="s">
        <v>12</v>
      </c>
      <c r="F20" t="s">
        <v>11</v>
      </c>
      <c r="G20" s="3">
        <v>41495</v>
      </c>
      <c r="H20" s="2">
        <v>335.36</v>
      </c>
      <c r="I20" s="1">
        <v>9.3900799999999993</v>
      </c>
      <c r="J20" s="1">
        <v>344.75008000000003</v>
      </c>
    </row>
    <row r="21" spans="1:10" x14ac:dyDescent="0.3">
      <c r="A21" s="4">
        <v>10644</v>
      </c>
      <c r="B21" t="s">
        <v>57</v>
      </c>
      <c r="C21" t="s">
        <v>28</v>
      </c>
      <c r="D21" t="s">
        <v>14</v>
      </c>
      <c r="E21" t="s">
        <v>12</v>
      </c>
      <c r="F21" t="s">
        <v>11</v>
      </c>
      <c r="G21" s="3">
        <v>41542</v>
      </c>
      <c r="H21" s="2">
        <v>80.281599999999997</v>
      </c>
      <c r="I21" s="1">
        <v>1.7661952000000001</v>
      </c>
      <c r="J21" s="1">
        <v>82.047795199999996</v>
      </c>
    </row>
    <row r="22" spans="1:10" x14ac:dyDescent="0.3">
      <c r="A22" s="4">
        <v>10662</v>
      </c>
      <c r="B22" t="s">
        <v>58</v>
      </c>
      <c r="C22" t="s">
        <v>19</v>
      </c>
      <c r="D22" t="s">
        <v>14</v>
      </c>
      <c r="E22" t="s">
        <v>12</v>
      </c>
      <c r="F22" t="s">
        <v>11</v>
      </c>
      <c r="G22" s="3">
        <v>41557</v>
      </c>
      <c r="H22" s="2">
        <v>81.92</v>
      </c>
      <c r="I22" s="1">
        <v>2.2937599999999998</v>
      </c>
      <c r="J22" s="1">
        <v>84.213759999999994</v>
      </c>
    </row>
    <row r="23" spans="1:10" x14ac:dyDescent="0.3">
      <c r="A23" s="4">
        <v>10682</v>
      </c>
      <c r="B23" t="s">
        <v>59</v>
      </c>
      <c r="C23" t="s">
        <v>27</v>
      </c>
      <c r="D23" t="s">
        <v>14</v>
      </c>
      <c r="E23" t="s">
        <v>12</v>
      </c>
      <c r="F23" t="s">
        <v>11</v>
      </c>
      <c r="G23" s="3">
        <v>41573</v>
      </c>
      <c r="H23" s="2">
        <v>578.08000000000004</v>
      </c>
      <c r="I23" s="1">
        <v>27.74784</v>
      </c>
      <c r="J23" s="1">
        <v>605.82784000000004</v>
      </c>
    </row>
    <row r="24" spans="1:10" x14ac:dyDescent="0.3">
      <c r="A24" s="4">
        <v>10699</v>
      </c>
      <c r="B24" t="s">
        <v>60</v>
      </c>
      <c r="C24" t="s">
        <v>21</v>
      </c>
      <c r="D24" t="s">
        <v>14</v>
      </c>
      <c r="E24" t="s">
        <v>13</v>
      </c>
      <c r="F24" t="s">
        <v>11</v>
      </c>
      <c r="G24" s="3">
        <v>41587</v>
      </c>
      <c r="H24" s="2">
        <v>1377.8943999999999</v>
      </c>
      <c r="I24" s="1">
        <v>33.069465600000001</v>
      </c>
      <c r="J24" s="1">
        <v>1410.9638656</v>
      </c>
    </row>
    <row r="25" spans="1:10" x14ac:dyDescent="0.3">
      <c r="A25" s="4">
        <v>10739</v>
      </c>
      <c r="B25" t="s">
        <v>61</v>
      </c>
      <c r="C25" t="s">
        <v>24</v>
      </c>
      <c r="D25" t="s">
        <v>14</v>
      </c>
      <c r="E25" t="s">
        <v>13</v>
      </c>
      <c r="F25" t="s">
        <v>11</v>
      </c>
      <c r="G25" s="3">
        <v>41621</v>
      </c>
      <c r="H25" s="2">
        <v>709.12</v>
      </c>
      <c r="I25" s="1">
        <v>14.182399999999999</v>
      </c>
      <c r="J25" s="1">
        <v>723.30240000000003</v>
      </c>
    </row>
    <row r="26" spans="1:10" x14ac:dyDescent="0.3">
      <c r="A26" s="4">
        <v>10759</v>
      </c>
      <c r="B26" t="s">
        <v>62</v>
      </c>
      <c r="C26" t="s">
        <v>27</v>
      </c>
      <c r="D26" t="s">
        <v>14</v>
      </c>
      <c r="E26" t="s">
        <v>13</v>
      </c>
      <c r="F26" t="s">
        <v>11</v>
      </c>
      <c r="G26" s="3">
        <v>41637</v>
      </c>
      <c r="H26" s="2">
        <v>767.36</v>
      </c>
      <c r="I26" s="1">
        <v>36.833280000000002</v>
      </c>
      <c r="J26" s="1">
        <v>804.19327999999996</v>
      </c>
    </row>
    <row r="27" spans="1:10" x14ac:dyDescent="0.3">
      <c r="A27" s="4">
        <v>10763</v>
      </c>
      <c r="B27" t="s">
        <v>63</v>
      </c>
      <c r="C27" t="s">
        <v>24</v>
      </c>
      <c r="D27" t="s">
        <v>14</v>
      </c>
      <c r="E27" t="s">
        <v>13</v>
      </c>
      <c r="F27" t="s">
        <v>11</v>
      </c>
      <c r="G27" s="3">
        <v>41642</v>
      </c>
      <c r="H27" s="2">
        <v>597.6</v>
      </c>
      <c r="I27" s="1">
        <v>11.952</v>
      </c>
      <c r="J27" s="1">
        <v>609.55200000000002</v>
      </c>
    </row>
    <row r="28" spans="1:10" x14ac:dyDescent="0.3">
      <c r="A28" s="4">
        <v>10765</v>
      </c>
      <c r="B28" t="s">
        <v>64</v>
      </c>
      <c r="C28" t="s">
        <v>21</v>
      </c>
      <c r="D28" t="s">
        <v>14</v>
      </c>
      <c r="E28" t="s">
        <v>13</v>
      </c>
      <c r="F28" t="s">
        <v>11</v>
      </c>
      <c r="G28" s="3">
        <v>41643</v>
      </c>
      <c r="H28" s="2">
        <v>683.84</v>
      </c>
      <c r="I28" s="1">
        <v>16.41216</v>
      </c>
      <c r="J28" s="1">
        <v>700.25216</v>
      </c>
    </row>
    <row r="29" spans="1:10" x14ac:dyDescent="0.3">
      <c r="A29" s="4">
        <v>10793</v>
      </c>
      <c r="B29" t="s">
        <v>65</v>
      </c>
      <c r="C29" t="s">
        <v>25</v>
      </c>
      <c r="D29" t="s">
        <v>14</v>
      </c>
      <c r="E29" t="s">
        <v>13</v>
      </c>
      <c r="F29" t="s">
        <v>11</v>
      </c>
      <c r="G29" s="3">
        <v>41663</v>
      </c>
      <c r="H29" s="2">
        <v>289.27999999999997</v>
      </c>
      <c r="I29" s="1">
        <v>9.2569599999999994</v>
      </c>
      <c r="J29" s="1">
        <v>298.53696000000002</v>
      </c>
    </row>
    <row r="30" spans="1:10" x14ac:dyDescent="0.3">
      <c r="A30" s="4">
        <v>10806</v>
      </c>
      <c r="B30" t="s">
        <v>66</v>
      </c>
      <c r="C30" t="s">
        <v>24</v>
      </c>
      <c r="D30" t="s">
        <v>14</v>
      </c>
      <c r="E30" t="s">
        <v>12</v>
      </c>
      <c r="F30" t="s">
        <v>11</v>
      </c>
      <c r="G30" s="3">
        <v>41670</v>
      </c>
      <c r="H30" s="2">
        <v>353.76</v>
      </c>
      <c r="I30" s="1">
        <v>7.0751999999999997</v>
      </c>
      <c r="J30" s="1">
        <v>360.83519999999999</v>
      </c>
    </row>
    <row r="31" spans="1:10" x14ac:dyDescent="0.3">
      <c r="A31" s="4">
        <v>10820</v>
      </c>
      <c r="B31" t="s">
        <v>67</v>
      </c>
      <c r="C31" t="s">
        <v>19</v>
      </c>
      <c r="D31" t="s">
        <v>14</v>
      </c>
      <c r="E31" t="s">
        <v>12</v>
      </c>
      <c r="F31" t="s">
        <v>11</v>
      </c>
      <c r="G31" s="3">
        <v>41677</v>
      </c>
      <c r="H31" s="2">
        <v>600.32000000000005</v>
      </c>
      <c r="I31" s="1">
        <v>16.808959999999999</v>
      </c>
      <c r="J31" s="1">
        <v>617.12896000000001</v>
      </c>
    </row>
    <row r="32" spans="1:10" x14ac:dyDescent="0.3">
      <c r="A32" s="4">
        <v>10839</v>
      </c>
      <c r="B32" t="s">
        <v>68</v>
      </c>
      <c r="C32" t="s">
        <v>28</v>
      </c>
      <c r="D32" t="s">
        <v>14</v>
      </c>
      <c r="E32" t="s">
        <v>13</v>
      </c>
      <c r="F32" t="s">
        <v>11</v>
      </c>
      <c r="G32" s="3">
        <v>41689</v>
      </c>
      <c r="H32" s="2">
        <v>566.88</v>
      </c>
      <c r="I32" s="1">
        <v>12.471360000000001</v>
      </c>
      <c r="J32" s="1">
        <v>579.35136</v>
      </c>
    </row>
    <row r="33" spans="1:10" x14ac:dyDescent="0.3">
      <c r="A33" s="4">
        <v>10860</v>
      </c>
      <c r="B33" t="s">
        <v>69</v>
      </c>
      <c r="C33" t="s">
        <v>24</v>
      </c>
      <c r="D33" t="s">
        <v>14</v>
      </c>
      <c r="E33" t="s">
        <v>13</v>
      </c>
      <c r="F33" t="s">
        <v>11</v>
      </c>
      <c r="G33" s="3">
        <v>41698</v>
      </c>
      <c r="H33" s="2">
        <v>308.16000000000003</v>
      </c>
      <c r="I33" s="1">
        <v>6.1631999999999998</v>
      </c>
      <c r="J33" s="1">
        <v>314.32319999999999</v>
      </c>
    </row>
    <row r="34" spans="1:10" x14ac:dyDescent="0.3">
      <c r="A34" s="4">
        <v>10879</v>
      </c>
      <c r="B34" t="s">
        <v>70</v>
      </c>
      <c r="C34" t="s">
        <v>29</v>
      </c>
      <c r="D34" t="s">
        <v>14</v>
      </c>
      <c r="E34" t="s">
        <v>13</v>
      </c>
      <c r="F34" t="s">
        <v>11</v>
      </c>
      <c r="G34" s="3">
        <v>41710</v>
      </c>
      <c r="H34" s="2">
        <v>544</v>
      </c>
      <c r="I34" s="1">
        <v>16.32</v>
      </c>
      <c r="J34" s="1">
        <v>560.32000000000005</v>
      </c>
    </row>
    <row r="35" spans="1:10" x14ac:dyDescent="0.3">
      <c r="A35" s="4">
        <v>10903</v>
      </c>
      <c r="B35" t="s">
        <v>71</v>
      </c>
      <c r="C35" t="s">
        <v>28</v>
      </c>
      <c r="D35" t="s">
        <v>14</v>
      </c>
      <c r="E35" t="s">
        <v>13</v>
      </c>
      <c r="F35" t="s">
        <v>11</v>
      </c>
      <c r="G35" s="3">
        <v>41724</v>
      </c>
      <c r="H35" s="2">
        <v>587.36</v>
      </c>
      <c r="I35" s="1">
        <v>12.92192</v>
      </c>
      <c r="J35" s="1">
        <v>600.28192000000001</v>
      </c>
    </row>
    <row r="36" spans="1:10" x14ac:dyDescent="0.3">
      <c r="A36" s="4">
        <v>10934</v>
      </c>
      <c r="B36" t="s">
        <v>72</v>
      </c>
      <c r="C36" t="s">
        <v>21</v>
      </c>
      <c r="D36" t="s">
        <v>14</v>
      </c>
      <c r="E36" t="s">
        <v>13</v>
      </c>
      <c r="F36" t="s">
        <v>11</v>
      </c>
      <c r="G36" s="3">
        <v>41737</v>
      </c>
      <c r="H36" s="2">
        <v>512.16</v>
      </c>
      <c r="I36" s="1">
        <v>12.291840000000001</v>
      </c>
      <c r="J36" s="1">
        <v>524.45183999999995</v>
      </c>
    </row>
    <row r="37" spans="1:10" x14ac:dyDescent="0.3">
      <c r="A37" s="4">
        <v>10936</v>
      </c>
      <c r="B37" t="s">
        <v>73</v>
      </c>
      <c r="C37" t="s">
        <v>19</v>
      </c>
      <c r="D37" t="s">
        <v>14</v>
      </c>
      <c r="E37" t="s">
        <v>12</v>
      </c>
      <c r="F37" t="s">
        <v>11</v>
      </c>
      <c r="G37" s="3">
        <v>41737</v>
      </c>
      <c r="H37" s="2">
        <v>538.88</v>
      </c>
      <c r="I37" s="1">
        <v>15.08864</v>
      </c>
      <c r="J37" s="1">
        <v>553.96864000000005</v>
      </c>
    </row>
    <row r="38" spans="1:10" x14ac:dyDescent="0.3">
      <c r="A38" s="4">
        <v>10938</v>
      </c>
      <c r="B38" t="s">
        <v>64</v>
      </c>
      <c r="C38" t="s">
        <v>21</v>
      </c>
      <c r="D38" t="s">
        <v>14</v>
      </c>
      <c r="E38" t="s">
        <v>12</v>
      </c>
      <c r="F38" t="s">
        <v>11</v>
      </c>
      <c r="G38" s="3">
        <v>41738</v>
      </c>
      <c r="H38" s="2">
        <v>510.24</v>
      </c>
      <c r="I38" s="1">
        <v>12.245760000000001</v>
      </c>
      <c r="J38" s="1">
        <v>522.48576000000003</v>
      </c>
    </row>
    <row r="39" spans="1:10" x14ac:dyDescent="0.3">
      <c r="A39" s="4">
        <v>10947</v>
      </c>
      <c r="B39" t="s">
        <v>49</v>
      </c>
      <c r="C39" t="s">
        <v>25</v>
      </c>
      <c r="D39" t="s">
        <v>14</v>
      </c>
      <c r="E39" t="s">
        <v>12</v>
      </c>
      <c r="F39" t="s">
        <v>11</v>
      </c>
      <c r="G39" s="3">
        <v>41741</v>
      </c>
      <c r="H39" s="2">
        <v>208.64</v>
      </c>
      <c r="I39" s="1">
        <v>6.6764799999999997</v>
      </c>
      <c r="J39" s="1">
        <v>215.31648000000001</v>
      </c>
    </row>
    <row r="40" spans="1:10" x14ac:dyDescent="0.3">
      <c r="A40" s="4">
        <v>10948</v>
      </c>
      <c r="B40" t="s">
        <v>74</v>
      </c>
      <c r="C40" t="s">
        <v>26</v>
      </c>
      <c r="D40" t="s">
        <v>14</v>
      </c>
      <c r="E40" t="s">
        <v>13</v>
      </c>
      <c r="F40" t="s">
        <v>11</v>
      </c>
      <c r="G40" s="3">
        <v>41741</v>
      </c>
      <c r="H40" s="2">
        <v>374.24</v>
      </c>
      <c r="I40" s="1">
        <v>17.215039999999998</v>
      </c>
      <c r="J40" s="1">
        <v>391.45504</v>
      </c>
    </row>
    <row r="41" spans="1:10" x14ac:dyDescent="0.3">
      <c r="A41" s="4">
        <v>10974</v>
      </c>
      <c r="B41" t="s">
        <v>43</v>
      </c>
      <c r="C41" t="s">
        <v>19</v>
      </c>
      <c r="D41" t="s">
        <v>14</v>
      </c>
      <c r="E41" t="s">
        <v>13</v>
      </c>
      <c r="F41" t="s">
        <v>11</v>
      </c>
      <c r="G41" s="3">
        <v>41753</v>
      </c>
      <c r="H41" s="2">
        <v>207.36</v>
      </c>
      <c r="I41" s="1">
        <v>5.8060799999999997</v>
      </c>
      <c r="J41" s="1">
        <v>213.16607999999999</v>
      </c>
    </row>
    <row r="42" spans="1:10" x14ac:dyDescent="0.3">
      <c r="A42" s="4">
        <v>11003</v>
      </c>
      <c r="B42" t="s">
        <v>75</v>
      </c>
      <c r="C42" t="s">
        <v>19</v>
      </c>
      <c r="D42" t="s">
        <v>14</v>
      </c>
      <c r="E42" t="s">
        <v>13</v>
      </c>
      <c r="F42" t="s">
        <v>11</v>
      </c>
      <c r="G42" s="3">
        <v>41765</v>
      </c>
      <c r="H42" s="2">
        <v>238.56</v>
      </c>
      <c r="I42" s="1">
        <v>6.6796800000000003</v>
      </c>
      <c r="J42" s="1">
        <v>245.23967999999999</v>
      </c>
    </row>
    <row r="43" spans="1:10" x14ac:dyDescent="0.3">
      <c r="A43" s="4">
        <v>11006</v>
      </c>
      <c r="B43" t="s">
        <v>73</v>
      </c>
      <c r="C43" t="s">
        <v>19</v>
      </c>
      <c r="D43" t="s">
        <v>14</v>
      </c>
      <c r="E43" t="s">
        <v>12</v>
      </c>
      <c r="F43" t="s">
        <v>11</v>
      </c>
      <c r="G43" s="3">
        <v>41766</v>
      </c>
      <c r="H43" s="2">
        <v>403.04</v>
      </c>
      <c r="I43" s="1">
        <v>11.285119999999999</v>
      </c>
      <c r="J43" s="1">
        <v>414.32512000000003</v>
      </c>
    </row>
    <row r="44" spans="1:10" x14ac:dyDescent="0.3">
      <c r="A44" s="4">
        <v>11057</v>
      </c>
      <c r="B44" t="s">
        <v>52</v>
      </c>
      <c r="C44" t="s">
        <v>25</v>
      </c>
      <c r="D44" t="s">
        <v>14</v>
      </c>
      <c r="E44" t="s">
        <v>13</v>
      </c>
      <c r="F44" t="s">
        <v>11</v>
      </c>
      <c r="G44" s="3">
        <v>41788</v>
      </c>
      <c r="H44" s="2">
        <v>264.32</v>
      </c>
      <c r="I44" s="1">
        <v>8.45824</v>
      </c>
      <c r="J44" s="1">
        <v>272.77823999999998</v>
      </c>
    </row>
    <row r="45" spans="1:10" x14ac:dyDescent="0.3">
      <c r="A45" s="4">
        <v>10427</v>
      </c>
      <c r="B45" t="s">
        <v>76</v>
      </c>
      <c r="C45" t="s">
        <v>30</v>
      </c>
      <c r="D45" t="s">
        <v>15</v>
      </c>
      <c r="E45" t="s">
        <v>12</v>
      </c>
      <c r="F45" t="s">
        <v>10</v>
      </c>
      <c r="G45" s="3">
        <v>41332</v>
      </c>
      <c r="H45" s="2">
        <v>500.64</v>
      </c>
      <c r="I45" s="1">
        <v>28.536480000000001</v>
      </c>
      <c r="J45" s="1">
        <v>529.17647999999997</v>
      </c>
    </row>
    <row r="46" spans="1:10" x14ac:dyDescent="0.3">
      <c r="A46" s="4">
        <v>10431</v>
      </c>
      <c r="B46" t="s">
        <v>42</v>
      </c>
      <c r="C46" t="s">
        <v>22</v>
      </c>
      <c r="D46" t="s">
        <v>15</v>
      </c>
      <c r="E46" t="s">
        <v>12</v>
      </c>
      <c r="F46" t="s">
        <v>10</v>
      </c>
      <c r="G46" s="3">
        <v>41335</v>
      </c>
      <c r="H46" s="2">
        <v>706.72</v>
      </c>
      <c r="I46" s="1">
        <v>24.735199999999999</v>
      </c>
      <c r="J46" s="1">
        <v>731.45519999999999</v>
      </c>
    </row>
    <row r="47" spans="1:10" x14ac:dyDescent="0.3">
      <c r="A47" s="4">
        <v>10448</v>
      </c>
      <c r="B47" t="s">
        <v>77</v>
      </c>
      <c r="C47" t="s">
        <v>31</v>
      </c>
      <c r="D47" t="s">
        <v>15</v>
      </c>
      <c r="E47" t="s">
        <v>12</v>
      </c>
      <c r="F47" t="s">
        <v>10</v>
      </c>
      <c r="G47" s="3">
        <v>41353</v>
      </c>
      <c r="H47" s="2">
        <v>621.12</v>
      </c>
      <c r="I47" s="1">
        <v>24.223680000000002</v>
      </c>
      <c r="J47" s="1">
        <v>645.34367999999995</v>
      </c>
    </row>
    <row r="48" spans="1:10" x14ac:dyDescent="0.3">
      <c r="A48" s="4">
        <v>10454</v>
      </c>
      <c r="B48" t="s">
        <v>78</v>
      </c>
      <c r="C48" t="s">
        <v>24</v>
      </c>
      <c r="D48" t="s">
        <v>15</v>
      </c>
      <c r="E48" t="s">
        <v>13</v>
      </c>
      <c r="F48" t="s">
        <v>11</v>
      </c>
      <c r="G48" s="3">
        <v>41357</v>
      </c>
      <c r="H48" s="2">
        <v>175.36</v>
      </c>
      <c r="I48" s="1">
        <v>3.5072000000000001</v>
      </c>
      <c r="J48" s="1">
        <v>178.8672</v>
      </c>
    </row>
    <row r="49" spans="1:10" x14ac:dyDescent="0.3">
      <c r="A49" s="4">
        <v>10459</v>
      </c>
      <c r="B49" t="s">
        <v>66</v>
      </c>
      <c r="C49" t="s">
        <v>24</v>
      </c>
      <c r="D49" t="s">
        <v>15</v>
      </c>
      <c r="E49" t="s">
        <v>12</v>
      </c>
      <c r="F49" t="s">
        <v>10</v>
      </c>
      <c r="G49" s="3">
        <v>41363</v>
      </c>
      <c r="H49" s="2">
        <v>401.44</v>
      </c>
      <c r="I49" s="1">
        <v>7.6273600000000004</v>
      </c>
      <c r="J49" s="1">
        <v>409.06736000000001</v>
      </c>
    </row>
    <row r="50" spans="1:10" x14ac:dyDescent="0.3">
      <c r="A50" s="4">
        <v>10493</v>
      </c>
      <c r="B50" t="s">
        <v>78</v>
      </c>
      <c r="C50" t="s">
        <v>24</v>
      </c>
      <c r="D50" t="s">
        <v>15</v>
      </c>
      <c r="E50" t="s">
        <v>13</v>
      </c>
      <c r="F50" t="s">
        <v>11</v>
      </c>
      <c r="G50" s="3">
        <v>41397</v>
      </c>
      <c r="H50" s="2">
        <v>680.96</v>
      </c>
      <c r="I50" s="1">
        <v>13.619199999999999</v>
      </c>
      <c r="J50" s="1">
        <v>694.57920000000001</v>
      </c>
    </row>
    <row r="51" spans="1:10" x14ac:dyDescent="0.3">
      <c r="A51" s="4">
        <v>10564</v>
      </c>
      <c r="B51" t="s">
        <v>67</v>
      </c>
      <c r="C51" t="s">
        <v>19</v>
      </c>
      <c r="D51" t="s">
        <v>15</v>
      </c>
      <c r="E51" t="s">
        <v>13</v>
      </c>
      <c r="F51" t="s">
        <v>11</v>
      </c>
      <c r="G51" s="3">
        <v>41466</v>
      </c>
      <c r="H51" s="2">
        <v>220</v>
      </c>
      <c r="I51" s="1">
        <v>6.16</v>
      </c>
      <c r="J51" s="1">
        <v>226.16</v>
      </c>
    </row>
    <row r="52" spans="1:10" x14ac:dyDescent="0.3">
      <c r="A52" s="4">
        <v>10574</v>
      </c>
      <c r="B52" t="s">
        <v>79</v>
      </c>
      <c r="C52" t="s">
        <v>19</v>
      </c>
      <c r="D52" t="s">
        <v>15</v>
      </c>
      <c r="E52" t="s">
        <v>12</v>
      </c>
      <c r="F52" t="s">
        <v>11</v>
      </c>
      <c r="G52" s="3">
        <v>41475</v>
      </c>
      <c r="H52" s="2">
        <v>601.6</v>
      </c>
      <c r="I52" s="1">
        <v>16.844799999999999</v>
      </c>
      <c r="J52" s="1">
        <v>618.44479999999999</v>
      </c>
    </row>
    <row r="53" spans="1:10" x14ac:dyDescent="0.3">
      <c r="A53" s="4">
        <v>10578</v>
      </c>
      <c r="B53" t="s">
        <v>49</v>
      </c>
      <c r="C53" t="s">
        <v>25</v>
      </c>
      <c r="D53" t="s">
        <v>15</v>
      </c>
      <c r="E53" t="s">
        <v>13</v>
      </c>
      <c r="F53" t="s">
        <v>11</v>
      </c>
      <c r="G53" s="3">
        <v>41480</v>
      </c>
      <c r="H53" s="2">
        <v>473.6</v>
      </c>
      <c r="I53" s="1">
        <v>15.155200000000001</v>
      </c>
      <c r="J53" s="1">
        <v>488.7552</v>
      </c>
    </row>
    <row r="54" spans="1:10" x14ac:dyDescent="0.3">
      <c r="A54" s="4">
        <v>10590</v>
      </c>
      <c r="B54" t="s">
        <v>51</v>
      </c>
      <c r="C54" t="s">
        <v>22</v>
      </c>
      <c r="D54" t="s">
        <v>15</v>
      </c>
      <c r="E54" t="s">
        <v>13</v>
      </c>
      <c r="F54" t="s">
        <v>11</v>
      </c>
      <c r="G54" s="3">
        <v>41493</v>
      </c>
      <c r="H54" s="2">
        <v>716.32</v>
      </c>
      <c r="I54" s="1">
        <v>25.787520000000001</v>
      </c>
      <c r="J54" s="1">
        <v>742.10752000000002</v>
      </c>
    </row>
    <row r="55" spans="1:10" x14ac:dyDescent="0.3">
      <c r="A55" s="4">
        <v>10608</v>
      </c>
      <c r="B55" t="s">
        <v>45</v>
      </c>
      <c r="C55" t="s">
        <v>21</v>
      </c>
      <c r="D55" t="s">
        <v>15</v>
      </c>
      <c r="E55" t="s">
        <v>12</v>
      </c>
      <c r="F55" t="s">
        <v>11</v>
      </c>
      <c r="G55" s="3">
        <v>41509</v>
      </c>
      <c r="H55" s="2">
        <v>444.64</v>
      </c>
      <c r="I55" s="1">
        <v>10.67136</v>
      </c>
      <c r="J55" s="1">
        <v>455.31135999999998</v>
      </c>
    </row>
    <row r="56" spans="1:10" x14ac:dyDescent="0.3">
      <c r="A56" s="4">
        <v>10613</v>
      </c>
      <c r="B56" t="s">
        <v>80</v>
      </c>
      <c r="C56" t="s">
        <v>20</v>
      </c>
      <c r="D56" t="s">
        <v>15</v>
      </c>
      <c r="E56" t="s">
        <v>12</v>
      </c>
      <c r="F56" t="s">
        <v>11</v>
      </c>
      <c r="G56" s="3">
        <v>41515</v>
      </c>
      <c r="H56" s="2">
        <v>519.04</v>
      </c>
      <c r="I56" s="1">
        <v>17.647359999999999</v>
      </c>
      <c r="J56" s="1">
        <v>536.68736000000001</v>
      </c>
    </row>
    <row r="57" spans="1:10" x14ac:dyDescent="0.3">
      <c r="A57" s="4">
        <v>10617</v>
      </c>
      <c r="B57" t="s">
        <v>73</v>
      </c>
      <c r="C57" t="s">
        <v>19</v>
      </c>
      <c r="D57" t="s">
        <v>15</v>
      </c>
      <c r="E57" t="s">
        <v>12</v>
      </c>
      <c r="F57" t="s">
        <v>11</v>
      </c>
      <c r="G57" s="3">
        <v>41517</v>
      </c>
      <c r="H57" s="2">
        <v>296.48</v>
      </c>
      <c r="I57" s="1">
        <v>8.3014399999999995</v>
      </c>
      <c r="J57" s="1">
        <v>304.78143999999998</v>
      </c>
    </row>
    <row r="58" spans="1:10" x14ac:dyDescent="0.3">
      <c r="A58" s="4">
        <v>10621</v>
      </c>
      <c r="B58" t="s">
        <v>81</v>
      </c>
      <c r="C58" t="s">
        <v>25</v>
      </c>
      <c r="D58" t="s">
        <v>15</v>
      </c>
      <c r="E58" t="s">
        <v>12</v>
      </c>
      <c r="F58" t="s">
        <v>11</v>
      </c>
      <c r="G58" s="3">
        <v>41522</v>
      </c>
      <c r="H58" s="2">
        <v>379.68</v>
      </c>
      <c r="I58" s="1">
        <v>12.149760000000001</v>
      </c>
      <c r="J58" s="1">
        <v>391.82976000000002</v>
      </c>
    </row>
    <row r="59" spans="1:10" x14ac:dyDescent="0.3">
      <c r="A59" s="4">
        <v>10628</v>
      </c>
      <c r="B59" t="s">
        <v>47</v>
      </c>
      <c r="C59" t="s">
        <v>24</v>
      </c>
      <c r="D59" t="s">
        <v>15</v>
      </c>
      <c r="E59" t="s">
        <v>13</v>
      </c>
      <c r="F59" t="s">
        <v>11</v>
      </c>
      <c r="G59" s="3">
        <v>41529</v>
      </c>
      <c r="H59" s="2">
        <v>485.76</v>
      </c>
      <c r="I59" s="1">
        <v>9.7151999999999994</v>
      </c>
      <c r="J59" s="1">
        <v>495.47519999999997</v>
      </c>
    </row>
    <row r="60" spans="1:10" x14ac:dyDescent="0.3">
      <c r="A60" s="4">
        <v>10647</v>
      </c>
      <c r="B60" t="s">
        <v>82</v>
      </c>
      <c r="C60" t="s">
        <v>28</v>
      </c>
      <c r="D60" t="s">
        <v>15</v>
      </c>
      <c r="E60" t="s">
        <v>12</v>
      </c>
      <c r="F60" t="s">
        <v>11</v>
      </c>
      <c r="G60" s="3">
        <v>41544</v>
      </c>
      <c r="H60" s="2">
        <v>728.64</v>
      </c>
      <c r="I60" s="1">
        <v>16.030080000000002</v>
      </c>
      <c r="J60" s="1">
        <v>744.67007999999998</v>
      </c>
    </row>
    <row r="61" spans="1:10" x14ac:dyDescent="0.3">
      <c r="A61" s="4">
        <v>10652</v>
      </c>
      <c r="B61" t="s">
        <v>83</v>
      </c>
      <c r="C61" t="s">
        <v>28</v>
      </c>
      <c r="D61" t="s">
        <v>15</v>
      </c>
      <c r="E61" t="s">
        <v>12</v>
      </c>
      <c r="F61" t="s">
        <v>11</v>
      </c>
      <c r="G61" s="3">
        <v>41549</v>
      </c>
      <c r="H61" s="2">
        <v>456.96</v>
      </c>
      <c r="I61" s="1">
        <v>10.05312</v>
      </c>
      <c r="J61" s="1">
        <v>467.01312000000001</v>
      </c>
    </row>
    <row r="62" spans="1:10" x14ac:dyDescent="0.3">
      <c r="A62" s="4">
        <v>10674</v>
      </c>
      <c r="B62" t="s">
        <v>81</v>
      </c>
      <c r="C62" t="s">
        <v>25</v>
      </c>
      <c r="D62" t="s">
        <v>15</v>
      </c>
      <c r="E62" t="s">
        <v>12</v>
      </c>
      <c r="F62" t="s">
        <v>11</v>
      </c>
      <c r="G62" s="3">
        <v>41566</v>
      </c>
      <c r="H62" s="2">
        <v>3317.76</v>
      </c>
      <c r="I62" s="1">
        <v>106.16831999999999</v>
      </c>
      <c r="J62" s="1">
        <v>3423.92832</v>
      </c>
    </row>
    <row r="63" spans="1:10" x14ac:dyDescent="0.3">
      <c r="A63" s="4">
        <v>10685</v>
      </c>
      <c r="B63" t="s">
        <v>83</v>
      </c>
      <c r="C63" t="s">
        <v>28</v>
      </c>
      <c r="D63" t="s">
        <v>15</v>
      </c>
      <c r="E63" t="s">
        <v>12</v>
      </c>
      <c r="F63" t="s">
        <v>11</v>
      </c>
      <c r="G63" s="3">
        <v>41577</v>
      </c>
      <c r="H63" s="2">
        <v>540</v>
      </c>
      <c r="I63" s="1">
        <v>11.88</v>
      </c>
      <c r="J63" s="1">
        <v>551.88</v>
      </c>
    </row>
    <row r="64" spans="1:10" x14ac:dyDescent="0.3">
      <c r="A64" s="4">
        <v>10707</v>
      </c>
      <c r="B64" t="s">
        <v>65</v>
      </c>
      <c r="C64" t="s">
        <v>25</v>
      </c>
      <c r="D64" t="s">
        <v>15</v>
      </c>
      <c r="E64" t="s">
        <v>13</v>
      </c>
      <c r="F64" t="s">
        <v>11</v>
      </c>
      <c r="G64" s="3">
        <v>41594</v>
      </c>
      <c r="H64" s="2">
        <v>347.84</v>
      </c>
      <c r="I64" s="1">
        <v>11.130879999999999</v>
      </c>
      <c r="J64" s="1">
        <v>358.97088000000002</v>
      </c>
    </row>
    <row r="65" spans="1:10" x14ac:dyDescent="0.3">
      <c r="A65" s="4">
        <v>10716</v>
      </c>
      <c r="B65" t="s">
        <v>77</v>
      </c>
      <c r="C65" t="s">
        <v>31</v>
      </c>
      <c r="D65" t="s">
        <v>15</v>
      </c>
      <c r="E65" t="s">
        <v>12</v>
      </c>
      <c r="F65" t="s">
        <v>11</v>
      </c>
      <c r="G65" s="3">
        <v>41602</v>
      </c>
      <c r="H65" s="2">
        <v>361.12</v>
      </c>
      <c r="I65" s="1">
        <v>14.444800000000001</v>
      </c>
      <c r="J65" s="1">
        <v>375.56479999999999</v>
      </c>
    </row>
    <row r="66" spans="1:10" x14ac:dyDescent="0.3">
      <c r="A66" s="4">
        <v>10725</v>
      </c>
      <c r="B66" t="s">
        <v>84</v>
      </c>
      <c r="C66" t="s">
        <v>28</v>
      </c>
      <c r="D66" t="s">
        <v>15</v>
      </c>
      <c r="E66" t="s">
        <v>13</v>
      </c>
      <c r="F66" t="s">
        <v>11</v>
      </c>
      <c r="G66" s="3">
        <v>41609</v>
      </c>
      <c r="H66" s="2">
        <v>693.12</v>
      </c>
      <c r="I66" s="1">
        <v>15.24864</v>
      </c>
      <c r="J66" s="1">
        <v>708.36864000000003</v>
      </c>
    </row>
    <row r="67" spans="1:10" x14ac:dyDescent="0.3">
      <c r="A67" s="4">
        <v>10741</v>
      </c>
      <c r="B67" t="s">
        <v>46</v>
      </c>
      <c r="C67" t="s">
        <v>23</v>
      </c>
      <c r="D67" t="s">
        <v>15</v>
      </c>
      <c r="E67" t="s">
        <v>13</v>
      </c>
      <c r="F67" t="s">
        <v>11</v>
      </c>
      <c r="G67" s="3">
        <v>41623</v>
      </c>
      <c r="H67" s="2">
        <v>701.44</v>
      </c>
      <c r="I67" s="1">
        <v>26.654720000000001</v>
      </c>
      <c r="J67" s="1">
        <v>728.09472000000005</v>
      </c>
    </row>
    <row r="68" spans="1:10" x14ac:dyDescent="0.3">
      <c r="A68" s="4">
        <v>10755</v>
      </c>
      <c r="B68" t="s">
        <v>85</v>
      </c>
      <c r="C68" t="s">
        <v>24</v>
      </c>
      <c r="D68" t="s">
        <v>15</v>
      </c>
      <c r="E68" t="s">
        <v>12</v>
      </c>
      <c r="F68" t="s">
        <v>11</v>
      </c>
      <c r="G68" s="3">
        <v>41635</v>
      </c>
      <c r="H68" s="2">
        <v>267.36</v>
      </c>
      <c r="I68" s="1">
        <v>5.3472</v>
      </c>
      <c r="J68" s="1">
        <v>272.7072</v>
      </c>
    </row>
    <row r="69" spans="1:10" x14ac:dyDescent="0.3">
      <c r="A69" s="4">
        <v>10767</v>
      </c>
      <c r="B69" t="s">
        <v>86</v>
      </c>
      <c r="C69" t="s">
        <v>32</v>
      </c>
      <c r="D69" t="s">
        <v>15</v>
      </c>
      <c r="E69" t="s">
        <v>13</v>
      </c>
      <c r="F69" t="s">
        <v>11</v>
      </c>
      <c r="G69" s="3">
        <v>41644</v>
      </c>
      <c r="H69" s="2">
        <v>101.76</v>
      </c>
      <c r="I69" s="1">
        <v>2.6457600000000001</v>
      </c>
      <c r="J69" s="1">
        <v>104.40576</v>
      </c>
    </row>
    <row r="70" spans="1:10" x14ac:dyDescent="0.3">
      <c r="A70" s="4">
        <v>10840</v>
      </c>
      <c r="B70" t="s">
        <v>87</v>
      </c>
      <c r="C70" t="s">
        <v>20</v>
      </c>
      <c r="D70" t="s">
        <v>15</v>
      </c>
      <c r="E70" t="s">
        <v>12</v>
      </c>
      <c r="F70" t="s">
        <v>11</v>
      </c>
      <c r="G70" s="3">
        <v>41689</v>
      </c>
      <c r="H70" s="2">
        <v>173.44</v>
      </c>
      <c r="I70" s="1">
        <v>5.89696</v>
      </c>
      <c r="J70" s="1">
        <v>179.33696</v>
      </c>
    </row>
    <row r="71" spans="1:10" x14ac:dyDescent="0.3">
      <c r="A71" s="4">
        <v>10843</v>
      </c>
      <c r="B71" t="s">
        <v>66</v>
      </c>
      <c r="C71" t="s">
        <v>24</v>
      </c>
      <c r="D71" t="s">
        <v>15</v>
      </c>
      <c r="E71" t="s">
        <v>12</v>
      </c>
      <c r="F71" t="s">
        <v>11</v>
      </c>
      <c r="G71" s="3">
        <v>41691</v>
      </c>
      <c r="H71" s="2">
        <v>592.64</v>
      </c>
      <c r="I71" s="1">
        <v>11.8528</v>
      </c>
      <c r="J71" s="1">
        <v>604.49279999999999</v>
      </c>
    </row>
    <row r="72" spans="1:10" x14ac:dyDescent="0.3">
      <c r="A72" s="4">
        <v>10861</v>
      </c>
      <c r="B72" t="s">
        <v>88</v>
      </c>
      <c r="C72" t="s">
        <v>19</v>
      </c>
      <c r="D72" t="s">
        <v>15</v>
      </c>
      <c r="E72" t="s">
        <v>12</v>
      </c>
      <c r="F72" t="s">
        <v>11</v>
      </c>
      <c r="G72" s="3">
        <v>41699</v>
      </c>
      <c r="H72" s="2">
        <v>238.88</v>
      </c>
      <c r="I72" s="1">
        <v>6.6886400000000004</v>
      </c>
      <c r="J72" s="1">
        <v>245.56863999999999</v>
      </c>
    </row>
    <row r="73" spans="1:10" x14ac:dyDescent="0.3">
      <c r="A73" s="4">
        <v>10863</v>
      </c>
      <c r="B73" t="s">
        <v>80</v>
      </c>
      <c r="C73" t="s">
        <v>20</v>
      </c>
      <c r="D73" t="s">
        <v>15</v>
      </c>
      <c r="E73" t="s">
        <v>12</v>
      </c>
      <c r="F73" t="s">
        <v>11</v>
      </c>
      <c r="G73" s="3">
        <v>41702</v>
      </c>
      <c r="H73" s="2">
        <v>484.16</v>
      </c>
      <c r="I73" s="1">
        <v>16.46144</v>
      </c>
      <c r="J73" s="1">
        <v>500.62144000000001</v>
      </c>
    </row>
    <row r="74" spans="1:10" x14ac:dyDescent="0.3">
      <c r="A74" s="4">
        <v>10864</v>
      </c>
      <c r="B74" t="s">
        <v>65</v>
      </c>
      <c r="C74" t="s">
        <v>25</v>
      </c>
      <c r="D74" t="s">
        <v>15</v>
      </c>
      <c r="E74" t="s">
        <v>12</v>
      </c>
      <c r="F74" t="s">
        <v>11</v>
      </c>
      <c r="G74" s="3">
        <v>41702</v>
      </c>
      <c r="H74" s="2">
        <v>194.56</v>
      </c>
      <c r="I74" s="1">
        <v>6.2259200000000003</v>
      </c>
      <c r="J74" s="1">
        <v>200.78592</v>
      </c>
    </row>
    <row r="75" spans="1:10" x14ac:dyDescent="0.3">
      <c r="A75" s="4">
        <v>10875</v>
      </c>
      <c r="B75" t="s">
        <v>46</v>
      </c>
      <c r="C75" t="s">
        <v>23</v>
      </c>
      <c r="D75" t="s">
        <v>15</v>
      </c>
      <c r="E75" t="s">
        <v>12</v>
      </c>
      <c r="F75" t="s">
        <v>11</v>
      </c>
      <c r="G75" s="3">
        <v>41706</v>
      </c>
      <c r="H75" s="2">
        <v>517.91999999999996</v>
      </c>
      <c r="I75" s="1">
        <v>19.680959999999999</v>
      </c>
      <c r="J75" s="1">
        <v>537.60095999999999</v>
      </c>
    </row>
    <row r="76" spans="1:10" x14ac:dyDescent="0.3">
      <c r="A76" s="4">
        <v>10882</v>
      </c>
      <c r="B76" t="s">
        <v>89</v>
      </c>
      <c r="C76" t="s">
        <v>19</v>
      </c>
      <c r="D76" t="s">
        <v>15</v>
      </c>
      <c r="E76" t="s">
        <v>13</v>
      </c>
      <c r="F76" t="s">
        <v>11</v>
      </c>
      <c r="G76" s="3">
        <v>41711</v>
      </c>
      <c r="H76" s="2">
        <v>369.6</v>
      </c>
      <c r="I76" s="1">
        <v>10.348800000000001</v>
      </c>
      <c r="J76" s="1">
        <v>379.94880000000001</v>
      </c>
    </row>
    <row r="77" spans="1:10" x14ac:dyDescent="0.3">
      <c r="A77" s="4">
        <v>10898</v>
      </c>
      <c r="B77" t="s">
        <v>90</v>
      </c>
      <c r="C77" t="s">
        <v>31</v>
      </c>
      <c r="D77" t="s">
        <v>15</v>
      </c>
      <c r="E77" t="s">
        <v>12</v>
      </c>
      <c r="F77" t="s">
        <v>11</v>
      </c>
      <c r="G77" s="3">
        <v>41720</v>
      </c>
      <c r="H77" s="2">
        <v>81.28</v>
      </c>
      <c r="I77" s="1">
        <v>3.2511999999999999</v>
      </c>
      <c r="J77" s="1">
        <v>84.531199999999998</v>
      </c>
    </row>
    <row r="78" spans="1:10" x14ac:dyDescent="0.3">
      <c r="A78" s="4">
        <v>10906</v>
      </c>
      <c r="B78" t="s">
        <v>91</v>
      </c>
      <c r="C78" t="s">
        <v>33</v>
      </c>
      <c r="D78" t="s">
        <v>15</v>
      </c>
      <c r="E78" t="s">
        <v>13</v>
      </c>
      <c r="F78" t="s">
        <v>11</v>
      </c>
      <c r="G78" s="3">
        <v>41725</v>
      </c>
      <c r="H78" s="2">
        <v>420.64</v>
      </c>
      <c r="I78" s="1">
        <v>21.032</v>
      </c>
      <c r="J78" s="1">
        <v>441.67200000000003</v>
      </c>
    </row>
    <row r="79" spans="1:10" x14ac:dyDescent="0.3">
      <c r="A79" s="4">
        <v>10908</v>
      </c>
      <c r="B79" t="s">
        <v>92</v>
      </c>
      <c r="C79" t="s">
        <v>34</v>
      </c>
      <c r="D79" t="s">
        <v>15</v>
      </c>
      <c r="E79" t="s">
        <v>12</v>
      </c>
      <c r="F79" t="s">
        <v>11</v>
      </c>
      <c r="G79" s="3">
        <v>41726</v>
      </c>
      <c r="H79" s="2">
        <v>527.36</v>
      </c>
      <c r="I79" s="1">
        <v>23.20384</v>
      </c>
      <c r="J79" s="1">
        <v>550.56384000000003</v>
      </c>
    </row>
    <row r="80" spans="1:10" x14ac:dyDescent="0.3">
      <c r="A80" s="4">
        <v>10917</v>
      </c>
      <c r="B80" t="s">
        <v>93</v>
      </c>
      <c r="C80" t="s">
        <v>26</v>
      </c>
      <c r="D80" t="s">
        <v>15</v>
      </c>
      <c r="E80" t="s">
        <v>12</v>
      </c>
      <c r="F80" t="s">
        <v>11</v>
      </c>
      <c r="G80" s="3">
        <v>41730</v>
      </c>
      <c r="H80" s="2">
        <v>530.55999999999995</v>
      </c>
      <c r="I80" s="1">
        <v>24.405760000000001</v>
      </c>
      <c r="J80" s="1">
        <v>554.96576000000005</v>
      </c>
    </row>
    <row r="81" spans="1:10" x14ac:dyDescent="0.3">
      <c r="A81" s="4">
        <v>10920</v>
      </c>
      <c r="B81" t="s">
        <v>65</v>
      </c>
      <c r="C81" t="s">
        <v>25</v>
      </c>
      <c r="D81" t="s">
        <v>15</v>
      </c>
      <c r="E81" t="s">
        <v>12</v>
      </c>
      <c r="F81" t="s">
        <v>11</v>
      </c>
      <c r="G81" s="3">
        <v>41731</v>
      </c>
      <c r="H81" s="2">
        <v>473.76</v>
      </c>
      <c r="I81" s="1">
        <v>15.16032</v>
      </c>
      <c r="J81" s="1">
        <v>488.92032</v>
      </c>
    </row>
    <row r="82" spans="1:10" x14ac:dyDescent="0.3">
      <c r="A82" s="4">
        <v>10926</v>
      </c>
      <c r="B82" t="s">
        <v>62</v>
      </c>
      <c r="C82" t="s">
        <v>27</v>
      </c>
      <c r="D82" t="s">
        <v>15</v>
      </c>
      <c r="E82" t="s">
        <v>13</v>
      </c>
      <c r="F82" t="s">
        <v>11</v>
      </c>
      <c r="G82" s="3">
        <v>41732</v>
      </c>
      <c r="H82" s="2">
        <v>638.72</v>
      </c>
      <c r="I82" s="1">
        <v>30.658560000000001</v>
      </c>
      <c r="J82" s="1">
        <v>669.37855999999999</v>
      </c>
    </row>
    <row r="83" spans="1:10" x14ac:dyDescent="0.3">
      <c r="A83" s="4">
        <v>10930</v>
      </c>
      <c r="B83" t="s">
        <v>86</v>
      </c>
      <c r="C83" t="s">
        <v>32</v>
      </c>
      <c r="D83" t="s">
        <v>15</v>
      </c>
      <c r="E83" t="s">
        <v>13</v>
      </c>
      <c r="F83" t="s">
        <v>11</v>
      </c>
      <c r="G83" s="3">
        <v>41734</v>
      </c>
      <c r="H83" s="2">
        <v>248.8</v>
      </c>
      <c r="I83" s="1">
        <v>6.4687999999999999</v>
      </c>
      <c r="J83" s="1">
        <v>255.2688</v>
      </c>
    </row>
    <row r="84" spans="1:10" x14ac:dyDescent="0.3">
      <c r="A84" s="4">
        <v>10931</v>
      </c>
      <c r="B84" t="s">
        <v>94</v>
      </c>
      <c r="C84" t="s">
        <v>35</v>
      </c>
      <c r="D84" t="s">
        <v>15</v>
      </c>
      <c r="E84" t="s">
        <v>12</v>
      </c>
      <c r="F84" t="s">
        <v>11</v>
      </c>
      <c r="G84" s="3">
        <v>41734</v>
      </c>
      <c r="H84" s="2">
        <v>217.6</v>
      </c>
      <c r="I84" s="1">
        <v>12.185600000000001</v>
      </c>
      <c r="J84" s="1">
        <v>229.78559999999999</v>
      </c>
    </row>
    <row r="85" spans="1:10" x14ac:dyDescent="0.3">
      <c r="A85" s="4">
        <v>10943</v>
      </c>
      <c r="B85" t="s">
        <v>49</v>
      </c>
      <c r="C85" t="s">
        <v>25</v>
      </c>
      <c r="D85" t="s">
        <v>15</v>
      </c>
      <c r="E85" t="s">
        <v>12</v>
      </c>
      <c r="F85" t="s">
        <v>11</v>
      </c>
      <c r="G85" s="3">
        <v>41739</v>
      </c>
      <c r="H85" s="2">
        <v>138.88</v>
      </c>
      <c r="I85" s="1">
        <v>4.4441600000000001</v>
      </c>
      <c r="J85" s="1">
        <v>143.32416000000001</v>
      </c>
    </row>
    <row r="86" spans="1:10" x14ac:dyDescent="0.3">
      <c r="A86" s="4">
        <v>10972</v>
      </c>
      <c r="B86" t="s">
        <v>95</v>
      </c>
      <c r="C86" t="s">
        <v>24</v>
      </c>
      <c r="D86" t="s">
        <v>15</v>
      </c>
      <c r="E86" t="s">
        <v>12</v>
      </c>
      <c r="F86" t="s">
        <v>11</v>
      </c>
      <c r="G86" s="3">
        <v>41752</v>
      </c>
      <c r="H86" s="2">
        <v>131.53337343999999</v>
      </c>
      <c r="I86" s="1">
        <v>2.6306674688</v>
      </c>
      <c r="J86" s="1">
        <v>134.16404090879999</v>
      </c>
    </row>
    <row r="87" spans="1:10" x14ac:dyDescent="0.3">
      <c r="A87" s="4">
        <v>10996</v>
      </c>
      <c r="B87" t="s">
        <v>64</v>
      </c>
      <c r="C87" t="s">
        <v>21</v>
      </c>
      <c r="D87" t="s">
        <v>15</v>
      </c>
      <c r="E87" t="s">
        <v>12</v>
      </c>
      <c r="F87" t="s">
        <v>11</v>
      </c>
      <c r="G87" s="3">
        <v>41761</v>
      </c>
      <c r="H87" s="2">
        <v>71.680000000000007</v>
      </c>
      <c r="I87" s="1">
        <v>1.7203200000000001</v>
      </c>
      <c r="J87" s="1">
        <v>73.400319999999994</v>
      </c>
    </row>
    <row r="88" spans="1:10" x14ac:dyDescent="0.3">
      <c r="A88" s="4">
        <v>11018</v>
      </c>
      <c r="B88" t="s">
        <v>58</v>
      </c>
      <c r="C88" t="s">
        <v>19</v>
      </c>
      <c r="D88" t="s">
        <v>15</v>
      </c>
      <c r="E88" t="s">
        <v>12</v>
      </c>
      <c r="F88" t="s">
        <v>11</v>
      </c>
      <c r="G88" s="3">
        <v>41772</v>
      </c>
      <c r="H88" s="2">
        <v>745.6</v>
      </c>
      <c r="I88" s="1">
        <v>20.876799999999999</v>
      </c>
      <c r="J88" s="1">
        <v>766.47680000000003</v>
      </c>
    </row>
    <row r="89" spans="1:10" x14ac:dyDescent="0.3">
      <c r="A89" s="4">
        <v>11040</v>
      </c>
      <c r="B89" t="s">
        <v>73</v>
      </c>
      <c r="C89" t="s">
        <v>19</v>
      </c>
      <c r="D89" t="s">
        <v>15</v>
      </c>
      <c r="E89" t="s">
        <v>13</v>
      </c>
      <c r="F89" t="s">
        <v>11</v>
      </c>
      <c r="G89" s="3">
        <v>41781</v>
      </c>
      <c r="H89" s="2">
        <v>301.44</v>
      </c>
      <c r="I89" s="1">
        <v>8.4403199999999998</v>
      </c>
      <c r="J89" s="1">
        <v>309.88031999999998</v>
      </c>
    </row>
    <row r="90" spans="1:10" x14ac:dyDescent="0.3">
      <c r="A90" s="4">
        <v>11061</v>
      </c>
      <c r="B90" t="s">
        <v>73</v>
      </c>
      <c r="C90" t="s">
        <v>19</v>
      </c>
      <c r="D90" t="s">
        <v>15</v>
      </c>
      <c r="E90" t="s">
        <v>13</v>
      </c>
      <c r="F90" t="s">
        <v>11</v>
      </c>
      <c r="G90" s="3">
        <v>41789</v>
      </c>
      <c r="H90" s="2">
        <v>224.16</v>
      </c>
      <c r="I90" s="1">
        <v>6.2764800000000003</v>
      </c>
      <c r="J90" s="1">
        <v>230.43647999999999</v>
      </c>
    </row>
    <row r="91" spans="1:10" x14ac:dyDescent="0.3">
      <c r="A91" s="4">
        <v>11062</v>
      </c>
      <c r="B91" t="s">
        <v>92</v>
      </c>
      <c r="C91" t="s">
        <v>34</v>
      </c>
      <c r="D91" t="s">
        <v>15</v>
      </c>
      <c r="E91" t="s">
        <v>12</v>
      </c>
      <c r="F91" t="s">
        <v>11</v>
      </c>
      <c r="G91" s="3">
        <v>41789</v>
      </c>
      <c r="H91" s="2">
        <v>478.88</v>
      </c>
      <c r="I91" s="1">
        <v>21.070720000000001</v>
      </c>
      <c r="J91" s="1">
        <v>499.95071999999999</v>
      </c>
    </row>
    <row r="92" spans="1:10" x14ac:dyDescent="0.3">
      <c r="A92" s="4">
        <v>11076</v>
      </c>
      <c r="B92" t="s">
        <v>85</v>
      </c>
      <c r="C92" t="s">
        <v>24</v>
      </c>
      <c r="D92" t="s">
        <v>15</v>
      </c>
      <c r="E92" t="s">
        <v>12</v>
      </c>
      <c r="F92" t="s">
        <v>11</v>
      </c>
      <c r="G92" s="3">
        <v>41795</v>
      </c>
      <c r="H92" s="2">
        <v>612.48</v>
      </c>
      <c r="I92" s="1">
        <v>12.249599999999999</v>
      </c>
      <c r="J92" s="1">
        <v>624.7296</v>
      </c>
    </row>
    <row r="93" spans="1:10" x14ac:dyDescent="0.3">
      <c r="A93" s="4">
        <v>10378</v>
      </c>
      <c r="B93" t="s">
        <v>44</v>
      </c>
      <c r="C93" t="s">
        <v>23</v>
      </c>
      <c r="D93" t="s">
        <v>16</v>
      </c>
      <c r="E93" t="s">
        <v>13</v>
      </c>
      <c r="F93" t="s">
        <v>11</v>
      </c>
      <c r="G93" s="3">
        <v>41284</v>
      </c>
      <c r="H93" s="2">
        <v>348.16</v>
      </c>
      <c r="I93" s="1">
        <v>13.230079999999999</v>
      </c>
      <c r="J93" s="1">
        <v>361.39008000000001</v>
      </c>
    </row>
    <row r="94" spans="1:10" x14ac:dyDescent="0.3">
      <c r="A94" s="4">
        <v>10463</v>
      </c>
      <c r="B94" t="s">
        <v>86</v>
      </c>
      <c r="C94" t="s">
        <v>32</v>
      </c>
      <c r="D94" t="s">
        <v>16</v>
      </c>
      <c r="E94" t="s">
        <v>13</v>
      </c>
      <c r="F94" t="s">
        <v>11</v>
      </c>
      <c r="G94" s="3">
        <v>41368</v>
      </c>
      <c r="H94" s="2">
        <v>236.48</v>
      </c>
      <c r="I94" s="1">
        <v>6.1484800000000002</v>
      </c>
      <c r="J94" s="1">
        <v>242.62848</v>
      </c>
    </row>
    <row r="95" spans="1:10" x14ac:dyDescent="0.3">
      <c r="A95" s="4">
        <v>10477</v>
      </c>
      <c r="B95" t="s">
        <v>96</v>
      </c>
      <c r="C95" t="s">
        <v>36</v>
      </c>
      <c r="D95" t="s">
        <v>16</v>
      </c>
      <c r="E95" t="s">
        <v>12</v>
      </c>
      <c r="F95" t="s">
        <v>10</v>
      </c>
      <c r="G95" s="3">
        <v>41381</v>
      </c>
      <c r="H95" s="2">
        <v>208.32</v>
      </c>
      <c r="I95" s="1">
        <v>8.5411199999999994</v>
      </c>
      <c r="J95" s="1">
        <v>216.86112</v>
      </c>
    </row>
    <row r="96" spans="1:10" x14ac:dyDescent="0.3">
      <c r="A96" s="4">
        <v>10648</v>
      </c>
      <c r="B96" t="s">
        <v>97</v>
      </c>
      <c r="C96" t="s">
        <v>28</v>
      </c>
      <c r="D96" t="s">
        <v>16</v>
      </c>
      <c r="E96" t="s">
        <v>12</v>
      </c>
      <c r="F96" t="s">
        <v>11</v>
      </c>
      <c r="G96" s="3">
        <v>41545</v>
      </c>
      <c r="H96" s="2">
        <v>228</v>
      </c>
      <c r="I96" s="1">
        <v>5.016</v>
      </c>
      <c r="J96" s="1">
        <v>233.01599999999999</v>
      </c>
    </row>
    <row r="97" spans="1:10" x14ac:dyDescent="0.3">
      <c r="A97" s="4">
        <v>10649</v>
      </c>
      <c r="B97" t="s">
        <v>98</v>
      </c>
      <c r="C97" t="s">
        <v>32</v>
      </c>
      <c r="D97" t="s">
        <v>16</v>
      </c>
      <c r="E97" t="s">
        <v>13</v>
      </c>
      <c r="F97" t="s">
        <v>11</v>
      </c>
      <c r="G97" s="3">
        <v>41545</v>
      </c>
      <c r="H97" s="2">
        <v>396.8</v>
      </c>
      <c r="I97" s="1">
        <v>10.316800000000001</v>
      </c>
      <c r="J97" s="1">
        <v>407.11680000000001</v>
      </c>
    </row>
    <row r="98" spans="1:10" x14ac:dyDescent="0.3">
      <c r="A98" s="4">
        <v>10675</v>
      </c>
      <c r="B98" t="s">
        <v>99</v>
      </c>
      <c r="C98" t="s">
        <v>21</v>
      </c>
      <c r="D98" t="s">
        <v>16</v>
      </c>
      <c r="E98" t="s">
        <v>12</v>
      </c>
      <c r="F98" t="s">
        <v>11</v>
      </c>
      <c r="G98" s="3">
        <v>41567</v>
      </c>
      <c r="H98" s="2">
        <v>509.6</v>
      </c>
      <c r="I98" s="1">
        <v>12.230399999999999</v>
      </c>
      <c r="J98" s="1">
        <v>521.83040000000005</v>
      </c>
    </row>
    <row r="99" spans="1:10" x14ac:dyDescent="0.3">
      <c r="A99" s="4">
        <v>10714</v>
      </c>
      <c r="B99" t="s">
        <v>89</v>
      </c>
      <c r="C99" t="s">
        <v>19</v>
      </c>
      <c r="D99" t="s">
        <v>16</v>
      </c>
      <c r="E99" t="s">
        <v>13</v>
      </c>
      <c r="F99" t="s">
        <v>11</v>
      </c>
      <c r="G99" s="3">
        <v>41600</v>
      </c>
      <c r="H99" s="2">
        <v>391.84</v>
      </c>
      <c r="I99" s="1">
        <v>10.97152</v>
      </c>
      <c r="J99" s="1">
        <v>402.81151999999997</v>
      </c>
    </row>
    <row r="100" spans="1:10" x14ac:dyDescent="0.3">
      <c r="A100" s="4">
        <v>10761</v>
      </c>
      <c r="B100" t="s">
        <v>67</v>
      </c>
      <c r="C100" t="s">
        <v>19</v>
      </c>
      <c r="D100" t="s">
        <v>16</v>
      </c>
      <c r="E100" t="s">
        <v>12</v>
      </c>
      <c r="F100" t="s">
        <v>11</v>
      </c>
      <c r="G100" s="3">
        <v>41641</v>
      </c>
      <c r="H100" s="2">
        <v>298.56</v>
      </c>
      <c r="I100" s="1">
        <v>8.3596800000000009</v>
      </c>
      <c r="J100" s="1">
        <v>306.91968000000003</v>
      </c>
    </row>
    <row r="101" spans="1:10" x14ac:dyDescent="0.3">
      <c r="A101" s="4">
        <v>10870</v>
      </c>
      <c r="B101" t="s">
        <v>88</v>
      </c>
      <c r="C101" t="s">
        <v>19</v>
      </c>
      <c r="D101" t="s">
        <v>16</v>
      </c>
      <c r="E101" t="s">
        <v>13</v>
      </c>
      <c r="F101" t="s">
        <v>11</v>
      </c>
      <c r="G101" s="3">
        <v>41704</v>
      </c>
      <c r="H101" s="2">
        <v>770.56</v>
      </c>
      <c r="I101" s="1">
        <v>21.575679999999998</v>
      </c>
      <c r="J101" s="1">
        <v>792.13567999999998</v>
      </c>
    </row>
    <row r="102" spans="1:10" x14ac:dyDescent="0.3">
      <c r="A102" s="4">
        <v>10874</v>
      </c>
      <c r="B102" t="s">
        <v>74</v>
      </c>
      <c r="C102" t="s">
        <v>26</v>
      </c>
      <c r="D102" t="s">
        <v>16</v>
      </c>
      <c r="E102" t="s">
        <v>12</v>
      </c>
      <c r="F102" t="s">
        <v>11</v>
      </c>
      <c r="G102" s="3">
        <v>41706</v>
      </c>
      <c r="H102" s="2">
        <v>313.27999999999997</v>
      </c>
      <c r="I102" s="1">
        <v>14.410880000000001</v>
      </c>
      <c r="J102" s="1">
        <v>327.69087999999999</v>
      </c>
    </row>
    <row r="103" spans="1:10" x14ac:dyDescent="0.3">
      <c r="A103" s="4">
        <v>10899</v>
      </c>
      <c r="B103" t="s">
        <v>40</v>
      </c>
      <c r="C103" t="s">
        <v>20</v>
      </c>
      <c r="D103" t="s">
        <v>16</v>
      </c>
      <c r="E103" t="s">
        <v>13</v>
      </c>
      <c r="F103" t="s">
        <v>11</v>
      </c>
      <c r="G103" s="3">
        <v>41720</v>
      </c>
      <c r="H103" s="2">
        <v>77.44</v>
      </c>
      <c r="I103" s="1">
        <v>2.6329600000000002</v>
      </c>
      <c r="J103" s="1">
        <v>80.072959999999995</v>
      </c>
    </row>
    <row r="104" spans="1:10" x14ac:dyDescent="0.3">
      <c r="A104" s="4">
        <v>11043</v>
      </c>
      <c r="B104" t="s">
        <v>100</v>
      </c>
      <c r="C104" t="s">
        <v>24</v>
      </c>
      <c r="D104" t="s">
        <v>16</v>
      </c>
      <c r="E104" t="s">
        <v>12</v>
      </c>
      <c r="F104" t="s">
        <v>11</v>
      </c>
      <c r="G104" s="3">
        <v>41781</v>
      </c>
      <c r="H104" s="2">
        <v>563.20000000000005</v>
      </c>
      <c r="I104" s="1">
        <v>11.263999999999999</v>
      </c>
      <c r="J104" s="1">
        <v>574.46400000000006</v>
      </c>
    </row>
    <row r="105" spans="1:10" x14ac:dyDescent="0.3">
      <c r="A105" s="4">
        <v>10414</v>
      </c>
      <c r="B105" t="s">
        <v>84</v>
      </c>
      <c r="C105" t="s">
        <v>28</v>
      </c>
      <c r="D105" t="s">
        <v>17</v>
      </c>
      <c r="E105" t="s">
        <v>13</v>
      </c>
      <c r="F105" t="s">
        <v>11</v>
      </c>
      <c r="G105" s="3">
        <v>41319</v>
      </c>
      <c r="H105" s="2">
        <v>343.68</v>
      </c>
      <c r="I105" s="1">
        <v>7.5609599999999997</v>
      </c>
      <c r="J105" s="1">
        <v>351.24095999999997</v>
      </c>
    </row>
    <row r="106" spans="1:10" x14ac:dyDescent="0.3">
      <c r="A106" s="4">
        <v>10471</v>
      </c>
      <c r="B106" t="s">
        <v>49</v>
      </c>
      <c r="C106" t="s">
        <v>25</v>
      </c>
      <c r="D106" t="s">
        <v>17</v>
      </c>
      <c r="E106" t="s">
        <v>13</v>
      </c>
      <c r="F106" t="s">
        <v>11</v>
      </c>
      <c r="G106" s="3">
        <v>41375</v>
      </c>
      <c r="H106" s="2">
        <v>729.44</v>
      </c>
      <c r="I106" s="1">
        <v>23.342079999999999</v>
      </c>
      <c r="J106" s="1">
        <v>752.78207999999995</v>
      </c>
    </row>
    <row r="107" spans="1:10" x14ac:dyDescent="0.3">
      <c r="A107" s="4">
        <v>10478</v>
      </c>
      <c r="B107" t="s">
        <v>66</v>
      </c>
      <c r="C107" t="s">
        <v>24</v>
      </c>
      <c r="D107" t="s">
        <v>17</v>
      </c>
      <c r="E107" t="s">
        <v>13</v>
      </c>
      <c r="F107" t="s">
        <v>11</v>
      </c>
      <c r="G107" s="3">
        <v>41382</v>
      </c>
      <c r="H107" s="2">
        <v>307.83999999999997</v>
      </c>
      <c r="I107" s="1">
        <v>6.1567999999999996</v>
      </c>
      <c r="J107" s="1">
        <v>313.99680000000001</v>
      </c>
    </row>
    <row r="108" spans="1:10" x14ac:dyDescent="0.3">
      <c r="A108" s="4">
        <v>10583</v>
      </c>
      <c r="B108" t="s">
        <v>101</v>
      </c>
      <c r="C108" t="s">
        <v>29</v>
      </c>
      <c r="D108" t="s">
        <v>17</v>
      </c>
      <c r="E108" t="s">
        <v>12</v>
      </c>
      <c r="F108" t="s">
        <v>11</v>
      </c>
      <c r="G108" s="3">
        <v>41486</v>
      </c>
      <c r="H108" s="2">
        <v>465.92</v>
      </c>
      <c r="I108" s="1">
        <v>13.977600000000001</v>
      </c>
      <c r="J108" s="1">
        <v>479.89760000000001</v>
      </c>
    </row>
    <row r="109" spans="1:10" x14ac:dyDescent="0.3">
      <c r="A109" s="4">
        <v>10615</v>
      </c>
      <c r="B109" t="s">
        <v>70</v>
      </c>
      <c r="C109" t="s">
        <v>29</v>
      </c>
      <c r="D109" t="s">
        <v>17</v>
      </c>
      <c r="E109" t="s">
        <v>13</v>
      </c>
      <c r="F109" t="s">
        <v>11</v>
      </c>
      <c r="G109" s="3">
        <v>41516</v>
      </c>
      <c r="H109" s="2">
        <v>2304</v>
      </c>
      <c r="I109" s="1">
        <v>69.12</v>
      </c>
      <c r="J109" s="1">
        <v>2373.12</v>
      </c>
    </row>
    <row r="110" spans="1:10" x14ac:dyDescent="0.3">
      <c r="A110" s="4">
        <v>10620</v>
      </c>
      <c r="B110" t="s">
        <v>50</v>
      </c>
      <c r="C110" t="s">
        <v>22</v>
      </c>
      <c r="D110" t="s">
        <v>17</v>
      </c>
      <c r="E110" t="s">
        <v>13</v>
      </c>
      <c r="F110" t="s">
        <v>11</v>
      </c>
      <c r="G110" s="3">
        <v>41522</v>
      </c>
      <c r="H110" s="2">
        <v>3619.2256000000002</v>
      </c>
      <c r="I110" s="1">
        <v>130.2921216</v>
      </c>
      <c r="J110" s="1">
        <v>3749.5177216000002</v>
      </c>
    </row>
    <row r="111" spans="1:10" x14ac:dyDescent="0.3">
      <c r="A111" s="4">
        <v>10676</v>
      </c>
      <c r="B111" t="s">
        <v>54</v>
      </c>
      <c r="C111" t="s">
        <v>27</v>
      </c>
      <c r="D111" t="s">
        <v>17</v>
      </c>
      <c r="E111" t="s">
        <v>12</v>
      </c>
      <c r="F111" t="s">
        <v>11</v>
      </c>
      <c r="G111" s="3">
        <v>41570</v>
      </c>
      <c r="H111" s="2">
        <v>128.63999999999999</v>
      </c>
      <c r="I111" s="1">
        <v>6.1747199999999998</v>
      </c>
      <c r="J111" s="1">
        <v>134.81471999999999</v>
      </c>
    </row>
    <row r="112" spans="1:10" x14ac:dyDescent="0.3">
      <c r="A112" s="4">
        <v>10734</v>
      </c>
      <c r="B112" t="s">
        <v>83</v>
      </c>
      <c r="C112" t="s">
        <v>28</v>
      </c>
      <c r="D112" t="s">
        <v>17</v>
      </c>
      <c r="E112" t="s">
        <v>13</v>
      </c>
      <c r="F112" t="s">
        <v>11</v>
      </c>
      <c r="G112" s="3">
        <v>41616</v>
      </c>
      <c r="H112" s="2">
        <v>104.32</v>
      </c>
      <c r="I112" s="1">
        <v>2.2950400000000002</v>
      </c>
      <c r="J112" s="1">
        <v>106.61503999999999</v>
      </c>
    </row>
    <row r="113" spans="1:10" x14ac:dyDescent="0.3">
      <c r="A113" s="4">
        <v>10737</v>
      </c>
      <c r="B113" t="s">
        <v>61</v>
      </c>
      <c r="C113" t="s">
        <v>24</v>
      </c>
      <c r="D113" t="s">
        <v>17</v>
      </c>
      <c r="E113" t="s">
        <v>12</v>
      </c>
      <c r="F113" t="s">
        <v>11</v>
      </c>
      <c r="G113" s="3">
        <v>41620</v>
      </c>
      <c r="H113" s="2">
        <v>498.56</v>
      </c>
      <c r="I113" s="1">
        <v>9.9711999999999996</v>
      </c>
      <c r="J113" s="1">
        <v>508.53120000000001</v>
      </c>
    </row>
    <row r="114" spans="1:10" x14ac:dyDescent="0.3">
      <c r="A114" s="4">
        <v>10752</v>
      </c>
      <c r="B114" t="s">
        <v>52</v>
      </c>
      <c r="C114" t="s">
        <v>25</v>
      </c>
      <c r="D114" t="s">
        <v>17</v>
      </c>
      <c r="E114" t="s">
        <v>13</v>
      </c>
      <c r="F114" t="s">
        <v>11</v>
      </c>
      <c r="G114" s="3">
        <v>41633</v>
      </c>
      <c r="H114" s="2">
        <v>88.96</v>
      </c>
      <c r="I114" s="1">
        <v>2.8467199999999999</v>
      </c>
      <c r="J114" s="1">
        <v>91.806719999999999</v>
      </c>
    </row>
    <row r="115" spans="1:10" x14ac:dyDescent="0.3">
      <c r="A115" s="4">
        <v>10808</v>
      </c>
      <c r="B115" t="s">
        <v>56</v>
      </c>
      <c r="C115" t="s">
        <v>19</v>
      </c>
      <c r="D115" t="s">
        <v>17</v>
      </c>
      <c r="E115" t="s">
        <v>13</v>
      </c>
      <c r="F115" t="s">
        <v>11</v>
      </c>
      <c r="G115" s="3">
        <v>41671</v>
      </c>
      <c r="H115" s="2">
        <v>728.48</v>
      </c>
      <c r="I115" s="1">
        <v>20.39744</v>
      </c>
      <c r="J115" s="1">
        <v>748.87743999999998</v>
      </c>
    </row>
    <row r="116" spans="1:10" x14ac:dyDescent="0.3">
      <c r="A116" s="4">
        <v>10810</v>
      </c>
      <c r="B116" t="s">
        <v>50</v>
      </c>
      <c r="C116" t="s">
        <v>22</v>
      </c>
      <c r="D116" t="s">
        <v>17</v>
      </c>
      <c r="E116" t="s">
        <v>13</v>
      </c>
      <c r="F116" t="s">
        <v>11</v>
      </c>
      <c r="G116" s="3">
        <v>41671</v>
      </c>
      <c r="H116" s="2">
        <v>277.12</v>
      </c>
      <c r="I116" s="1">
        <v>9.9763199999999994</v>
      </c>
      <c r="J116" s="1">
        <v>287.09631999999999</v>
      </c>
    </row>
    <row r="117" spans="1:10" x14ac:dyDescent="0.3">
      <c r="A117" s="4">
        <v>10815</v>
      </c>
      <c r="B117" t="s">
        <v>89</v>
      </c>
      <c r="C117" t="s">
        <v>19</v>
      </c>
      <c r="D117" t="s">
        <v>17</v>
      </c>
      <c r="E117" t="s">
        <v>13</v>
      </c>
      <c r="F117" t="s">
        <v>11</v>
      </c>
      <c r="G117" s="3">
        <v>41675</v>
      </c>
      <c r="H117" s="2">
        <v>233.92</v>
      </c>
      <c r="I117" s="1">
        <v>6.54976</v>
      </c>
      <c r="J117" s="1">
        <v>240.46976000000001</v>
      </c>
    </row>
    <row r="118" spans="1:10" x14ac:dyDescent="0.3">
      <c r="A118" s="4">
        <v>10819</v>
      </c>
      <c r="B118" t="s">
        <v>102</v>
      </c>
      <c r="C118" t="s">
        <v>31</v>
      </c>
      <c r="D118" t="s">
        <v>17</v>
      </c>
      <c r="E118" t="s">
        <v>13</v>
      </c>
      <c r="F118" t="s">
        <v>11</v>
      </c>
      <c r="G118" s="3">
        <v>41677</v>
      </c>
      <c r="H118" s="2">
        <v>316.16000000000003</v>
      </c>
      <c r="I118" s="1">
        <v>12.6464</v>
      </c>
      <c r="J118" s="1">
        <v>328.8064</v>
      </c>
    </row>
    <row r="119" spans="1:10" x14ac:dyDescent="0.3">
      <c r="A119" s="4">
        <v>10832</v>
      </c>
      <c r="B119" t="s">
        <v>78</v>
      </c>
      <c r="C119" t="s">
        <v>24</v>
      </c>
      <c r="D119" t="s">
        <v>17</v>
      </c>
      <c r="E119" t="s">
        <v>12</v>
      </c>
      <c r="F119" t="s">
        <v>11</v>
      </c>
      <c r="G119" s="3">
        <v>41684</v>
      </c>
      <c r="H119" s="2">
        <v>692.16</v>
      </c>
      <c r="I119" s="1">
        <v>13.8432</v>
      </c>
      <c r="J119" s="1">
        <v>706.00319999999999</v>
      </c>
    </row>
    <row r="120" spans="1:10" x14ac:dyDescent="0.3">
      <c r="A120" s="4">
        <v>10915</v>
      </c>
      <c r="B120" t="s">
        <v>54</v>
      </c>
      <c r="C120" t="s">
        <v>27</v>
      </c>
      <c r="D120" t="s">
        <v>17</v>
      </c>
      <c r="E120" t="s">
        <v>12</v>
      </c>
      <c r="F120" t="s">
        <v>11</v>
      </c>
      <c r="G120" s="3">
        <v>41727</v>
      </c>
      <c r="H120" s="2">
        <v>224.64</v>
      </c>
      <c r="I120" s="1">
        <v>10.782719999999999</v>
      </c>
      <c r="J120" s="1">
        <v>235.42272</v>
      </c>
    </row>
    <row r="121" spans="1:10" x14ac:dyDescent="0.3">
      <c r="A121" s="4">
        <v>10919</v>
      </c>
      <c r="B121" t="s">
        <v>87</v>
      </c>
      <c r="C121" t="s">
        <v>20</v>
      </c>
      <c r="D121" t="s">
        <v>17</v>
      </c>
      <c r="E121" t="s">
        <v>12</v>
      </c>
      <c r="F121" t="s">
        <v>11</v>
      </c>
      <c r="G121" s="3">
        <v>41730</v>
      </c>
      <c r="H121" s="2">
        <v>316.8</v>
      </c>
      <c r="I121" s="1">
        <v>10.7712</v>
      </c>
      <c r="J121" s="1">
        <v>327.57119999999998</v>
      </c>
    </row>
    <row r="122" spans="1:10" x14ac:dyDescent="0.3">
      <c r="A122" s="4">
        <v>11000</v>
      </c>
      <c r="B122" t="s">
        <v>67</v>
      </c>
      <c r="C122" t="s">
        <v>19</v>
      </c>
      <c r="D122" t="s">
        <v>17</v>
      </c>
      <c r="E122" t="s">
        <v>13</v>
      </c>
      <c r="F122" t="s">
        <v>11</v>
      </c>
      <c r="G122" s="3">
        <v>41765</v>
      </c>
      <c r="H122" s="2">
        <v>881.92</v>
      </c>
      <c r="I122" s="1">
        <v>24.693760000000001</v>
      </c>
      <c r="J122" s="1">
        <v>906.61375999999996</v>
      </c>
    </row>
    <row r="123" spans="1:10" x14ac:dyDescent="0.3">
      <c r="A123" s="4">
        <v>11010</v>
      </c>
      <c r="B123" t="s">
        <v>92</v>
      </c>
      <c r="C123" t="s">
        <v>34</v>
      </c>
      <c r="D123" t="s">
        <v>17</v>
      </c>
      <c r="E123" t="s">
        <v>12</v>
      </c>
      <c r="F123" t="s">
        <v>11</v>
      </c>
      <c r="G123" s="3">
        <v>41768</v>
      </c>
      <c r="H123" s="2">
        <v>459.36</v>
      </c>
      <c r="I123" s="1">
        <v>20.211839999999999</v>
      </c>
      <c r="J123" s="1">
        <v>479.57184000000001</v>
      </c>
    </row>
    <row r="124" spans="1:10" x14ac:dyDescent="0.3">
      <c r="A124" s="4">
        <v>11014</v>
      </c>
      <c r="B124" t="s">
        <v>87</v>
      </c>
      <c r="C124" t="s">
        <v>20</v>
      </c>
      <c r="D124" t="s">
        <v>17</v>
      </c>
      <c r="E124" t="s">
        <v>13</v>
      </c>
      <c r="F124" t="s">
        <v>11</v>
      </c>
      <c r="G124" s="3">
        <v>41769</v>
      </c>
      <c r="H124" s="2">
        <v>377.6</v>
      </c>
      <c r="I124" s="1">
        <v>12.8384</v>
      </c>
      <c r="J124" s="1">
        <v>390.4384</v>
      </c>
    </row>
    <row r="125" spans="1:10" x14ac:dyDescent="0.3">
      <c r="A125" s="4">
        <v>11015</v>
      </c>
      <c r="B125" t="s">
        <v>103</v>
      </c>
      <c r="C125" t="s">
        <v>37</v>
      </c>
      <c r="D125" t="s">
        <v>17</v>
      </c>
      <c r="E125" t="s">
        <v>12</v>
      </c>
      <c r="F125" t="s">
        <v>11</v>
      </c>
      <c r="G125" s="3">
        <v>41769</v>
      </c>
      <c r="H125" s="2">
        <v>295.68</v>
      </c>
      <c r="I125" s="1">
        <v>15.375360000000001</v>
      </c>
      <c r="J125" s="1">
        <v>311.05536000000001</v>
      </c>
    </row>
    <row r="126" spans="1:10" x14ac:dyDescent="0.3">
      <c r="A126" s="4">
        <v>11020</v>
      </c>
      <c r="B126" t="s">
        <v>104</v>
      </c>
      <c r="C126" t="s">
        <v>21</v>
      </c>
      <c r="D126" t="s">
        <v>17</v>
      </c>
      <c r="E126" t="s">
        <v>12</v>
      </c>
      <c r="F126" t="s">
        <v>11</v>
      </c>
      <c r="G126" s="3">
        <v>41773</v>
      </c>
      <c r="H126" s="2">
        <v>692.8</v>
      </c>
      <c r="I126" s="1">
        <v>16.627199999999998</v>
      </c>
      <c r="J126" s="1">
        <v>709.42719999999997</v>
      </c>
    </row>
    <row r="127" spans="1:10" x14ac:dyDescent="0.3">
      <c r="A127" s="4">
        <v>11035</v>
      </c>
      <c r="B127" t="s">
        <v>86</v>
      </c>
      <c r="C127" t="s">
        <v>32</v>
      </c>
      <c r="D127" t="s">
        <v>17</v>
      </c>
      <c r="E127" t="s">
        <v>12</v>
      </c>
      <c r="F127" t="s">
        <v>11</v>
      </c>
      <c r="G127" s="3">
        <v>41779</v>
      </c>
      <c r="H127" s="2">
        <v>118.37439999999999</v>
      </c>
      <c r="I127" s="1">
        <v>3.0777344000000002</v>
      </c>
      <c r="J127" s="1">
        <v>121.45213440000001</v>
      </c>
    </row>
    <row r="128" spans="1:10" x14ac:dyDescent="0.3">
      <c r="A128" s="4">
        <v>11053</v>
      </c>
      <c r="B128" t="s">
        <v>76</v>
      </c>
      <c r="C128" t="s">
        <v>30</v>
      </c>
      <c r="D128" t="s">
        <v>17</v>
      </c>
      <c r="E128" t="s">
        <v>12</v>
      </c>
      <c r="F128" t="s">
        <v>11</v>
      </c>
      <c r="G128" s="3">
        <v>41786</v>
      </c>
      <c r="H128" s="2">
        <v>848.8</v>
      </c>
      <c r="I128" s="1">
        <v>49.230400000000003</v>
      </c>
      <c r="J128" s="1">
        <v>898.03039999999999</v>
      </c>
    </row>
    <row r="129" spans="1:10" x14ac:dyDescent="0.3">
      <c r="A129" s="4">
        <v>11060</v>
      </c>
      <c r="B129" t="s">
        <v>105</v>
      </c>
      <c r="C129" t="s">
        <v>34</v>
      </c>
      <c r="D129" t="s">
        <v>17</v>
      </c>
      <c r="E129" t="s">
        <v>12</v>
      </c>
      <c r="F129" t="s">
        <v>11</v>
      </c>
      <c r="G129" s="3">
        <v>41789</v>
      </c>
      <c r="H129" s="2">
        <v>702.72</v>
      </c>
      <c r="I129" s="1">
        <v>30.91968</v>
      </c>
      <c r="J129" s="1">
        <v>733.63968</v>
      </c>
    </row>
    <row r="130" spans="1:10" x14ac:dyDescent="0.3">
      <c r="A130" s="4">
        <v>11073</v>
      </c>
      <c r="B130" t="s">
        <v>106</v>
      </c>
      <c r="C130" t="s">
        <v>27</v>
      </c>
      <c r="D130" t="s">
        <v>17</v>
      </c>
      <c r="E130" t="s">
        <v>12</v>
      </c>
      <c r="F130" t="s">
        <v>11</v>
      </c>
      <c r="G130" s="3">
        <v>41794</v>
      </c>
      <c r="H130" s="2">
        <v>399.2</v>
      </c>
      <c r="I130" s="1">
        <v>19.1616</v>
      </c>
      <c r="J130" s="1">
        <v>418.36160000000001</v>
      </c>
    </row>
    <row r="131" spans="1:10" x14ac:dyDescent="0.3">
      <c r="A131" s="4">
        <v>10374</v>
      </c>
      <c r="B131" t="s">
        <v>91</v>
      </c>
      <c r="C131" t="s">
        <v>33</v>
      </c>
      <c r="D131" t="s">
        <v>18</v>
      </c>
      <c r="E131" t="s">
        <v>13</v>
      </c>
      <c r="F131" t="s">
        <v>11</v>
      </c>
      <c r="G131" s="3">
        <v>41279</v>
      </c>
      <c r="H131" s="2">
        <v>252.16</v>
      </c>
      <c r="I131" s="1">
        <v>12.608000000000001</v>
      </c>
      <c r="J131" s="1">
        <v>264.76799999999997</v>
      </c>
    </row>
    <row r="132" spans="1:10" x14ac:dyDescent="0.3">
      <c r="A132" s="4">
        <v>10376</v>
      </c>
      <c r="B132" t="s">
        <v>51</v>
      </c>
      <c r="C132" t="s">
        <v>22</v>
      </c>
      <c r="D132" t="s">
        <v>18</v>
      </c>
      <c r="E132" t="s">
        <v>12</v>
      </c>
      <c r="F132" t="s">
        <v>10</v>
      </c>
      <c r="G132" s="3">
        <v>41283</v>
      </c>
      <c r="H132" s="2">
        <v>326.24</v>
      </c>
      <c r="I132" s="1">
        <v>11.4184</v>
      </c>
      <c r="J132" s="1">
        <v>337.65839999999997</v>
      </c>
    </row>
    <row r="133" spans="1:10" x14ac:dyDescent="0.3">
      <c r="A133" s="4">
        <v>10377</v>
      </c>
      <c r="B133" t="s">
        <v>107</v>
      </c>
      <c r="C133" t="s">
        <v>25</v>
      </c>
      <c r="D133" t="s">
        <v>18</v>
      </c>
      <c r="E133" t="s">
        <v>13</v>
      </c>
      <c r="F133" t="s">
        <v>11</v>
      </c>
      <c r="G133" s="3">
        <v>41283</v>
      </c>
      <c r="H133" s="2">
        <v>355.36</v>
      </c>
      <c r="I133" s="1">
        <v>11.37152</v>
      </c>
      <c r="J133" s="1">
        <v>366.73151999999999</v>
      </c>
    </row>
    <row r="134" spans="1:10" x14ac:dyDescent="0.3">
      <c r="A134" s="4">
        <v>10385</v>
      </c>
      <c r="B134" t="s">
        <v>43</v>
      </c>
      <c r="C134" t="s">
        <v>19</v>
      </c>
      <c r="D134" t="s">
        <v>18</v>
      </c>
      <c r="E134" t="s">
        <v>12</v>
      </c>
      <c r="F134" t="s">
        <v>10</v>
      </c>
      <c r="G134" s="3">
        <v>41291</v>
      </c>
      <c r="H134" s="2">
        <v>495.36</v>
      </c>
      <c r="I134" s="1">
        <v>13.37472</v>
      </c>
      <c r="J134" s="1">
        <v>508.73471999999998</v>
      </c>
    </row>
    <row r="135" spans="1:10" x14ac:dyDescent="0.3">
      <c r="A135" s="4">
        <v>10394</v>
      </c>
      <c r="B135" t="s">
        <v>39</v>
      </c>
      <c r="C135" t="s">
        <v>19</v>
      </c>
      <c r="D135" t="s">
        <v>18</v>
      </c>
      <c r="E135" t="s">
        <v>13</v>
      </c>
      <c r="F135" t="s">
        <v>11</v>
      </c>
      <c r="G135" s="3">
        <v>41299</v>
      </c>
      <c r="H135" s="2">
        <v>485.44</v>
      </c>
      <c r="I135" s="1">
        <v>13.592320000000001</v>
      </c>
      <c r="J135" s="1">
        <v>499.03232000000003</v>
      </c>
    </row>
    <row r="136" spans="1:10" x14ac:dyDescent="0.3">
      <c r="A136" s="4">
        <v>10453</v>
      </c>
      <c r="B136" t="s">
        <v>65</v>
      </c>
      <c r="C136" t="s">
        <v>25</v>
      </c>
      <c r="D136" t="s">
        <v>18</v>
      </c>
      <c r="E136" t="s">
        <v>12</v>
      </c>
      <c r="F136" t="s">
        <v>10</v>
      </c>
      <c r="G136" s="3">
        <v>41357</v>
      </c>
      <c r="H136" s="2">
        <v>405.76</v>
      </c>
      <c r="I136" s="1">
        <v>12.57856</v>
      </c>
      <c r="J136" s="1">
        <v>418.33855999999997</v>
      </c>
    </row>
    <row r="137" spans="1:10" x14ac:dyDescent="0.3">
      <c r="A137" s="4">
        <v>10473</v>
      </c>
      <c r="B137" t="s">
        <v>81</v>
      </c>
      <c r="C137" t="s">
        <v>25</v>
      </c>
      <c r="D137" t="s">
        <v>18</v>
      </c>
      <c r="E137" t="s">
        <v>13</v>
      </c>
      <c r="F137" t="s">
        <v>11</v>
      </c>
      <c r="G137" s="3">
        <v>41377</v>
      </c>
      <c r="H137" s="2">
        <v>261.92</v>
      </c>
      <c r="I137" s="1">
        <v>8.3814399999999996</v>
      </c>
      <c r="J137" s="1">
        <v>270.30144000000001</v>
      </c>
    </row>
    <row r="138" spans="1:10" x14ac:dyDescent="0.3">
      <c r="A138" s="4">
        <v>10482</v>
      </c>
      <c r="B138" t="s">
        <v>108</v>
      </c>
      <c r="C138" t="s">
        <v>19</v>
      </c>
      <c r="D138" t="s">
        <v>18</v>
      </c>
      <c r="E138" t="s">
        <v>13</v>
      </c>
      <c r="F138" t="s">
        <v>11</v>
      </c>
      <c r="G138" s="3">
        <v>41385</v>
      </c>
      <c r="H138" s="2">
        <v>478.72</v>
      </c>
      <c r="I138" s="1">
        <v>13.404159999999999</v>
      </c>
      <c r="J138" s="1">
        <v>492.12416000000002</v>
      </c>
    </row>
    <row r="139" spans="1:10" x14ac:dyDescent="0.3">
      <c r="A139" s="4">
        <v>10486</v>
      </c>
      <c r="B139" t="s">
        <v>80</v>
      </c>
      <c r="C139" t="s">
        <v>20</v>
      </c>
      <c r="D139" t="s">
        <v>18</v>
      </c>
      <c r="E139" t="s">
        <v>12</v>
      </c>
      <c r="F139" t="s">
        <v>10</v>
      </c>
      <c r="G139" s="3">
        <v>41390</v>
      </c>
      <c r="H139" s="2">
        <v>488.48</v>
      </c>
      <c r="I139" s="1">
        <v>16.11984</v>
      </c>
      <c r="J139" s="1">
        <v>504.59983999999997</v>
      </c>
    </row>
    <row r="140" spans="1:10" x14ac:dyDescent="0.3">
      <c r="A140" s="4">
        <v>10508</v>
      </c>
      <c r="B140" t="s">
        <v>104</v>
      </c>
      <c r="C140" t="s">
        <v>21</v>
      </c>
      <c r="D140" t="s">
        <v>18</v>
      </c>
      <c r="E140" t="s">
        <v>12</v>
      </c>
      <c r="F140" t="s">
        <v>10</v>
      </c>
      <c r="G140" s="3">
        <v>41411</v>
      </c>
      <c r="H140" s="2">
        <v>319.36</v>
      </c>
      <c r="I140" s="1">
        <v>7.3452799999999998</v>
      </c>
      <c r="J140" s="1">
        <v>326.70528000000002</v>
      </c>
    </row>
    <row r="141" spans="1:10" x14ac:dyDescent="0.3">
      <c r="A141" s="4">
        <v>10525</v>
      </c>
      <c r="B141" t="s">
        <v>85</v>
      </c>
      <c r="C141" t="s">
        <v>24</v>
      </c>
      <c r="D141" t="s">
        <v>18</v>
      </c>
      <c r="E141" t="s">
        <v>12</v>
      </c>
      <c r="F141" t="s">
        <v>10</v>
      </c>
      <c r="G141" s="3">
        <v>41427</v>
      </c>
      <c r="H141" s="2">
        <v>707.84</v>
      </c>
      <c r="I141" s="1">
        <v>13.44896</v>
      </c>
      <c r="J141" s="1">
        <v>721.28895999999997</v>
      </c>
    </row>
    <row r="142" spans="1:10" x14ac:dyDescent="0.3">
      <c r="A142" s="4">
        <v>10542</v>
      </c>
      <c r="B142" t="s">
        <v>48</v>
      </c>
      <c r="C142" t="s">
        <v>21</v>
      </c>
      <c r="D142" t="s">
        <v>18</v>
      </c>
      <c r="E142" t="s">
        <v>13</v>
      </c>
      <c r="F142" t="s">
        <v>11</v>
      </c>
      <c r="G142" s="3">
        <v>41445</v>
      </c>
      <c r="H142" s="2">
        <v>700.8</v>
      </c>
      <c r="I142" s="1">
        <v>16.819199999999999</v>
      </c>
      <c r="J142" s="1">
        <v>717.61919999999998</v>
      </c>
    </row>
    <row r="143" spans="1:10" x14ac:dyDescent="0.3">
      <c r="A143" s="4">
        <v>10579</v>
      </c>
      <c r="B143" t="s">
        <v>109</v>
      </c>
      <c r="C143" t="s">
        <v>19</v>
      </c>
      <c r="D143" t="s">
        <v>18</v>
      </c>
      <c r="E143" t="s">
        <v>12</v>
      </c>
      <c r="F143" t="s">
        <v>11</v>
      </c>
      <c r="G143" s="3">
        <v>41481</v>
      </c>
      <c r="H143" s="2">
        <v>219.68</v>
      </c>
      <c r="I143" s="1">
        <v>6.1510400000000001</v>
      </c>
      <c r="J143" s="1">
        <v>225.83104</v>
      </c>
    </row>
    <row r="144" spans="1:10" x14ac:dyDescent="0.3">
      <c r="A144" s="4">
        <v>10598</v>
      </c>
      <c r="B144" t="s">
        <v>67</v>
      </c>
      <c r="C144" t="s">
        <v>19</v>
      </c>
      <c r="D144" t="s">
        <v>18</v>
      </c>
      <c r="E144" t="s">
        <v>13</v>
      </c>
      <c r="F144" t="s">
        <v>11</v>
      </c>
      <c r="G144" s="3">
        <v>41500</v>
      </c>
      <c r="H144" s="2">
        <v>710.72</v>
      </c>
      <c r="I144" s="1">
        <v>19.90016</v>
      </c>
      <c r="J144" s="1">
        <v>730.62016000000006</v>
      </c>
    </row>
    <row r="145" spans="1:10" x14ac:dyDescent="0.3">
      <c r="A145" s="4">
        <v>10630</v>
      </c>
      <c r="B145" t="s">
        <v>48</v>
      </c>
      <c r="C145" t="s">
        <v>21</v>
      </c>
      <c r="D145" t="s">
        <v>18</v>
      </c>
      <c r="E145" t="s">
        <v>12</v>
      </c>
      <c r="F145" t="s">
        <v>11</v>
      </c>
      <c r="G145" s="3">
        <v>41530</v>
      </c>
      <c r="H145" s="2">
        <v>517.6</v>
      </c>
      <c r="I145" s="1">
        <v>12.4224</v>
      </c>
      <c r="J145" s="1">
        <v>530.02239999999995</v>
      </c>
    </row>
    <row r="146" spans="1:10" x14ac:dyDescent="0.3">
      <c r="A146" s="4">
        <v>10655</v>
      </c>
      <c r="B146" t="s">
        <v>92</v>
      </c>
      <c r="C146" t="s">
        <v>34</v>
      </c>
      <c r="D146" t="s">
        <v>18</v>
      </c>
      <c r="E146" t="s">
        <v>12</v>
      </c>
      <c r="F146" t="s">
        <v>11</v>
      </c>
      <c r="G146" s="3">
        <v>41551</v>
      </c>
      <c r="H146" s="2">
        <v>282.24</v>
      </c>
      <c r="I146" s="1">
        <v>12.418559999999999</v>
      </c>
      <c r="J146" s="1">
        <v>294.65856000000002</v>
      </c>
    </row>
    <row r="147" spans="1:10" x14ac:dyDescent="0.3">
      <c r="A147" s="4">
        <v>10664</v>
      </c>
      <c r="B147" t="s">
        <v>110</v>
      </c>
      <c r="C147" t="s">
        <v>36</v>
      </c>
      <c r="D147" t="s">
        <v>18</v>
      </c>
      <c r="E147" t="s">
        <v>13</v>
      </c>
      <c r="F147" t="s">
        <v>11</v>
      </c>
      <c r="G147" s="3">
        <v>41558</v>
      </c>
      <c r="H147" s="2">
        <v>81.28</v>
      </c>
      <c r="I147" s="1">
        <v>3.4137599999999999</v>
      </c>
      <c r="J147" s="1">
        <v>84.693759999999997</v>
      </c>
    </row>
    <row r="148" spans="1:10" x14ac:dyDescent="0.3">
      <c r="A148" s="4">
        <v>10665</v>
      </c>
      <c r="B148" t="s">
        <v>58</v>
      </c>
      <c r="C148" t="s">
        <v>19</v>
      </c>
      <c r="D148" t="s">
        <v>18</v>
      </c>
      <c r="E148" t="s">
        <v>12</v>
      </c>
      <c r="F148" t="s">
        <v>11</v>
      </c>
      <c r="G148" s="3">
        <v>41559</v>
      </c>
      <c r="H148" s="2">
        <v>420.96</v>
      </c>
      <c r="I148" s="1">
        <v>11.78688</v>
      </c>
      <c r="J148" s="1">
        <v>432.74687999999998</v>
      </c>
    </row>
    <row r="149" spans="1:10" x14ac:dyDescent="0.3">
      <c r="A149" s="4">
        <v>10677</v>
      </c>
      <c r="B149" t="s">
        <v>59</v>
      </c>
      <c r="C149" t="s">
        <v>27</v>
      </c>
      <c r="D149" t="s">
        <v>18</v>
      </c>
      <c r="E149" t="s">
        <v>13</v>
      </c>
      <c r="F149" t="s">
        <v>11</v>
      </c>
      <c r="G149" s="3">
        <v>41570</v>
      </c>
      <c r="H149" s="2">
        <v>257.92</v>
      </c>
      <c r="I149" s="1">
        <v>12.38016</v>
      </c>
      <c r="J149" s="1">
        <v>270.30016000000001</v>
      </c>
    </row>
    <row r="150" spans="1:10" x14ac:dyDescent="0.3">
      <c r="A150" s="4">
        <v>10689</v>
      </c>
      <c r="B150" t="s">
        <v>46</v>
      </c>
      <c r="C150" t="s">
        <v>23</v>
      </c>
      <c r="D150" t="s">
        <v>18</v>
      </c>
      <c r="E150" t="s">
        <v>12</v>
      </c>
      <c r="F150" t="s">
        <v>11</v>
      </c>
      <c r="G150" s="3">
        <v>41579</v>
      </c>
      <c r="H150" s="2">
        <v>214.72</v>
      </c>
      <c r="I150" s="1">
        <v>8.1593599999999995</v>
      </c>
      <c r="J150" s="1">
        <v>222.87935999999999</v>
      </c>
    </row>
    <row r="151" spans="1:10" x14ac:dyDescent="0.3">
      <c r="A151" s="4">
        <v>10743</v>
      </c>
      <c r="B151" t="s">
        <v>65</v>
      </c>
      <c r="C151" t="s">
        <v>25</v>
      </c>
      <c r="D151" t="s">
        <v>18</v>
      </c>
      <c r="E151" t="s">
        <v>12</v>
      </c>
      <c r="F151" t="s">
        <v>11</v>
      </c>
      <c r="G151" s="3">
        <v>41626</v>
      </c>
      <c r="H151" s="2">
        <v>379.52</v>
      </c>
      <c r="I151" s="1">
        <v>12.144640000000001</v>
      </c>
      <c r="J151" s="1">
        <v>391.66464000000002</v>
      </c>
    </row>
    <row r="152" spans="1:10" x14ac:dyDescent="0.3">
      <c r="A152" s="4">
        <v>10746</v>
      </c>
      <c r="B152" t="s">
        <v>111</v>
      </c>
      <c r="C152" t="s">
        <v>35</v>
      </c>
      <c r="D152" t="s">
        <v>18</v>
      </c>
      <c r="E152" t="s">
        <v>13</v>
      </c>
      <c r="F152" t="s">
        <v>11</v>
      </c>
      <c r="G152" s="3">
        <v>41628</v>
      </c>
      <c r="H152" s="2">
        <v>502.88</v>
      </c>
      <c r="I152" s="1">
        <v>28.161280000000001</v>
      </c>
      <c r="J152" s="1">
        <v>531.04128000000003</v>
      </c>
    </row>
    <row r="153" spans="1:10" x14ac:dyDescent="0.3">
      <c r="A153" s="4">
        <v>10785</v>
      </c>
      <c r="B153" t="s">
        <v>112</v>
      </c>
      <c r="C153" t="s">
        <v>20</v>
      </c>
      <c r="D153" t="s">
        <v>18</v>
      </c>
      <c r="E153" t="s">
        <v>13</v>
      </c>
      <c r="F153" t="s">
        <v>11</v>
      </c>
      <c r="G153" s="3">
        <v>41657</v>
      </c>
      <c r="H153" s="2">
        <v>96.64</v>
      </c>
      <c r="I153" s="1">
        <v>3.2857599999999998</v>
      </c>
      <c r="J153" s="1">
        <v>99.925759999999997</v>
      </c>
    </row>
    <row r="154" spans="1:10" x14ac:dyDescent="0.3">
      <c r="A154" s="4">
        <v>10788</v>
      </c>
      <c r="B154" t="s">
        <v>64</v>
      </c>
      <c r="C154" t="s">
        <v>21</v>
      </c>
      <c r="D154" t="s">
        <v>18</v>
      </c>
      <c r="E154" t="s">
        <v>12</v>
      </c>
      <c r="F154" t="s">
        <v>11</v>
      </c>
      <c r="G154" s="3">
        <v>41661</v>
      </c>
      <c r="H154" s="2">
        <v>683.2</v>
      </c>
      <c r="I154" s="1">
        <v>16.396799999999999</v>
      </c>
      <c r="J154" s="1">
        <v>699.59680000000003</v>
      </c>
    </row>
    <row r="155" spans="1:10" x14ac:dyDescent="0.3">
      <c r="A155" s="4">
        <v>10792</v>
      </c>
      <c r="B155" t="s">
        <v>91</v>
      </c>
      <c r="C155" t="s">
        <v>33</v>
      </c>
      <c r="D155" t="s">
        <v>18</v>
      </c>
      <c r="E155" t="s">
        <v>13</v>
      </c>
      <c r="F155" t="s">
        <v>11</v>
      </c>
      <c r="G155" s="3">
        <v>41662</v>
      </c>
      <c r="H155" s="2">
        <v>380.64</v>
      </c>
      <c r="I155" s="1">
        <v>19.032</v>
      </c>
      <c r="J155" s="1">
        <v>399.67200000000003</v>
      </c>
    </row>
    <row r="156" spans="1:10" x14ac:dyDescent="0.3">
      <c r="A156" s="4">
        <v>10834</v>
      </c>
      <c r="B156" t="s">
        <v>68</v>
      </c>
      <c r="C156" t="s">
        <v>28</v>
      </c>
      <c r="D156" t="s">
        <v>18</v>
      </c>
      <c r="E156" t="s">
        <v>13</v>
      </c>
      <c r="F156" t="s">
        <v>11</v>
      </c>
      <c r="G156" s="3">
        <v>41685</v>
      </c>
      <c r="H156" s="2">
        <v>476.48</v>
      </c>
      <c r="I156" s="1">
        <v>10.482559999999999</v>
      </c>
      <c r="J156" s="1">
        <v>486.96256</v>
      </c>
    </row>
    <row r="157" spans="1:10" x14ac:dyDescent="0.3">
      <c r="A157" s="4">
        <v>10842</v>
      </c>
      <c r="B157" t="s">
        <v>54</v>
      </c>
      <c r="C157" t="s">
        <v>27</v>
      </c>
      <c r="D157" t="s">
        <v>18</v>
      </c>
      <c r="E157" t="s">
        <v>13</v>
      </c>
      <c r="F157" t="s">
        <v>11</v>
      </c>
      <c r="G157" s="3">
        <v>41690</v>
      </c>
      <c r="H157" s="2">
        <v>870.72</v>
      </c>
      <c r="I157" s="1">
        <v>41.794559999999997</v>
      </c>
      <c r="J157" s="1">
        <v>912.51455999999996</v>
      </c>
    </row>
    <row r="158" spans="1:10" x14ac:dyDescent="0.3">
      <c r="A158" s="4">
        <v>10900</v>
      </c>
      <c r="B158" t="s">
        <v>57</v>
      </c>
      <c r="C158" t="s">
        <v>28</v>
      </c>
      <c r="D158" t="s">
        <v>18</v>
      </c>
      <c r="E158" t="s">
        <v>12</v>
      </c>
      <c r="F158" t="s">
        <v>11</v>
      </c>
      <c r="G158" s="3">
        <v>41720</v>
      </c>
      <c r="H158" s="2">
        <v>106.24</v>
      </c>
      <c r="I158" s="1">
        <v>2.3372799999999998</v>
      </c>
      <c r="J158" s="1">
        <v>108.57728</v>
      </c>
    </row>
    <row r="159" spans="1:10" x14ac:dyDescent="0.3">
      <c r="A159" s="4">
        <v>10910</v>
      </c>
      <c r="B159" t="s">
        <v>70</v>
      </c>
      <c r="C159" t="s">
        <v>29</v>
      </c>
      <c r="D159" t="s">
        <v>18</v>
      </c>
      <c r="E159" t="s">
        <v>13</v>
      </c>
      <c r="F159" t="s">
        <v>11</v>
      </c>
      <c r="G159" s="3">
        <v>41726</v>
      </c>
      <c r="H159" s="2">
        <v>609.76</v>
      </c>
      <c r="I159" s="1">
        <v>18.2928</v>
      </c>
      <c r="J159" s="1">
        <v>628.05280000000005</v>
      </c>
    </row>
    <row r="160" spans="1:10" x14ac:dyDescent="0.3">
      <c r="A160" s="4">
        <v>10946</v>
      </c>
      <c r="B160" t="s">
        <v>113</v>
      </c>
      <c r="C160" t="s">
        <v>38</v>
      </c>
      <c r="D160" t="s">
        <v>18</v>
      </c>
      <c r="E160" t="s">
        <v>12</v>
      </c>
      <c r="F160" t="s">
        <v>11</v>
      </c>
      <c r="G160" s="3">
        <v>41740</v>
      </c>
      <c r="H160" s="2">
        <v>435.2</v>
      </c>
      <c r="I160" s="1">
        <v>23.500800000000002</v>
      </c>
      <c r="J160" s="1">
        <v>458.70080000000002</v>
      </c>
    </row>
    <row r="161" spans="1:10" x14ac:dyDescent="0.3">
      <c r="A161" s="4">
        <v>10950</v>
      </c>
      <c r="B161" t="s">
        <v>114</v>
      </c>
      <c r="C161" t="s">
        <v>34</v>
      </c>
      <c r="D161" t="s">
        <v>18</v>
      </c>
      <c r="E161" t="s">
        <v>12</v>
      </c>
      <c r="F161" t="s">
        <v>11</v>
      </c>
      <c r="G161" s="3">
        <v>41744</v>
      </c>
      <c r="H161" s="2">
        <v>160</v>
      </c>
      <c r="I161" s="1">
        <v>7.04</v>
      </c>
      <c r="J161" s="1">
        <v>167.04</v>
      </c>
    </row>
    <row r="162" spans="1:10" x14ac:dyDescent="0.3">
      <c r="A162" s="4">
        <v>10969</v>
      </c>
      <c r="B162" t="s">
        <v>115</v>
      </c>
      <c r="C162" t="s">
        <v>28</v>
      </c>
      <c r="D162" t="s">
        <v>18</v>
      </c>
      <c r="E162" t="s">
        <v>12</v>
      </c>
      <c r="F162" t="s">
        <v>11</v>
      </c>
      <c r="G162" s="3">
        <v>41751</v>
      </c>
      <c r="H162" s="2">
        <v>180.6336</v>
      </c>
      <c r="I162" s="1">
        <v>3.9739391999999998</v>
      </c>
      <c r="J162" s="1">
        <v>184.60753919999999</v>
      </c>
    </row>
    <row r="163" spans="1:10" x14ac:dyDescent="0.3">
      <c r="A163" s="4">
        <v>10975</v>
      </c>
      <c r="B163" t="s">
        <v>42</v>
      </c>
      <c r="C163" t="s">
        <v>22</v>
      </c>
      <c r="D163" t="s">
        <v>18</v>
      </c>
      <c r="E163" t="s">
        <v>13</v>
      </c>
      <c r="F163" t="s">
        <v>11</v>
      </c>
      <c r="G163" s="3">
        <v>41753</v>
      </c>
      <c r="H163" s="2">
        <v>516.32000000000005</v>
      </c>
      <c r="I163" s="1">
        <v>18.587520000000001</v>
      </c>
      <c r="J163" s="1">
        <v>534.90751999999998</v>
      </c>
    </row>
    <row r="164" spans="1:10" x14ac:dyDescent="0.3">
      <c r="A164" s="4">
        <v>10992</v>
      </c>
      <c r="B164" t="s">
        <v>116</v>
      </c>
      <c r="C164" t="s">
        <v>19</v>
      </c>
      <c r="D164" t="s">
        <v>18</v>
      </c>
      <c r="E164" t="s">
        <v>13</v>
      </c>
      <c r="F164" t="s">
        <v>11</v>
      </c>
      <c r="G164" s="3">
        <v>41760</v>
      </c>
      <c r="H164" s="2">
        <v>273.27999999999997</v>
      </c>
      <c r="I164" s="1">
        <v>7.65184</v>
      </c>
      <c r="J164" s="1">
        <v>280.93184000000002</v>
      </c>
    </row>
    <row r="165" spans="1:10" x14ac:dyDescent="0.3">
      <c r="A165" s="4">
        <v>11038</v>
      </c>
      <c r="B165" t="s">
        <v>86</v>
      </c>
      <c r="C165" t="s">
        <v>32</v>
      </c>
      <c r="D165" t="s">
        <v>18</v>
      </c>
      <c r="E165" t="s">
        <v>12</v>
      </c>
      <c r="F165" t="s">
        <v>11</v>
      </c>
      <c r="G165" s="3">
        <v>41780</v>
      </c>
      <c r="H165" s="2">
        <v>473.44</v>
      </c>
      <c r="I165" s="1">
        <v>12.30944</v>
      </c>
      <c r="J165" s="1">
        <v>485.74943999999999</v>
      </c>
    </row>
    <row r="166" spans="1:10" x14ac:dyDescent="0.3">
      <c r="A166" s="4">
        <v>11067</v>
      </c>
      <c r="B166" t="s">
        <v>41</v>
      </c>
      <c r="C166" t="s">
        <v>21</v>
      </c>
      <c r="D166" t="s">
        <v>18</v>
      </c>
      <c r="E166" t="s">
        <v>12</v>
      </c>
      <c r="F166" t="s">
        <v>11</v>
      </c>
      <c r="G166" s="3">
        <v>41793</v>
      </c>
      <c r="H166" s="2">
        <v>510.72</v>
      </c>
      <c r="I166" s="1">
        <v>12.25728</v>
      </c>
      <c r="J166" s="1">
        <v>522.97727999999995</v>
      </c>
    </row>
    <row r="167" spans="1:10" x14ac:dyDescent="0.3">
      <c r="A167" s="4">
        <v>11069</v>
      </c>
      <c r="B167" t="s">
        <v>54</v>
      </c>
      <c r="C167" t="s">
        <v>27</v>
      </c>
      <c r="D167" t="s">
        <v>18</v>
      </c>
      <c r="E167" t="s">
        <v>12</v>
      </c>
      <c r="F167" t="s">
        <v>11</v>
      </c>
      <c r="G167" s="3">
        <v>41793</v>
      </c>
      <c r="H167" s="2">
        <v>250.72</v>
      </c>
      <c r="I167" s="1">
        <v>12.034560000000001</v>
      </c>
      <c r="J167" s="1">
        <v>262.75456000000003</v>
      </c>
    </row>
    <row r="168" spans="1:10" x14ac:dyDescent="0.3">
      <c r="A168" s="4">
        <v>11077</v>
      </c>
      <c r="B168" t="s">
        <v>67</v>
      </c>
      <c r="C168" t="s">
        <v>19</v>
      </c>
      <c r="D168" t="s">
        <v>18</v>
      </c>
      <c r="E168" t="s">
        <v>12</v>
      </c>
      <c r="F168" t="s">
        <v>11</v>
      </c>
      <c r="G168" s="3">
        <v>41795</v>
      </c>
      <c r="H168" s="2">
        <v>545.91999999999996</v>
      </c>
      <c r="I168" s="1">
        <v>15.28576</v>
      </c>
      <c r="J168" s="1">
        <v>561.20576000000005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5A2F9-06A1-4048-ADD0-D37F8FC38FC6}">
  <dimension ref="A3:D60"/>
  <sheetViews>
    <sheetView zoomScale="89" workbookViewId="0">
      <selection activeCell="A55" sqref="A55:D60"/>
    </sheetView>
  </sheetViews>
  <sheetFormatPr baseColWidth="10" defaultRowHeight="14.4" x14ac:dyDescent="0.3"/>
  <cols>
    <col min="1" max="1" width="16.5546875" bestFit="1" customWidth="1"/>
    <col min="2" max="2" width="21.21875" bestFit="1" customWidth="1"/>
    <col min="3" max="3" width="7.88671875" bestFit="1" customWidth="1"/>
  </cols>
  <sheetData>
    <row r="3" spans="1:2" x14ac:dyDescent="0.3">
      <c r="A3" s="5" t="s">
        <v>117</v>
      </c>
      <c r="B3" t="s">
        <v>119</v>
      </c>
    </row>
    <row r="4" spans="1:2" x14ac:dyDescent="0.3">
      <c r="A4" s="6" t="s">
        <v>21</v>
      </c>
      <c r="B4" s="2">
        <v>539.48928000000001</v>
      </c>
    </row>
    <row r="5" spans="1:2" x14ac:dyDescent="0.3">
      <c r="A5" s="6" t="s">
        <v>31</v>
      </c>
      <c r="B5" s="2">
        <v>645.34367999999995</v>
      </c>
    </row>
    <row r="6" spans="1:2" x14ac:dyDescent="0.3">
      <c r="A6" s="6" t="s">
        <v>22</v>
      </c>
      <c r="B6" s="2">
        <v>731.45519999999999</v>
      </c>
    </row>
    <row r="7" spans="1:2" x14ac:dyDescent="0.3">
      <c r="A7" s="6" t="s">
        <v>19</v>
      </c>
      <c r="B7" s="2">
        <v>285.25952000000001</v>
      </c>
    </row>
    <row r="8" spans="1:2" x14ac:dyDescent="0.3">
      <c r="A8" s="6" t="s">
        <v>24</v>
      </c>
      <c r="B8" s="2">
        <v>1456.93776</v>
      </c>
    </row>
    <row r="9" spans="1:2" x14ac:dyDescent="0.3">
      <c r="A9" s="6" t="s">
        <v>25</v>
      </c>
      <c r="B9" s="2">
        <v>418.33855999999997</v>
      </c>
    </row>
    <row r="10" spans="1:2" x14ac:dyDescent="0.3">
      <c r="A10" s="6" t="s">
        <v>23</v>
      </c>
      <c r="B10" s="2">
        <v>529.84064000000001</v>
      </c>
    </row>
    <row r="11" spans="1:2" x14ac:dyDescent="0.3">
      <c r="A11" s="6" t="s">
        <v>118</v>
      </c>
      <c r="B11" s="1">
        <v>4606.6646400000009</v>
      </c>
    </row>
    <row r="28" spans="1:2" x14ac:dyDescent="0.3">
      <c r="A28" s="5" t="s">
        <v>117</v>
      </c>
      <c r="B28" t="s">
        <v>119</v>
      </c>
    </row>
    <row r="29" spans="1:2" x14ac:dyDescent="0.3">
      <c r="A29" s="6" t="s">
        <v>21</v>
      </c>
      <c r="B29" s="7">
        <v>0.1171106043438838</v>
      </c>
    </row>
    <row r="30" spans="1:2" x14ac:dyDescent="0.3">
      <c r="A30" s="6" t="s">
        <v>31</v>
      </c>
      <c r="B30" s="7">
        <v>0.14008913833154563</v>
      </c>
    </row>
    <row r="31" spans="1:2" x14ac:dyDescent="0.3">
      <c r="A31" s="6" t="s">
        <v>22</v>
      </c>
      <c r="B31" s="7">
        <v>0.15878195118627081</v>
      </c>
    </row>
    <row r="32" spans="1:2" x14ac:dyDescent="0.3">
      <c r="A32" s="6" t="s">
        <v>19</v>
      </c>
      <c r="B32" s="7">
        <v>6.1923222611663775E-2</v>
      </c>
    </row>
    <row r="33" spans="1:2" x14ac:dyDescent="0.3">
      <c r="A33" s="6" t="s">
        <v>24</v>
      </c>
      <c r="B33" s="7">
        <v>0.31626738081806616</v>
      </c>
    </row>
    <row r="34" spans="1:2" x14ac:dyDescent="0.3">
      <c r="A34" s="6" t="s">
        <v>25</v>
      </c>
      <c r="B34" s="7">
        <v>9.0811594221019726E-2</v>
      </c>
    </row>
    <row r="35" spans="1:2" x14ac:dyDescent="0.3">
      <c r="A35" s="6" t="s">
        <v>23</v>
      </c>
      <c r="B35" s="7">
        <v>0.11501610848754988</v>
      </c>
    </row>
    <row r="36" spans="1:2" x14ac:dyDescent="0.3">
      <c r="A36" s="6" t="s">
        <v>118</v>
      </c>
      <c r="B36" s="7">
        <v>1</v>
      </c>
    </row>
    <row r="55" spans="1:4" x14ac:dyDescent="0.3">
      <c r="A55" s="5" t="s">
        <v>119</v>
      </c>
      <c r="B55" s="5" t="s">
        <v>120</v>
      </c>
    </row>
    <row r="56" spans="1:4" x14ac:dyDescent="0.3">
      <c r="A56" s="5" t="s">
        <v>117</v>
      </c>
      <c r="B56" t="s">
        <v>12</v>
      </c>
      <c r="C56" t="s">
        <v>13</v>
      </c>
      <c r="D56" t="s">
        <v>118</v>
      </c>
    </row>
    <row r="57" spans="1:4" x14ac:dyDescent="0.3">
      <c r="A57" s="6" t="s">
        <v>14</v>
      </c>
      <c r="B57" s="1">
        <v>1991.0806400000001</v>
      </c>
      <c r="C57" s="1">
        <v>232.512</v>
      </c>
      <c r="D57" s="1">
        <v>2223.5926400000003</v>
      </c>
    </row>
    <row r="58" spans="1:4" x14ac:dyDescent="0.3">
      <c r="A58" s="6" t="s">
        <v>15</v>
      </c>
      <c r="B58" s="1">
        <v>1785.8662399999998</v>
      </c>
      <c r="C58" s="1">
        <v>178.8672</v>
      </c>
      <c r="D58" s="1">
        <v>1964.7334399999997</v>
      </c>
    </row>
    <row r="59" spans="1:4" x14ac:dyDescent="0.3">
      <c r="A59" s="6" t="s">
        <v>18</v>
      </c>
      <c r="B59" s="1">
        <v>418.33855999999997</v>
      </c>
      <c r="C59" s="1"/>
      <c r="D59" s="1">
        <v>418.33855999999997</v>
      </c>
    </row>
    <row r="60" spans="1:4" x14ac:dyDescent="0.3">
      <c r="A60" s="6" t="s">
        <v>118</v>
      </c>
      <c r="B60" s="1">
        <v>4195.2854399999997</v>
      </c>
      <c r="C60" s="1">
        <v>411.37919999999997</v>
      </c>
      <c r="D60" s="1">
        <v>4606.66464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  <ext xmlns:x15="http://schemas.microsoft.com/office/spreadsheetml/2010/11/main" uri="{7E03D99C-DC04-49d9-9315-930204A7B6E9}">
      <x15:timelineRefs>
        <x15:timelineRef r:id="rId6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18EF3-DEA6-4E1A-A64D-29F64F34C569}">
  <dimension ref="A1:R29"/>
  <sheetViews>
    <sheetView showGridLines="0" tabSelected="1" workbookViewId="0">
      <selection sqref="A1:R3"/>
    </sheetView>
  </sheetViews>
  <sheetFormatPr baseColWidth="10" defaultRowHeight="14.4" x14ac:dyDescent="0.3"/>
  <sheetData>
    <row r="1" spans="1:18" x14ac:dyDescent="0.3">
      <c r="A1" s="12" t="s">
        <v>121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x14ac:dyDescent="0.3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</row>
    <row r="5" spans="1:18" x14ac:dyDescent="0.3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</row>
    <row r="6" spans="1:18" x14ac:dyDescent="0.3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</row>
    <row r="7" spans="1:18" x14ac:dyDescent="0.3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</row>
    <row r="8" spans="1:18" x14ac:dyDescent="0.3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 x14ac:dyDescent="0.3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</row>
    <row r="10" spans="1:18" x14ac:dyDescent="0.3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</row>
    <row r="11" spans="1:18" x14ac:dyDescent="0.3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</row>
    <row r="12" spans="1:18" x14ac:dyDescent="0.3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</row>
    <row r="13" spans="1:18" x14ac:dyDescent="0.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</row>
    <row r="14" spans="1:18" x14ac:dyDescent="0.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spans="1:18" x14ac:dyDescent="0.3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</row>
    <row r="16" spans="1:18" x14ac:dyDescent="0.3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</row>
    <row r="17" spans="1:18" x14ac:dyDescent="0.3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</row>
    <row r="18" spans="1:18" x14ac:dyDescent="0.3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 spans="1:18" x14ac:dyDescent="0.3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</row>
    <row r="20" spans="1:18" x14ac:dyDescent="0.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</row>
    <row r="21" spans="1:18" x14ac:dyDescent="0.3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1:18" x14ac:dyDescent="0.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</row>
    <row r="23" spans="1:18" x14ac:dyDescent="0.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</row>
    <row r="24" spans="1:18" x14ac:dyDescent="0.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</row>
    <row r="25" spans="1:18" x14ac:dyDescent="0.3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 spans="1:18" x14ac:dyDescent="0.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</row>
    <row r="27" spans="1:18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</row>
    <row r="28" spans="1:18" x14ac:dyDescent="0.3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</row>
    <row r="29" spans="1:18" x14ac:dyDescent="0.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</row>
  </sheetData>
  <mergeCells count="6">
    <mergeCell ref="A1:R3"/>
    <mergeCell ref="A4:E12"/>
    <mergeCell ref="A13:E29"/>
    <mergeCell ref="F4:K29"/>
    <mergeCell ref="L4:R22"/>
    <mergeCell ref="L23:R29"/>
  </mergeCells>
  <pageMargins left="0.7" right="0.7" top="0.75" bottom="0.75" header="0.3" footer="0.3"/>
  <drawing r:id="rId1"/>
  <legacy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Jheison Silva</dc:creator>
  <cp:lastModifiedBy>Jheison Silva</cp:lastModifiedBy>
  <dcterms:created xsi:type="dcterms:W3CDTF">2026-07-01T22:08:01Z</dcterms:created>
  <dcterms:modified xsi:type="dcterms:W3CDTF">2026-07-04T01:01:27Z</dcterms:modified>
</cp:coreProperties>
</file>