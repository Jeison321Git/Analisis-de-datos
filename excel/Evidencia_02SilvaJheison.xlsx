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S\CET-Colcubsidio\Fundamentos para el analisis y organización de datos\Ejercicios\"/>
    </mc:Choice>
  </mc:AlternateContent>
  <xr:revisionPtr revIDLastSave="0" documentId="13_ncr:1_{9E014562-60C4-4716-8E19-9442ACA21838}" xr6:coauthVersionLast="47" xr6:coauthVersionMax="47" xr10:uidLastSave="{00000000-0000-0000-0000-000000000000}"/>
  <bookViews>
    <workbookView xWindow="-108" yWindow="-108" windowWidth="23256" windowHeight="12456" activeTab="2" xr2:uid="{DF2DDDCD-FE19-46E4-8C32-112625177EEC}"/>
  </bookViews>
  <sheets>
    <sheet name="Origen" sheetId="2" r:id="rId1"/>
    <sheet name="Anexos" sheetId="3" r:id="rId2"/>
    <sheet name="Consolidados" sheetId="4" r:id="rId3"/>
  </sheets>
  <definedNames>
    <definedName name="Cantidades1">Origen!$F$2:$F$431</definedName>
    <definedName name="Meses1">Origen!#REF!</definedName>
    <definedName name="Productos1">Origen!$D$2:$D$431</definedName>
    <definedName name="Sedes1">Origen!$B$2:$B$431</definedName>
    <definedName name="Valores1">Origen!$E$2:$E$431</definedName>
    <definedName name="Vendedores1">Origen!$G$2:$G$431</definedName>
    <definedName name="Ventas1">Origen!$I$2:$I$431</definedName>
    <definedName name="Zonas1">Origen!$H$2:$H$431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7" i="4" l="1"/>
  <c r="V8" i="4"/>
  <c r="U8" i="4"/>
  <c r="T8" i="4"/>
  <c r="S8" i="4"/>
  <c r="R8" i="4"/>
  <c r="Q8" i="4"/>
  <c r="P8" i="4"/>
  <c r="L21" i="4" a="1"/>
  <c r="L21" i="4" s="1"/>
  <c r="K7" i="4" a="1"/>
  <c r="K7" i="4" s="1"/>
  <c r="H17" i="4" a="1"/>
  <c r="H17" i="4" s="1"/>
  <c r="E17" i="4" a="1"/>
  <c r="E17" i="4" s="1"/>
  <c r="B20" i="4" a="1"/>
  <c r="B20" i="4" s="1"/>
  <c r="H7" i="4" a="1"/>
  <c r="H7" i="4" s="1"/>
  <c r="E7" i="4" a="1"/>
  <c r="E7" i="4" s="1"/>
  <c r="B7" i="4" a="1"/>
  <c r="B7" i="4" s="1"/>
  <c r="F2" i="3"/>
  <c r="M2" i="2" s="1"/>
  <c r="F3" i="3"/>
  <c r="M3" i="2" s="1"/>
  <c r="F4" i="3"/>
  <c r="M4" i="2" s="1"/>
  <c r="F5" i="3"/>
  <c r="M5" i="2" s="1"/>
  <c r="F6" i="3"/>
  <c r="M6" i="2" s="1"/>
  <c r="F7" i="3"/>
  <c r="M7" i="2" s="1"/>
  <c r="F8" i="3"/>
  <c r="M8" i="2" s="1"/>
  <c r="F9" i="3"/>
  <c r="M9" i="2" s="1"/>
  <c r="F10" i="3"/>
  <c r="M10" i="2" s="1"/>
  <c r="F11" i="3"/>
  <c r="M11" i="2" s="1"/>
  <c r="F12" i="3"/>
  <c r="M12" i="2" s="1"/>
  <c r="F13" i="3"/>
  <c r="M13" i="2" s="1"/>
  <c r="F14" i="3"/>
  <c r="M14" i="2" s="1"/>
  <c r="F15" i="3"/>
  <c r="M15" i="2" s="1"/>
  <c r="F16" i="3"/>
  <c r="M16" i="2" s="1"/>
  <c r="F17" i="3"/>
  <c r="M17" i="2" s="1"/>
  <c r="F18" i="3"/>
  <c r="M18" i="2" s="1"/>
  <c r="F19" i="3"/>
  <c r="M19" i="2" s="1"/>
  <c r="F20" i="3"/>
  <c r="M20" i="2" s="1"/>
  <c r="F21" i="3"/>
  <c r="M21" i="2" s="1"/>
  <c r="F22" i="3"/>
  <c r="M22" i="2" s="1"/>
  <c r="F23" i="3"/>
  <c r="M23" i="2" s="1"/>
  <c r="F24" i="3"/>
  <c r="M24" i="2" s="1"/>
  <c r="F25" i="3"/>
  <c r="M25" i="2" s="1"/>
  <c r="F26" i="3"/>
  <c r="M26" i="2" s="1"/>
  <c r="F27" i="3"/>
  <c r="M27" i="2" s="1"/>
  <c r="F28" i="3"/>
  <c r="M28" i="2" s="1"/>
  <c r="F29" i="3"/>
  <c r="M29" i="2" s="1"/>
  <c r="F30" i="3"/>
  <c r="M30" i="2" s="1"/>
  <c r="F31" i="3"/>
  <c r="M31" i="2" s="1"/>
  <c r="F32" i="3"/>
  <c r="M32" i="2" s="1"/>
  <c r="F33" i="3"/>
  <c r="M33" i="2" s="1"/>
  <c r="F34" i="3"/>
  <c r="M34" i="2" s="1"/>
  <c r="F35" i="3"/>
  <c r="M35" i="2" s="1"/>
  <c r="F36" i="3"/>
  <c r="M36" i="2" s="1"/>
  <c r="F37" i="3"/>
  <c r="M37" i="2" s="1"/>
  <c r="F38" i="3"/>
  <c r="M38" i="2" s="1"/>
  <c r="F39" i="3"/>
  <c r="M39" i="2" s="1"/>
  <c r="F40" i="3"/>
  <c r="M40" i="2" s="1"/>
  <c r="F41" i="3"/>
  <c r="M41" i="2" s="1"/>
  <c r="F42" i="3"/>
  <c r="M42" i="2" s="1"/>
  <c r="F43" i="3"/>
  <c r="M43" i="2" s="1"/>
  <c r="F44" i="3"/>
  <c r="M44" i="2" s="1"/>
  <c r="F45" i="3"/>
  <c r="M45" i="2" s="1"/>
  <c r="F46" i="3"/>
  <c r="M46" i="2" s="1"/>
  <c r="F47" i="3"/>
  <c r="M47" i="2" s="1"/>
  <c r="F48" i="3"/>
  <c r="M48" i="2" s="1"/>
  <c r="F49" i="3"/>
  <c r="M49" i="2" s="1"/>
  <c r="F50" i="3"/>
  <c r="M50" i="2" s="1"/>
  <c r="F51" i="3"/>
  <c r="M51" i="2" s="1"/>
  <c r="F52" i="3"/>
  <c r="M52" i="2" s="1"/>
  <c r="F53" i="3"/>
  <c r="M53" i="2" s="1"/>
  <c r="F54" i="3"/>
  <c r="M54" i="2" s="1"/>
  <c r="F55" i="3"/>
  <c r="M55" i="2" s="1"/>
  <c r="F56" i="3"/>
  <c r="M56" i="2" s="1"/>
  <c r="F57" i="3"/>
  <c r="M57" i="2" s="1"/>
  <c r="F58" i="3"/>
  <c r="M58" i="2" s="1"/>
  <c r="F59" i="3"/>
  <c r="M59" i="2" s="1"/>
  <c r="F60" i="3"/>
  <c r="M60" i="2" s="1"/>
  <c r="F61" i="3"/>
  <c r="M61" i="2" s="1"/>
  <c r="F62" i="3"/>
  <c r="M62" i="2" s="1"/>
  <c r="F63" i="3"/>
  <c r="M63" i="2" s="1"/>
  <c r="F64" i="3"/>
  <c r="M64" i="2" s="1"/>
  <c r="F65" i="3"/>
  <c r="M65" i="2" s="1"/>
  <c r="F66" i="3"/>
  <c r="M66" i="2" s="1"/>
  <c r="F67" i="3"/>
  <c r="M67" i="2" s="1"/>
  <c r="F68" i="3"/>
  <c r="M68" i="2" s="1"/>
  <c r="F69" i="3"/>
  <c r="M69" i="2" s="1"/>
  <c r="F70" i="3"/>
  <c r="M70" i="2" s="1"/>
  <c r="F71" i="3"/>
  <c r="M71" i="2" s="1"/>
  <c r="F72" i="3"/>
  <c r="M72" i="2" s="1"/>
  <c r="F73" i="3"/>
  <c r="M73" i="2" s="1"/>
  <c r="F74" i="3"/>
  <c r="M74" i="2" s="1"/>
  <c r="F75" i="3"/>
  <c r="M75" i="2" s="1"/>
  <c r="F76" i="3"/>
  <c r="M76" i="2" s="1"/>
  <c r="F77" i="3"/>
  <c r="M77" i="2" s="1"/>
  <c r="F78" i="3"/>
  <c r="M78" i="2" s="1"/>
  <c r="F79" i="3"/>
  <c r="M79" i="2" s="1"/>
  <c r="F80" i="3"/>
  <c r="M80" i="2" s="1"/>
  <c r="F81" i="3"/>
  <c r="M81" i="2" s="1"/>
  <c r="F82" i="3"/>
  <c r="M82" i="2" s="1"/>
  <c r="F83" i="3"/>
  <c r="M83" i="2" s="1"/>
  <c r="F84" i="3"/>
  <c r="M84" i="2" s="1"/>
  <c r="F85" i="3"/>
  <c r="M85" i="2" s="1"/>
  <c r="F86" i="3"/>
  <c r="M86" i="2" s="1"/>
  <c r="F87" i="3"/>
  <c r="M87" i="2" s="1"/>
  <c r="F88" i="3"/>
  <c r="M88" i="2" s="1"/>
  <c r="F89" i="3"/>
  <c r="M89" i="2" s="1"/>
  <c r="F90" i="3"/>
  <c r="M90" i="2" s="1"/>
  <c r="F91" i="3"/>
  <c r="M91" i="2" s="1"/>
  <c r="F92" i="3"/>
  <c r="M92" i="2" s="1"/>
  <c r="F93" i="3"/>
  <c r="M93" i="2" s="1"/>
  <c r="F94" i="3"/>
  <c r="M94" i="2" s="1"/>
  <c r="F95" i="3"/>
  <c r="M95" i="2" s="1"/>
  <c r="F96" i="3"/>
  <c r="M96" i="2" s="1"/>
  <c r="F97" i="3"/>
  <c r="M97" i="2" s="1"/>
  <c r="F98" i="3"/>
  <c r="M98" i="2" s="1"/>
  <c r="F99" i="3"/>
  <c r="M99" i="2" s="1"/>
  <c r="F100" i="3"/>
  <c r="M100" i="2" s="1"/>
  <c r="F101" i="3"/>
  <c r="M101" i="2" s="1"/>
  <c r="F102" i="3"/>
  <c r="M102" i="2" s="1"/>
  <c r="F103" i="3"/>
  <c r="M103" i="2" s="1"/>
  <c r="F104" i="3"/>
  <c r="M104" i="2" s="1"/>
  <c r="F105" i="3"/>
  <c r="M105" i="2" s="1"/>
  <c r="F106" i="3"/>
  <c r="M106" i="2" s="1"/>
  <c r="F107" i="3"/>
  <c r="M107" i="2" s="1"/>
  <c r="F108" i="3"/>
  <c r="M108" i="2" s="1"/>
  <c r="F109" i="3"/>
  <c r="M109" i="2" s="1"/>
  <c r="F110" i="3"/>
  <c r="M110" i="2" s="1"/>
  <c r="F111" i="3"/>
  <c r="M111" i="2" s="1"/>
  <c r="F112" i="3"/>
  <c r="M112" i="2" s="1"/>
  <c r="F113" i="3"/>
  <c r="M113" i="2" s="1"/>
  <c r="F114" i="3"/>
  <c r="M114" i="2" s="1"/>
  <c r="F115" i="3"/>
  <c r="M115" i="2" s="1"/>
  <c r="F116" i="3"/>
  <c r="M116" i="2" s="1"/>
  <c r="F117" i="3"/>
  <c r="M117" i="2" s="1"/>
  <c r="F118" i="3"/>
  <c r="M118" i="2" s="1"/>
  <c r="F119" i="3"/>
  <c r="M119" i="2" s="1"/>
  <c r="F120" i="3"/>
  <c r="M120" i="2" s="1"/>
  <c r="F121" i="3"/>
  <c r="M121" i="2" s="1"/>
  <c r="F122" i="3"/>
  <c r="M122" i="2" s="1"/>
  <c r="F123" i="3"/>
  <c r="M123" i="2" s="1"/>
  <c r="F124" i="3"/>
  <c r="M124" i="2" s="1"/>
  <c r="F125" i="3"/>
  <c r="M125" i="2" s="1"/>
  <c r="F126" i="3"/>
  <c r="M126" i="2" s="1"/>
  <c r="F127" i="3"/>
  <c r="M127" i="2" s="1"/>
  <c r="F128" i="3"/>
  <c r="M128" i="2" s="1"/>
  <c r="F129" i="3"/>
  <c r="M129" i="2" s="1"/>
  <c r="F130" i="3"/>
  <c r="M130" i="2" s="1"/>
  <c r="F131" i="3"/>
  <c r="M131" i="2" s="1"/>
  <c r="F132" i="3"/>
  <c r="M132" i="2" s="1"/>
  <c r="F133" i="3"/>
  <c r="M133" i="2" s="1"/>
  <c r="F134" i="3"/>
  <c r="M134" i="2" s="1"/>
  <c r="F135" i="3"/>
  <c r="M135" i="2" s="1"/>
  <c r="F136" i="3"/>
  <c r="M136" i="2" s="1"/>
  <c r="F137" i="3"/>
  <c r="M137" i="2" s="1"/>
  <c r="F138" i="3"/>
  <c r="M138" i="2" s="1"/>
  <c r="F139" i="3"/>
  <c r="M139" i="2" s="1"/>
  <c r="F140" i="3"/>
  <c r="M140" i="2" s="1"/>
  <c r="F141" i="3"/>
  <c r="M141" i="2" s="1"/>
  <c r="F142" i="3"/>
  <c r="M142" i="2" s="1"/>
  <c r="F143" i="3"/>
  <c r="M143" i="2" s="1"/>
  <c r="F144" i="3"/>
  <c r="M144" i="2" s="1"/>
  <c r="F145" i="3"/>
  <c r="M145" i="2" s="1"/>
  <c r="F146" i="3"/>
  <c r="M146" i="2" s="1"/>
  <c r="F147" i="3"/>
  <c r="M147" i="2" s="1"/>
  <c r="F148" i="3"/>
  <c r="M148" i="2" s="1"/>
  <c r="F149" i="3"/>
  <c r="M149" i="2" s="1"/>
  <c r="F150" i="3"/>
  <c r="M150" i="2" s="1"/>
  <c r="F151" i="3"/>
  <c r="M151" i="2" s="1"/>
  <c r="F152" i="3"/>
  <c r="M152" i="2" s="1"/>
  <c r="F153" i="3"/>
  <c r="M153" i="2" s="1"/>
  <c r="F154" i="3"/>
  <c r="M154" i="2" s="1"/>
  <c r="F155" i="3"/>
  <c r="M155" i="2" s="1"/>
  <c r="F156" i="3"/>
  <c r="M156" i="2" s="1"/>
  <c r="F157" i="3"/>
  <c r="M157" i="2" s="1"/>
  <c r="F158" i="3"/>
  <c r="M158" i="2" s="1"/>
  <c r="F159" i="3"/>
  <c r="M159" i="2" s="1"/>
  <c r="F160" i="3"/>
  <c r="M160" i="2" s="1"/>
  <c r="F161" i="3"/>
  <c r="M161" i="2" s="1"/>
  <c r="F162" i="3"/>
  <c r="M162" i="2" s="1"/>
  <c r="F163" i="3"/>
  <c r="M163" i="2" s="1"/>
  <c r="F164" i="3"/>
  <c r="M164" i="2" s="1"/>
  <c r="F165" i="3"/>
  <c r="M165" i="2" s="1"/>
  <c r="F166" i="3"/>
  <c r="M166" i="2" s="1"/>
  <c r="F167" i="3"/>
  <c r="M167" i="2" s="1"/>
  <c r="F168" i="3"/>
  <c r="M168" i="2" s="1"/>
  <c r="F169" i="3"/>
  <c r="M169" i="2" s="1"/>
  <c r="F170" i="3"/>
  <c r="M170" i="2" s="1"/>
  <c r="F171" i="3"/>
  <c r="M171" i="2" s="1"/>
  <c r="F172" i="3"/>
  <c r="M172" i="2" s="1"/>
  <c r="F173" i="3"/>
  <c r="M173" i="2" s="1"/>
  <c r="F174" i="3"/>
  <c r="M174" i="2" s="1"/>
  <c r="F175" i="3"/>
  <c r="M175" i="2" s="1"/>
  <c r="F176" i="3"/>
  <c r="M176" i="2" s="1"/>
  <c r="F177" i="3"/>
  <c r="M177" i="2" s="1"/>
  <c r="F178" i="3"/>
  <c r="M178" i="2" s="1"/>
  <c r="F179" i="3"/>
  <c r="M179" i="2" s="1"/>
  <c r="F180" i="3"/>
  <c r="M180" i="2" s="1"/>
  <c r="F181" i="3"/>
  <c r="M181" i="2" s="1"/>
  <c r="F182" i="3"/>
  <c r="M182" i="2" s="1"/>
  <c r="F183" i="3"/>
  <c r="M183" i="2" s="1"/>
  <c r="F184" i="3"/>
  <c r="M184" i="2" s="1"/>
  <c r="F185" i="3"/>
  <c r="M185" i="2" s="1"/>
  <c r="F186" i="3"/>
  <c r="M186" i="2" s="1"/>
  <c r="F187" i="3"/>
  <c r="M187" i="2" s="1"/>
  <c r="F188" i="3"/>
  <c r="M188" i="2" s="1"/>
  <c r="F189" i="3"/>
  <c r="M189" i="2" s="1"/>
  <c r="F190" i="3"/>
  <c r="M190" i="2" s="1"/>
  <c r="F191" i="3"/>
  <c r="M191" i="2" s="1"/>
  <c r="F192" i="3"/>
  <c r="M192" i="2" s="1"/>
  <c r="F193" i="3"/>
  <c r="M193" i="2" s="1"/>
  <c r="F194" i="3"/>
  <c r="M194" i="2" s="1"/>
  <c r="F195" i="3"/>
  <c r="M195" i="2" s="1"/>
  <c r="F196" i="3"/>
  <c r="M196" i="2" s="1"/>
  <c r="F197" i="3"/>
  <c r="M197" i="2" s="1"/>
  <c r="F198" i="3"/>
  <c r="M198" i="2" s="1"/>
  <c r="F199" i="3"/>
  <c r="M199" i="2" s="1"/>
  <c r="F200" i="3"/>
  <c r="M200" i="2" s="1"/>
  <c r="F201" i="3"/>
  <c r="M201" i="2" s="1"/>
  <c r="F202" i="3"/>
  <c r="M202" i="2" s="1"/>
  <c r="F203" i="3"/>
  <c r="M203" i="2" s="1"/>
  <c r="F204" i="3"/>
  <c r="M204" i="2" s="1"/>
  <c r="F205" i="3"/>
  <c r="M205" i="2" s="1"/>
  <c r="F206" i="3"/>
  <c r="M206" i="2" s="1"/>
  <c r="F207" i="3"/>
  <c r="M207" i="2" s="1"/>
  <c r="F208" i="3"/>
  <c r="M208" i="2" s="1"/>
  <c r="F209" i="3"/>
  <c r="M209" i="2" s="1"/>
  <c r="F210" i="3"/>
  <c r="M210" i="2" s="1"/>
  <c r="F211" i="3"/>
  <c r="M211" i="2" s="1"/>
  <c r="F212" i="3"/>
  <c r="M212" i="2" s="1"/>
  <c r="F213" i="3"/>
  <c r="M213" i="2" s="1"/>
  <c r="F214" i="3"/>
  <c r="M214" i="2" s="1"/>
  <c r="F215" i="3"/>
  <c r="M215" i="2" s="1"/>
  <c r="F216" i="3"/>
  <c r="M216" i="2" s="1"/>
  <c r="F217" i="3"/>
  <c r="M217" i="2" s="1"/>
  <c r="F218" i="3"/>
  <c r="M218" i="2" s="1"/>
  <c r="F219" i="3"/>
  <c r="M219" i="2" s="1"/>
  <c r="F220" i="3"/>
  <c r="M220" i="2" s="1"/>
  <c r="F221" i="3"/>
  <c r="M221" i="2" s="1"/>
  <c r="F222" i="3"/>
  <c r="M222" i="2" s="1"/>
  <c r="F223" i="3"/>
  <c r="M223" i="2" s="1"/>
  <c r="F224" i="3"/>
  <c r="M224" i="2" s="1"/>
  <c r="F225" i="3"/>
  <c r="M225" i="2" s="1"/>
  <c r="F226" i="3"/>
  <c r="M226" i="2" s="1"/>
  <c r="F227" i="3"/>
  <c r="M227" i="2" s="1"/>
  <c r="F228" i="3"/>
  <c r="M228" i="2" s="1"/>
  <c r="F229" i="3"/>
  <c r="M229" i="2" s="1"/>
  <c r="F230" i="3"/>
  <c r="M230" i="2" s="1"/>
  <c r="F231" i="3"/>
  <c r="M231" i="2" s="1"/>
  <c r="F232" i="3"/>
  <c r="M232" i="2" s="1"/>
  <c r="F233" i="3"/>
  <c r="M233" i="2" s="1"/>
  <c r="F234" i="3"/>
  <c r="M234" i="2" s="1"/>
  <c r="F235" i="3"/>
  <c r="M235" i="2" s="1"/>
  <c r="F236" i="3"/>
  <c r="M236" i="2" s="1"/>
  <c r="F237" i="3"/>
  <c r="M237" i="2" s="1"/>
  <c r="F238" i="3"/>
  <c r="M238" i="2" s="1"/>
  <c r="F239" i="3"/>
  <c r="M239" i="2" s="1"/>
  <c r="F240" i="3"/>
  <c r="M240" i="2" s="1"/>
  <c r="F241" i="3"/>
  <c r="M241" i="2" s="1"/>
  <c r="F242" i="3"/>
  <c r="M242" i="2" s="1"/>
  <c r="F243" i="3"/>
  <c r="M243" i="2" s="1"/>
  <c r="F244" i="3"/>
  <c r="M244" i="2" s="1"/>
  <c r="F245" i="3"/>
  <c r="M245" i="2" s="1"/>
  <c r="F246" i="3"/>
  <c r="M246" i="2" s="1"/>
  <c r="F247" i="3"/>
  <c r="M247" i="2" s="1"/>
  <c r="F248" i="3"/>
  <c r="M248" i="2" s="1"/>
  <c r="F249" i="3"/>
  <c r="M249" i="2" s="1"/>
  <c r="F250" i="3"/>
  <c r="M250" i="2" s="1"/>
  <c r="F251" i="3"/>
  <c r="M251" i="2" s="1"/>
  <c r="F252" i="3"/>
  <c r="M252" i="2" s="1"/>
  <c r="F253" i="3"/>
  <c r="M253" i="2" s="1"/>
  <c r="F254" i="3"/>
  <c r="M254" i="2" s="1"/>
  <c r="F255" i="3"/>
  <c r="M255" i="2" s="1"/>
  <c r="F256" i="3"/>
  <c r="M256" i="2" s="1"/>
  <c r="F257" i="3"/>
  <c r="M257" i="2" s="1"/>
  <c r="F258" i="3"/>
  <c r="M258" i="2" s="1"/>
  <c r="F259" i="3"/>
  <c r="M259" i="2" s="1"/>
  <c r="F260" i="3"/>
  <c r="M260" i="2" s="1"/>
  <c r="F261" i="3"/>
  <c r="M261" i="2" s="1"/>
  <c r="F262" i="3"/>
  <c r="M262" i="2" s="1"/>
  <c r="F263" i="3"/>
  <c r="M263" i="2" s="1"/>
  <c r="F264" i="3"/>
  <c r="M264" i="2" s="1"/>
  <c r="F265" i="3"/>
  <c r="M265" i="2" s="1"/>
  <c r="F266" i="3"/>
  <c r="M266" i="2" s="1"/>
  <c r="F267" i="3"/>
  <c r="M267" i="2" s="1"/>
  <c r="F268" i="3"/>
  <c r="M268" i="2" s="1"/>
  <c r="F269" i="3"/>
  <c r="M269" i="2" s="1"/>
  <c r="F270" i="3"/>
  <c r="M270" i="2" s="1"/>
  <c r="F271" i="3"/>
  <c r="M271" i="2" s="1"/>
  <c r="F272" i="3"/>
  <c r="M272" i="2" s="1"/>
  <c r="F273" i="3"/>
  <c r="M273" i="2" s="1"/>
  <c r="F274" i="3"/>
  <c r="M274" i="2" s="1"/>
  <c r="F275" i="3"/>
  <c r="M275" i="2" s="1"/>
  <c r="F276" i="3"/>
  <c r="M276" i="2" s="1"/>
  <c r="F277" i="3"/>
  <c r="M277" i="2" s="1"/>
  <c r="F278" i="3"/>
  <c r="M278" i="2" s="1"/>
  <c r="F279" i="3"/>
  <c r="M279" i="2" s="1"/>
  <c r="F280" i="3"/>
  <c r="M280" i="2" s="1"/>
  <c r="F281" i="3"/>
  <c r="M281" i="2" s="1"/>
  <c r="F282" i="3"/>
  <c r="M282" i="2" s="1"/>
  <c r="F283" i="3"/>
  <c r="M283" i="2" s="1"/>
  <c r="F284" i="3"/>
  <c r="M284" i="2" s="1"/>
  <c r="F285" i="3"/>
  <c r="M285" i="2" s="1"/>
  <c r="F286" i="3"/>
  <c r="M286" i="2" s="1"/>
  <c r="F287" i="3"/>
  <c r="M287" i="2" s="1"/>
  <c r="F288" i="3"/>
  <c r="M288" i="2" s="1"/>
  <c r="F289" i="3"/>
  <c r="M289" i="2" s="1"/>
  <c r="F290" i="3"/>
  <c r="M290" i="2" s="1"/>
  <c r="F291" i="3"/>
  <c r="M291" i="2" s="1"/>
  <c r="F292" i="3"/>
  <c r="M292" i="2" s="1"/>
  <c r="F293" i="3"/>
  <c r="M293" i="2" s="1"/>
  <c r="F294" i="3"/>
  <c r="M294" i="2" s="1"/>
  <c r="F295" i="3"/>
  <c r="M295" i="2" s="1"/>
  <c r="F296" i="3"/>
  <c r="M296" i="2" s="1"/>
  <c r="F297" i="3"/>
  <c r="M297" i="2" s="1"/>
  <c r="F298" i="3"/>
  <c r="M298" i="2" s="1"/>
  <c r="F299" i="3"/>
  <c r="M299" i="2" s="1"/>
  <c r="F300" i="3"/>
  <c r="M300" i="2" s="1"/>
  <c r="F301" i="3"/>
  <c r="M301" i="2" s="1"/>
  <c r="F302" i="3"/>
  <c r="M302" i="2" s="1"/>
  <c r="F303" i="3"/>
  <c r="M303" i="2" s="1"/>
  <c r="F304" i="3"/>
  <c r="M304" i="2" s="1"/>
  <c r="F305" i="3"/>
  <c r="M305" i="2" s="1"/>
  <c r="F306" i="3"/>
  <c r="M306" i="2" s="1"/>
  <c r="F307" i="3"/>
  <c r="M307" i="2" s="1"/>
  <c r="F308" i="3"/>
  <c r="M308" i="2" s="1"/>
  <c r="F309" i="3"/>
  <c r="M309" i="2" s="1"/>
  <c r="F310" i="3"/>
  <c r="M310" i="2" s="1"/>
  <c r="F311" i="3"/>
  <c r="M311" i="2" s="1"/>
  <c r="F312" i="3"/>
  <c r="M312" i="2" s="1"/>
  <c r="F313" i="3"/>
  <c r="M313" i="2" s="1"/>
  <c r="F314" i="3"/>
  <c r="M314" i="2" s="1"/>
  <c r="F315" i="3"/>
  <c r="M315" i="2" s="1"/>
  <c r="F316" i="3"/>
  <c r="M316" i="2" s="1"/>
  <c r="F317" i="3"/>
  <c r="M317" i="2" s="1"/>
  <c r="F318" i="3"/>
  <c r="M318" i="2" s="1"/>
  <c r="F319" i="3"/>
  <c r="M319" i="2" s="1"/>
  <c r="F320" i="3"/>
  <c r="M320" i="2" s="1"/>
  <c r="F321" i="3"/>
  <c r="M321" i="2" s="1"/>
  <c r="F322" i="3"/>
  <c r="M322" i="2" s="1"/>
  <c r="F323" i="3"/>
  <c r="M323" i="2" s="1"/>
  <c r="F324" i="3"/>
  <c r="M324" i="2" s="1"/>
  <c r="F325" i="3"/>
  <c r="M325" i="2" s="1"/>
  <c r="F326" i="3"/>
  <c r="M326" i="2" s="1"/>
  <c r="F327" i="3"/>
  <c r="M327" i="2" s="1"/>
  <c r="F328" i="3"/>
  <c r="M328" i="2" s="1"/>
  <c r="F329" i="3"/>
  <c r="M329" i="2" s="1"/>
  <c r="F330" i="3"/>
  <c r="M330" i="2" s="1"/>
  <c r="F331" i="3"/>
  <c r="M331" i="2" s="1"/>
  <c r="F332" i="3"/>
  <c r="M332" i="2" s="1"/>
  <c r="F333" i="3"/>
  <c r="M333" i="2" s="1"/>
  <c r="F334" i="3"/>
  <c r="M334" i="2" s="1"/>
  <c r="F335" i="3"/>
  <c r="M335" i="2" s="1"/>
  <c r="F336" i="3"/>
  <c r="M336" i="2" s="1"/>
  <c r="F337" i="3"/>
  <c r="M337" i="2" s="1"/>
  <c r="F338" i="3"/>
  <c r="M338" i="2" s="1"/>
  <c r="F339" i="3"/>
  <c r="M339" i="2" s="1"/>
  <c r="F340" i="3"/>
  <c r="M340" i="2" s="1"/>
  <c r="F341" i="3"/>
  <c r="M341" i="2" s="1"/>
  <c r="F342" i="3"/>
  <c r="M342" i="2" s="1"/>
  <c r="F343" i="3"/>
  <c r="M343" i="2" s="1"/>
  <c r="F344" i="3"/>
  <c r="M344" i="2" s="1"/>
  <c r="F345" i="3"/>
  <c r="M345" i="2" s="1"/>
  <c r="F346" i="3"/>
  <c r="M346" i="2" s="1"/>
  <c r="F347" i="3"/>
  <c r="M347" i="2" s="1"/>
  <c r="F348" i="3"/>
  <c r="M348" i="2" s="1"/>
  <c r="F349" i="3"/>
  <c r="M349" i="2" s="1"/>
  <c r="F350" i="3"/>
  <c r="M350" i="2" s="1"/>
  <c r="F351" i="3"/>
  <c r="M351" i="2" s="1"/>
  <c r="F352" i="3"/>
  <c r="M352" i="2" s="1"/>
  <c r="F353" i="3"/>
  <c r="M353" i="2" s="1"/>
  <c r="F354" i="3"/>
  <c r="M354" i="2" s="1"/>
  <c r="F355" i="3"/>
  <c r="M355" i="2" s="1"/>
  <c r="F356" i="3"/>
  <c r="M356" i="2" s="1"/>
  <c r="F357" i="3"/>
  <c r="M357" i="2" s="1"/>
  <c r="F358" i="3"/>
  <c r="M358" i="2" s="1"/>
  <c r="F359" i="3"/>
  <c r="M359" i="2" s="1"/>
  <c r="F360" i="3"/>
  <c r="M360" i="2" s="1"/>
  <c r="F361" i="3"/>
  <c r="M361" i="2" s="1"/>
  <c r="F362" i="3"/>
  <c r="M362" i="2" s="1"/>
  <c r="F363" i="3"/>
  <c r="M363" i="2" s="1"/>
  <c r="F364" i="3"/>
  <c r="M364" i="2" s="1"/>
  <c r="F365" i="3"/>
  <c r="M365" i="2" s="1"/>
  <c r="F366" i="3"/>
  <c r="M366" i="2" s="1"/>
  <c r="F367" i="3"/>
  <c r="M367" i="2" s="1"/>
  <c r="F368" i="3"/>
  <c r="M368" i="2" s="1"/>
  <c r="F369" i="3"/>
  <c r="M369" i="2" s="1"/>
  <c r="F370" i="3"/>
  <c r="M370" i="2" s="1"/>
  <c r="F371" i="3"/>
  <c r="M371" i="2" s="1"/>
  <c r="F372" i="3"/>
  <c r="M372" i="2" s="1"/>
  <c r="F373" i="3"/>
  <c r="M373" i="2" s="1"/>
  <c r="F374" i="3"/>
  <c r="M374" i="2" s="1"/>
  <c r="F375" i="3"/>
  <c r="M375" i="2" s="1"/>
  <c r="F376" i="3"/>
  <c r="M376" i="2" s="1"/>
  <c r="F377" i="3"/>
  <c r="M377" i="2" s="1"/>
  <c r="F378" i="3"/>
  <c r="M378" i="2" s="1"/>
  <c r="F379" i="3"/>
  <c r="M379" i="2" s="1"/>
  <c r="F380" i="3"/>
  <c r="M380" i="2" s="1"/>
  <c r="F381" i="3"/>
  <c r="M381" i="2" s="1"/>
  <c r="F382" i="3"/>
  <c r="M382" i="2" s="1"/>
  <c r="F383" i="3"/>
  <c r="M383" i="2" s="1"/>
  <c r="F384" i="3"/>
  <c r="M384" i="2" s="1"/>
  <c r="F385" i="3"/>
  <c r="M385" i="2" s="1"/>
  <c r="F386" i="3"/>
  <c r="M386" i="2" s="1"/>
  <c r="F387" i="3"/>
  <c r="M387" i="2" s="1"/>
  <c r="F388" i="3"/>
  <c r="M388" i="2" s="1"/>
  <c r="F389" i="3"/>
  <c r="M389" i="2" s="1"/>
  <c r="F390" i="3"/>
  <c r="M390" i="2" s="1"/>
  <c r="F391" i="3"/>
  <c r="M391" i="2" s="1"/>
  <c r="F392" i="3"/>
  <c r="M392" i="2" s="1"/>
  <c r="F393" i="3"/>
  <c r="M393" i="2" s="1"/>
  <c r="F394" i="3"/>
  <c r="M394" i="2" s="1"/>
  <c r="F395" i="3"/>
  <c r="M395" i="2" s="1"/>
  <c r="F396" i="3"/>
  <c r="M396" i="2" s="1"/>
  <c r="F397" i="3"/>
  <c r="M397" i="2" s="1"/>
  <c r="F398" i="3"/>
  <c r="M398" i="2" s="1"/>
  <c r="F399" i="3"/>
  <c r="M399" i="2" s="1"/>
  <c r="F400" i="3"/>
  <c r="M400" i="2" s="1"/>
  <c r="F401" i="3"/>
  <c r="M401" i="2" s="1"/>
  <c r="F402" i="3"/>
  <c r="M402" i="2" s="1"/>
  <c r="F403" i="3"/>
  <c r="M403" i="2" s="1"/>
  <c r="F404" i="3"/>
  <c r="M404" i="2" s="1"/>
  <c r="F405" i="3"/>
  <c r="M405" i="2" s="1"/>
  <c r="F406" i="3"/>
  <c r="M406" i="2" s="1"/>
  <c r="F407" i="3"/>
  <c r="M407" i="2" s="1"/>
  <c r="F408" i="3"/>
  <c r="M408" i="2" s="1"/>
  <c r="F409" i="3"/>
  <c r="M409" i="2" s="1"/>
  <c r="F410" i="3"/>
  <c r="M410" i="2" s="1"/>
  <c r="F411" i="3"/>
  <c r="M411" i="2" s="1"/>
  <c r="F412" i="3"/>
  <c r="M412" i="2" s="1"/>
  <c r="F413" i="3"/>
  <c r="M413" i="2" s="1"/>
  <c r="F414" i="3"/>
  <c r="M414" i="2" s="1"/>
  <c r="F415" i="3"/>
  <c r="M415" i="2" s="1"/>
  <c r="F416" i="3"/>
  <c r="M416" i="2" s="1"/>
  <c r="F417" i="3"/>
  <c r="M417" i="2" s="1"/>
  <c r="F418" i="3"/>
  <c r="M418" i="2" s="1"/>
  <c r="F419" i="3"/>
  <c r="M419" i="2" s="1"/>
  <c r="F420" i="3"/>
  <c r="M420" i="2" s="1"/>
  <c r="F421" i="3"/>
  <c r="M421" i="2" s="1"/>
  <c r="F422" i="3"/>
  <c r="M422" i="2" s="1"/>
  <c r="F423" i="3"/>
  <c r="M423" i="2" s="1"/>
  <c r="F424" i="3"/>
  <c r="M424" i="2" s="1"/>
  <c r="F425" i="3"/>
  <c r="M425" i="2" s="1"/>
  <c r="F426" i="3"/>
  <c r="M426" i="2" s="1"/>
  <c r="F427" i="3"/>
  <c r="M427" i="2" s="1"/>
  <c r="F428" i="3"/>
  <c r="M428" i="2" s="1"/>
  <c r="F429" i="3"/>
  <c r="M429" i="2" s="1"/>
  <c r="F430" i="3"/>
  <c r="M430" i="2" s="1"/>
  <c r="F431" i="3"/>
  <c r="M431" i="2" s="1"/>
  <c r="E2" i="3"/>
  <c r="L2" i="2" s="1"/>
  <c r="E3" i="3"/>
  <c r="L3" i="2" s="1"/>
  <c r="E4" i="3"/>
  <c r="L4" i="2" s="1"/>
  <c r="E5" i="3"/>
  <c r="L5" i="2" s="1"/>
  <c r="E6" i="3"/>
  <c r="L6" i="2" s="1"/>
  <c r="E7" i="3"/>
  <c r="L7" i="2" s="1"/>
  <c r="E8" i="3"/>
  <c r="L8" i="2" s="1"/>
  <c r="E9" i="3"/>
  <c r="L9" i="2" s="1"/>
  <c r="E10" i="3"/>
  <c r="L10" i="2" s="1"/>
  <c r="E11" i="3"/>
  <c r="L11" i="2" s="1"/>
  <c r="E12" i="3"/>
  <c r="L12" i="2" s="1"/>
  <c r="E13" i="3"/>
  <c r="L13" i="2" s="1"/>
  <c r="E14" i="3"/>
  <c r="L14" i="2" s="1"/>
  <c r="E15" i="3"/>
  <c r="L15" i="2" s="1"/>
  <c r="E16" i="3"/>
  <c r="L16" i="2" s="1"/>
  <c r="E17" i="3"/>
  <c r="L17" i="2" s="1"/>
  <c r="E18" i="3"/>
  <c r="L18" i="2" s="1"/>
  <c r="E19" i="3"/>
  <c r="L19" i="2" s="1"/>
  <c r="E20" i="3"/>
  <c r="L20" i="2" s="1"/>
  <c r="E21" i="3"/>
  <c r="L21" i="2" s="1"/>
  <c r="E22" i="3"/>
  <c r="L22" i="2" s="1"/>
  <c r="E23" i="3"/>
  <c r="L23" i="2" s="1"/>
  <c r="E24" i="3"/>
  <c r="L24" i="2" s="1"/>
  <c r="E25" i="3"/>
  <c r="L25" i="2" s="1"/>
  <c r="E26" i="3"/>
  <c r="L26" i="2" s="1"/>
  <c r="E27" i="3"/>
  <c r="L27" i="2" s="1"/>
  <c r="E28" i="3"/>
  <c r="L28" i="2" s="1"/>
  <c r="E29" i="3"/>
  <c r="L29" i="2" s="1"/>
  <c r="E30" i="3"/>
  <c r="L30" i="2" s="1"/>
  <c r="E31" i="3"/>
  <c r="L31" i="2" s="1"/>
  <c r="E32" i="3"/>
  <c r="L32" i="2" s="1"/>
  <c r="E33" i="3"/>
  <c r="L33" i="2" s="1"/>
  <c r="E34" i="3"/>
  <c r="L34" i="2" s="1"/>
  <c r="E35" i="3"/>
  <c r="L35" i="2" s="1"/>
  <c r="E36" i="3"/>
  <c r="L36" i="2" s="1"/>
  <c r="E37" i="3"/>
  <c r="L37" i="2" s="1"/>
  <c r="E38" i="3"/>
  <c r="L38" i="2" s="1"/>
  <c r="E39" i="3"/>
  <c r="L39" i="2" s="1"/>
  <c r="E40" i="3"/>
  <c r="L40" i="2" s="1"/>
  <c r="E41" i="3"/>
  <c r="L41" i="2" s="1"/>
  <c r="E42" i="3"/>
  <c r="L42" i="2" s="1"/>
  <c r="E43" i="3"/>
  <c r="L43" i="2" s="1"/>
  <c r="E44" i="3"/>
  <c r="L44" i="2" s="1"/>
  <c r="E45" i="3"/>
  <c r="L45" i="2" s="1"/>
  <c r="E46" i="3"/>
  <c r="L46" i="2" s="1"/>
  <c r="E47" i="3"/>
  <c r="L47" i="2" s="1"/>
  <c r="E48" i="3"/>
  <c r="L48" i="2" s="1"/>
  <c r="E49" i="3"/>
  <c r="L49" i="2" s="1"/>
  <c r="E50" i="3"/>
  <c r="L50" i="2" s="1"/>
  <c r="E51" i="3"/>
  <c r="L51" i="2" s="1"/>
  <c r="E52" i="3"/>
  <c r="L52" i="2" s="1"/>
  <c r="E53" i="3"/>
  <c r="L53" i="2" s="1"/>
  <c r="E54" i="3"/>
  <c r="L54" i="2" s="1"/>
  <c r="E55" i="3"/>
  <c r="L55" i="2" s="1"/>
  <c r="E56" i="3"/>
  <c r="L56" i="2" s="1"/>
  <c r="E57" i="3"/>
  <c r="L57" i="2" s="1"/>
  <c r="E58" i="3"/>
  <c r="L58" i="2" s="1"/>
  <c r="E59" i="3"/>
  <c r="L59" i="2" s="1"/>
  <c r="E60" i="3"/>
  <c r="L60" i="2" s="1"/>
  <c r="E61" i="3"/>
  <c r="L61" i="2" s="1"/>
  <c r="E62" i="3"/>
  <c r="L62" i="2" s="1"/>
  <c r="E63" i="3"/>
  <c r="L63" i="2" s="1"/>
  <c r="E64" i="3"/>
  <c r="L64" i="2" s="1"/>
  <c r="E65" i="3"/>
  <c r="L65" i="2" s="1"/>
  <c r="E66" i="3"/>
  <c r="L66" i="2" s="1"/>
  <c r="E67" i="3"/>
  <c r="L67" i="2" s="1"/>
  <c r="E68" i="3"/>
  <c r="L68" i="2" s="1"/>
  <c r="E69" i="3"/>
  <c r="L69" i="2" s="1"/>
  <c r="E70" i="3"/>
  <c r="L70" i="2" s="1"/>
  <c r="E71" i="3"/>
  <c r="L71" i="2" s="1"/>
  <c r="E72" i="3"/>
  <c r="L72" i="2" s="1"/>
  <c r="E73" i="3"/>
  <c r="L73" i="2" s="1"/>
  <c r="E74" i="3"/>
  <c r="L74" i="2" s="1"/>
  <c r="E75" i="3"/>
  <c r="L75" i="2" s="1"/>
  <c r="E76" i="3"/>
  <c r="L76" i="2" s="1"/>
  <c r="E77" i="3"/>
  <c r="L77" i="2" s="1"/>
  <c r="E78" i="3"/>
  <c r="L78" i="2" s="1"/>
  <c r="E79" i="3"/>
  <c r="L79" i="2" s="1"/>
  <c r="E80" i="3"/>
  <c r="L80" i="2" s="1"/>
  <c r="E81" i="3"/>
  <c r="L81" i="2" s="1"/>
  <c r="E82" i="3"/>
  <c r="L82" i="2" s="1"/>
  <c r="E83" i="3"/>
  <c r="L83" i="2" s="1"/>
  <c r="E84" i="3"/>
  <c r="L84" i="2" s="1"/>
  <c r="E85" i="3"/>
  <c r="L85" i="2" s="1"/>
  <c r="E86" i="3"/>
  <c r="L86" i="2" s="1"/>
  <c r="E87" i="3"/>
  <c r="L87" i="2" s="1"/>
  <c r="E88" i="3"/>
  <c r="L88" i="2" s="1"/>
  <c r="E89" i="3"/>
  <c r="L89" i="2" s="1"/>
  <c r="E90" i="3"/>
  <c r="L90" i="2" s="1"/>
  <c r="E91" i="3"/>
  <c r="L91" i="2" s="1"/>
  <c r="E92" i="3"/>
  <c r="L92" i="2" s="1"/>
  <c r="E93" i="3"/>
  <c r="L93" i="2" s="1"/>
  <c r="E94" i="3"/>
  <c r="L94" i="2" s="1"/>
  <c r="E95" i="3"/>
  <c r="L95" i="2" s="1"/>
  <c r="E96" i="3"/>
  <c r="L96" i="2" s="1"/>
  <c r="E97" i="3"/>
  <c r="L97" i="2" s="1"/>
  <c r="E98" i="3"/>
  <c r="L98" i="2" s="1"/>
  <c r="E99" i="3"/>
  <c r="L99" i="2" s="1"/>
  <c r="E100" i="3"/>
  <c r="L100" i="2" s="1"/>
  <c r="E101" i="3"/>
  <c r="L101" i="2" s="1"/>
  <c r="E102" i="3"/>
  <c r="L102" i="2" s="1"/>
  <c r="E103" i="3"/>
  <c r="L103" i="2" s="1"/>
  <c r="E104" i="3"/>
  <c r="L104" i="2" s="1"/>
  <c r="E105" i="3"/>
  <c r="L105" i="2" s="1"/>
  <c r="E106" i="3"/>
  <c r="L106" i="2" s="1"/>
  <c r="E107" i="3"/>
  <c r="L107" i="2" s="1"/>
  <c r="E108" i="3"/>
  <c r="L108" i="2" s="1"/>
  <c r="E109" i="3"/>
  <c r="L109" i="2" s="1"/>
  <c r="E110" i="3"/>
  <c r="L110" i="2" s="1"/>
  <c r="E111" i="3"/>
  <c r="L111" i="2" s="1"/>
  <c r="E112" i="3"/>
  <c r="L112" i="2" s="1"/>
  <c r="E113" i="3"/>
  <c r="L113" i="2" s="1"/>
  <c r="E114" i="3"/>
  <c r="L114" i="2" s="1"/>
  <c r="E115" i="3"/>
  <c r="L115" i="2" s="1"/>
  <c r="E116" i="3"/>
  <c r="L116" i="2" s="1"/>
  <c r="E117" i="3"/>
  <c r="L117" i="2" s="1"/>
  <c r="E118" i="3"/>
  <c r="L118" i="2" s="1"/>
  <c r="E119" i="3"/>
  <c r="L119" i="2" s="1"/>
  <c r="E120" i="3"/>
  <c r="L120" i="2" s="1"/>
  <c r="E121" i="3"/>
  <c r="L121" i="2" s="1"/>
  <c r="E122" i="3"/>
  <c r="L122" i="2" s="1"/>
  <c r="E123" i="3"/>
  <c r="L123" i="2" s="1"/>
  <c r="E124" i="3"/>
  <c r="L124" i="2" s="1"/>
  <c r="E125" i="3"/>
  <c r="L125" i="2" s="1"/>
  <c r="E126" i="3"/>
  <c r="L126" i="2" s="1"/>
  <c r="E127" i="3"/>
  <c r="L127" i="2" s="1"/>
  <c r="E128" i="3"/>
  <c r="L128" i="2" s="1"/>
  <c r="E129" i="3"/>
  <c r="L129" i="2" s="1"/>
  <c r="E130" i="3"/>
  <c r="L130" i="2" s="1"/>
  <c r="E131" i="3"/>
  <c r="L131" i="2" s="1"/>
  <c r="E132" i="3"/>
  <c r="L132" i="2" s="1"/>
  <c r="E133" i="3"/>
  <c r="L133" i="2" s="1"/>
  <c r="E134" i="3"/>
  <c r="L134" i="2" s="1"/>
  <c r="E135" i="3"/>
  <c r="L135" i="2" s="1"/>
  <c r="E136" i="3"/>
  <c r="L136" i="2" s="1"/>
  <c r="E137" i="3"/>
  <c r="L137" i="2" s="1"/>
  <c r="E138" i="3"/>
  <c r="L138" i="2" s="1"/>
  <c r="E139" i="3"/>
  <c r="L139" i="2" s="1"/>
  <c r="E140" i="3"/>
  <c r="L140" i="2" s="1"/>
  <c r="E141" i="3"/>
  <c r="L141" i="2" s="1"/>
  <c r="E142" i="3"/>
  <c r="L142" i="2" s="1"/>
  <c r="E143" i="3"/>
  <c r="L143" i="2" s="1"/>
  <c r="E144" i="3"/>
  <c r="L144" i="2" s="1"/>
  <c r="E145" i="3"/>
  <c r="L145" i="2" s="1"/>
  <c r="E146" i="3"/>
  <c r="L146" i="2" s="1"/>
  <c r="E147" i="3"/>
  <c r="L147" i="2" s="1"/>
  <c r="E148" i="3"/>
  <c r="L148" i="2" s="1"/>
  <c r="E149" i="3"/>
  <c r="L149" i="2" s="1"/>
  <c r="E150" i="3"/>
  <c r="L150" i="2" s="1"/>
  <c r="E151" i="3"/>
  <c r="L151" i="2" s="1"/>
  <c r="E152" i="3"/>
  <c r="L152" i="2" s="1"/>
  <c r="E153" i="3"/>
  <c r="L153" i="2" s="1"/>
  <c r="E154" i="3"/>
  <c r="L154" i="2" s="1"/>
  <c r="E155" i="3"/>
  <c r="L155" i="2" s="1"/>
  <c r="E156" i="3"/>
  <c r="L156" i="2" s="1"/>
  <c r="E157" i="3"/>
  <c r="L157" i="2" s="1"/>
  <c r="E158" i="3"/>
  <c r="L158" i="2" s="1"/>
  <c r="E159" i="3"/>
  <c r="L159" i="2" s="1"/>
  <c r="E160" i="3"/>
  <c r="L160" i="2" s="1"/>
  <c r="E161" i="3"/>
  <c r="L161" i="2" s="1"/>
  <c r="E162" i="3"/>
  <c r="L162" i="2" s="1"/>
  <c r="E163" i="3"/>
  <c r="L163" i="2" s="1"/>
  <c r="E164" i="3"/>
  <c r="L164" i="2" s="1"/>
  <c r="E165" i="3"/>
  <c r="L165" i="2" s="1"/>
  <c r="E166" i="3"/>
  <c r="L166" i="2" s="1"/>
  <c r="E167" i="3"/>
  <c r="L167" i="2" s="1"/>
  <c r="E168" i="3"/>
  <c r="L168" i="2" s="1"/>
  <c r="E169" i="3"/>
  <c r="L169" i="2" s="1"/>
  <c r="E170" i="3"/>
  <c r="L170" i="2" s="1"/>
  <c r="E171" i="3"/>
  <c r="L171" i="2" s="1"/>
  <c r="E172" i="3"/>
  <c r="L172" i="2" s="1"/>
  <c r="E173" i="3"/>
  <c r="L173" i="2" s="1"/>
  <c r="E174" i="3"/>
  <c r="L174" i="2" s="1"/>
  <c r="E175" i="3"/>
  <c r="L175" i="2" s="1"/>
  <c r="E176" i="3"/>
  <c r="L176" i="2" s="1"/>
  <c r="E177" i="3"/>
  <c r="L177" i="2" s="1"/>
  <c r="E178" i="3"/>
  <c r="L178" i="2" s="1"/>
  <c r="E179" i="3"/>
  <c r="L179" i="2" s="1"/>
  <c r="E180" i="3"/>
  <c r="L180" i="2" s="1"/>
  <c r="E181" i="3"/>
  <c r="L181" i="2" s="1"/>
  <c r="E182" i="3"/>
  <c r="L182" i="2" s="1"/>
  <c r="E183" i="3"/>
  <c r="L183" i="2" s="1"/>
  <c r="E184" i="3"/>
  <c r="L184" i="2" s="1"/>
  <c r="E185" i="3"/>
  <c r="L185" i="2" s="1"/>
  <c r="E186" i="3"/>
  <c r="L186" i="2" s="1"/>
  <c r="E187" i="3"/>
  <c r="L187" i="2" s="1"/>
  <c r="E188" i="3"/>
  <c r="L188" i="2" s="1"/>
  <c r="E189" i="3"/>
  <c r="L189" i="2" s="1"/>
  <c r="E190" i="3"/>
  <c r="L190" i="2" s="1"/>
  <c r="E191" i="3"/>
  <c r="L191" i="2" s="1"/>
  <c r="E192" i="3"/>
  <c r="L192" i="2" s="1"/>
  <c r="E193" i="3"/>
  <c r="L193" i="2" s="1"/>
  <c r="E194" i="3"/>
  <c r="L194" i="2" s="1"/>
  <c r="E195" i="3"/>
  <c r="L195" i="2" s="1"/>
  <c r="E196" i="3"/>
  <c r="L196" i="2" s="1"/>
  <c r="E197" i="3"/>
  <c r="L197" i="2" s="1"/>
  <c r="E198" i="3"/>
  <c r="L198" i="2" s="1"/>
  <c r="E199" i="3"/>
  <c r="L199" i="2" s="1"/>
  <c r="E200" i="3"/>
  <c r="L200" i="2" s="1"/>
  <c r="E201" i="3"/>
  <c r="L201" i="2" s="1"/>
  <c r="E202" i="3"/>
  <c r="L202" i="2" s="1"/>
  <c r="E203" i="3"/>
  <c r="L203" i="2" s="1"/>
  <c r="E204" i="3"/>
  <c r="L204" i="2" s="1"/>
  <c r="E205" i="3"/>
  <c r="L205" i="2" s="1"/>
  <c r="E206" i="3"/>
  <c r="L206" i="2" s="1"/>
  <c r="E207" i="3"/>
  <c r="L207" i="2" s="1"/>
  <c r="E208" i="3"/>
  <c r="L208" i="2" s="1"/>
  <c r="E209" i="3"/>
  <c r="L209" i="2" s="1"/>
  <c r="E210" i="3"/>
  <c r="L210" i="2" s="1"/>
  <c r="E211" i="3"/>
  <c r="L211" i="2" s="1"/>
  <c r="E212" i="3"/>
  <c r="L212" i="2" s="1"/>
  <c r="E213" i="3"/>
  <c r="L213" i="2" s="1"/>
  <c r="E214" i="3"/>
  <c r="L214" i="2" s="1"/>
  <c r="E215" i="3"/>
  <c r="L215" i="2" s="1"/>
  <c r="E216" i="3"/>
  <c r="L216" i="2" s="1"/>
  <c r="E217" i="3"/>
  <c r="L217" i="2" s="1"/>
  <c r="E218" i="3"/>
  <c r="L218" i="2" s="1"/>
  <c r="E219" i="3"/>
  <c r="L219" i="2" s="1"/>
  <c r="E220" i="3"/>
  <c r="L220" i="2" s="1"/>
  <c r="E221" i="3"/>
  <c r="L221" i="2" s="1"/>
  <c r="E222" i="3"/>
  <c r="L222" i="2" s="1"/>
  <c r="E223" i="3"/>
  <c r="L223" i="2" s="1"/>
  <c r="E224" i="3"/>
  <c r="L224" i="2" s="1"/>
  <c r="E225" i="3"/>
  <c r="L225" i="2" s="1"/>
  <c r="E226" i="3"/>
  <c r="L226" i="2" s="1"/>
  <c r="E227" i="3"/>
  <c r="L227" i="2" s="1"/>
  <c r="E228" i="3"/>
  <c r="L228" i="2" s="1"/>
  <c r="E229" i="3"/>
  <c r="L229" i="2" s="1"/>
  <c r="E230" i="3"/>
  <c r="L230" i="2" s="1"/>
  <c r="E231" i="3"/>
  <c r="L231" i="2" s="1"/>
  <c r="E232" i="3"/>
  <c r="L232" i="2" s="1"/>
  <c r="E233" i="3"/>
  <c r="L233" i="2" s="1"/>
  <c r="E234" i="3"/>
  <c r="L234" i="2" s="1"/>
  <c r="E235" i="3"/>
  <c r="L235" i="2" s="1"/>
  <c r="E236" i="3"/>
  <c r="L236" i="2" s="1"/>
  <c r="E237" i="3"/>
  <c r="L237" i="2" s="1"/>
  <c r="E238" i="3"/>
  <c r="L238" i="2" s="1"/>
  <c r="E239" i="3"/>
  <c r="L239" i="2" s="1"/>
  <c r="E240" i="3"/>
  <c r="L240" i="2" s="1"/>
  <c r="E241" i="3"/>
  <c r="L241" i="2" s="1"/>
  <c r="E242" i="3"/>
  <c r="L242" i="2" s="1"/>
  <c r="E243" i="3"/>
  <c r="L243" i="2" s="1"/>
  <c r="E244" i="3"/>
  <c r="L244" i="2" s="1"/>
  <c r="E245" i="3"/>
  <c r="L245" i="2" s="1"/>
  <c r="E246" i="3"/>
  <c r="L246" i="2" s="1"/>
  <c r="E247" i="3"/>
  <c r="L247" i="2" s="1"/>
  <c r="E248" i="3"/>
  <c r="L248" i="2" s="1"/>
  <c r="E249" i="3"/>
  <c r="L249" i="2" s="1"/>
  <c r="E250" i="3"/>
  <c r="L250" i="2" s="1"/>
  <c r="E251" i="3"/>
  <c r="L251" i="2" s="1"/>
  <c r="E252" i="3"/>
  <c r="L252" i="2" s="1"/>
  <c r="E253" i="3"/>
  <c r="L253" i="2" s="1"/>
  <c r="E254" i="3"/>
  <c r="L254" i="2" s="1"/>
  <c r="E255" i="3"/>
  <c r="L255" i="2" s="1"/>
  <c r="E256" i="3"/>
  <c r="L256" i="2" s="1"/>
  <c r="E257" i="3"/>
  <c r="L257" i="2" s="1"/>
  <c r="E258" i="3"/>
  <c r="L258" i="2" s="1"/>
  <c r="E259" i="3"/>
  <c r="L259" i="2" s="1"/>
  <c r="E260" i="3"/>
  <c r="L260" i="2" s="1"/>
  <c r="E261" i="3"/>
  <c r="L261" i="2" s="1"/>
  <c r="E262" i="3"/>
  <c r="L262" i="2" s="1"/>
  <c r="E263" i="3"/>
  <c r="L263" i="2" s="1"/>
  <c r="E264" i="3"/>
  <c r="L264" i="2" s="1"/>
  <c r="E265" i="3"/>
  <c r="L265" i="2" s="1"/>
  <c r="E266" i="3"/>
  <c r="L266" i="2" s="1"/>
  <c r="E267" i="3"/>
  <c r="L267" i="2" s="1"/>
  <c r="E268" i="3"/>
  <c r="L268" i="2" s="1"/>
  <c r="E269" i="3"/>
  <c r="L269" i="2" s="1"/>
  <c r="E270" i="3"/>
  <c r="L270" i="2" s="1"/>
  <c r="E271" i="3"/>
  <c r="L271" i="2" s="1"/>
  <c r="E272" i="3"/>
  <c r="L272" i="2" s="1"/>
  <c r="E273" i="3"/>
  <c r="L273" i="2" s="1"/>
  <c r="E274" i="3"/>
  <c r="L274" i="2" s="1"/>
  <c r="E275" i="3"/>
  <c r="L275" i="2" s="1"/>
  <c r="E276" i="3"/>
  <c r="L276" i="2" s="1"/>
  <c r="E277" i="3"/>
  <c r="L277" i="2" s="1"/>
  <c r="E278" i="3"/>
  <c r="L278" i="2" s="1"/>
  <c r="E279" i="3"/>
  <c r="L279" i="2" s="1"/>
  <c r="E280" i="3"/>
  <c r="L280" i="2" s="1"/>
  <c r="E281" i="3"/>
  <c r="L281" i="2" s="1"/>
  <c r="E282" i="3"/>
  <c r="L282" i="2" s="1"/>
  <c r="E283" i="3"/>
  <c r="L283" i="2" s="1"/>
  <c r="E284" i="3"/>
  <c r="L284" i="2" s="1"/>
  <c r="E285" i="3"/>
  <c r="L285" i="2" s="1"/>
  <c r="E286" i="3"/>
  <c r="L286" i="2" s="1"/>
  <c r="E287" i="3"/>
  <c r="L287" i="2" s="1"/>
  <c r="E288" i="3"/>
  <c r="L288" i="2" s="1"/>
  <c r="E289" i="3"/>
  <c r="L289" i="2" s="1"/>
  <c r="E290" i="3"/>
  <c r="L290" i="2" s="1"/>
  <c r="E291" i="3"/>
  <c r="L291" i="2" s="1"/>
  <c r="E292" i="3"/>
  <c r="L292" i="2" s="1"/>
  <c r="E293" i="3"/>
  <c r="L293" i="2" s="1"/>
  <c r="E294" i="3"/>
  <c r="L294" i="2" s="1"/>
  <c r="E295" i="3"/>
  <c r="L295" i="2" s="1"/>
  <c r="E296" i="3"/>
  <c r="L296" i="2" s="1"/>
  <c r="E297" i="3"/>
  <c r="L297" i="2" s="1"/>
  <c r="E298" i="3"/>
  <c r="L298" i="2" s="1"/>
  <c r="E299" i="3"/>
  <c r="L299" i="2" s="1"/>
  <c r="E300" i="3"/>
  <c r="L300" i="2" s="1"/>
  <c r="E301" i="3"/>
  <c r="L301" i="2" s="1"/>
  <c r="E302" i="3"/>
  <c r="L302" i="2" s="1"/>
  <c r="E303" i="3"/>
  <c r="L303" i="2" s="1"/>
  <c r="E304" i="3"/>
  <c r="L304" i="2" s="1"/>
  <c r="E305" i="3"/>
  <c r="L305" i="2" s="1"/>
  <c r="E306" i="3"/>
  <c r="L306" i="2" s="1"/>
  <c r="E307" i="3"/>
  <c r="L307" i="2" s="1"/>
  <c r="E308" i="3"/>
  <c r="L308" i="2" s="1"/>
  <c r="E309" i="3"/>
  <c r="L309" i="2" s="1"/>
  <c r="E310" i="3"/>
  <c r="L310" i="2" s="1"/>
  <c r="E311" i="3"/>
  <c r="L311" i="2" s="1"/>
  <c r="E312" i="3"/>
  <c r="L312" i="2" s="1"/>
  <c r="E313" i="3"/>
  <c r="L313" i="2" s="1"/>
  <c r="E314" i="3"/>
  <c r="L314" i="2" s="1"/>
  <c r="E315" i="3"/>
  <c r="L315" i="2" s="1"/>
  <c r="E316" i="3"/>
  <c r="L316" i="2" s="1"/>
  <c r="E317" i="3"/>
  <c r="L317" i="2" s="1"/>
  <c r="E318" i="3"/>
  <c r="L318" i="2" s="1"/>
  <c r="E319" i="3"/>
  <c r="L319" i="2" s="1"/>
  <c r="E320" i="3"/>
  <c r="L320" i="2" s="1"/>
  <c r="E321" i="3"/>
  <c r="L321" i="2" s="1"/>
  <c r="E322" i="3"/>
  <c r="L322" i="2" s="1"/>
  <c r="E323" i="3"/>
  <c r="L323" i="2" s="1"/>
  <c r="E324" i="3"/>
  <c r="L324" i="2" s="1"/>
  <c r="E325" i="3"/>
  <c r="L325" i="2" s="1"/>
  <c r="E326" i="3"/>
  <c r="L326" i="2" s="1"/>
  <c r="E327" i="3"/>
  <c r="L327" i="2" s="1"/>
  <c r="E328" i="3"/>
  <c r="L328" i="2" s="1"/>
  <c r="E329" i="3"/>
  <c r="L329" i="2" s="1"/>
  <c r="E330" i="3"/>
  <c r="L330" i="2" s="1"/>
  <c r="E331" i="3"/>
  <c r="L331" i="2" s="1"/>
  <c r="E332" i="3"/>
  <c r="L332" i="2" s="1"/>
  <c r="E333" i="3"/>
  <c r="L333" i="2" s="1"/>
  <c r="E334" i="3"/>
  <c r="L334" i="2" s="1"/>
  <c r="E335" i="3"/>
  <c r="L335" i="2" s="1"/>
  <c r="E336" i="3"/>
  <c r="L336" i="2" s="1"/>
  <c r="E337" i="3"/>
  <c r="L337" i="2" s="1"/>
  <c r="E338" i="3"/>
  <c r="L338" i="2" s="1"/>
  <c r="E339" i="3"/>
  <c r="L339" i="2" s="1"/>
  <c r="E340" i="3"/>
  <c r="L340" i="2" s="1"/>
  <c r="E341" i="3"/>
  <c r="L341" i="2" s="1"/>
  <c r="E342" i="3"/>
  <c r="L342" i="2" s="1"/>
  <c r="E343" i="3"/>
  <c r="L343" i="2" s="1"/>
  <c r="E344" i="3"/>
  <c r="L344" i="2" s="1"/>
  <c r="E345" i="3"/>
  <c r="L345" i="2" s="1"/>
  <c r="E346" i="3"/>
  <c r="L346" i="2" s="1"/>
  <c r="E347" i="3"/>
  <c r="L347" i="2" s="1"/>
  <c r="E348" i="3"/>
  <c r="L348" i="2" s="1"/>
  <c r="E349" i="3"/>
  <c r="L349" i="2" s="1"/>
  <c r="E350" i="3"/>
  <c r="L350" i="2" s="1"/>
  <c r="E351" i="3"/>
  <c r="L351" i="2" s="1"/>
  <c r="E352" i="3"/>
  <c r="L352" i="2" s="1"/>
  <c r="E353" i="3"/>
  <c r="L353" i="2" s="1"/>
  <c r="E354" i="3"/>
  <c r="L354" i="2" s="1"/>
  <c r="E355" i="3"/>
  <c r="L355" i="2" s="1"/>
  <c r="E356" i="3"/>
  <c r="L356" i="2" s="1"/>
  <c r="E357" i="3"/>
  <c r="L357" i="2" s="1"/>
  <c r="E358" i="3"/>
  <c r="L358" i="2" s="1"/>
  <c r="E359" i="3"/>
  <c r="L359" i="2" s="1"/>
  <c r="E360" i="3"/>
  <c r="L360" i="2" s="1"/>
  <c r="E361" i="3"/>
  <c r="L361" i="2" s="1"/>
  <c r="E362" i="3"/>
  <c r="L362" i="2" s="1"/>
  <c r="E363" i="3"/>
  <c r="L363" i="2" s="1"/>
  <c r="E364" i="3"/>
  <c r="L364" i="2" s="1"/>
  <c r="E365" i="3"/>
  <c r="L365" i="2" s="1"/>
  <c r="E366" i="3"/>
  <c r="L366" i="2" s="1"/>
  <c r="E367" i="3"/>
  <c r="L367" i="2" s="1"/>
  <c r="E368" i="3"/>
  <c r="L368" i="2" s="1"/>
  <c r="E369" i="3"/>
  <c r="L369" i="2" s="1"/>
  <c r="E370" i="3"/>
  <c r="L370" i="2" s="1"/>
  <c r="E371" i="3"/>
  <c r="L371" i="2" s="1"/>
  <c r="E372" i="3"/>
  <c r="L372" i="2" s="1"/>
  <c r="E373" i="3"/>
  <c r="L373" i="2" s="1"/>
  <c r="E374" i="3"/>
  <c r="L374" i="2" s="1"/>
  <c r="E375" i="3"/>
  <c r="L375" i="2" s="1"/>
  <c r="E376" i="3"/>
  <c r="L376" i="2" s="1"/>
  <c r="E377" i="3"/>
  <c r="L377" i="2" s="1"/>
  <c r="E378" i="3"/>
  <c r="L378" i="2" s="1"/>
  <c r="E379" i="3"/>
  <c r="L379" i="2" s="1"/>
  <c r="E380" i="3"/>
  <c r="L380" i="2" s="1"/>
  <c r="E381" i="3"/>
  <c r="L381" i="2" s="1"/>
  <c r="E382" i="3"/>
  <c r="L382" i="2" s="1"/>
  <c r="E383" i="3"/>
  <c r="L383" i="2" s="1"/>
  <c r="E384" i="3"/>
  <c r="L384" i="2" s="1"/>
  <c r="E385" i="3"/>
  <c r="L385" i="2" s="1"/>
  <c r="E386" i="3"/>
  <c r="L386" i="2" s="1"/>
  <c r="E387" i="3"/>
  <c r="L387" i="2" s="1"/>
  <c r="E388" i="3"/>
  <c r="L388" i="2" s="1"/>
  <c r="E389" i="3"/>
  <c r="L389" i="2" s="1"/>
  <c r="E390" i="3"/>
  <c r="L390" i="2" s="1"/>
  <c r="E391" i="3"/>
  <c r="L391" i="2" s="1"/>
  <c r="E392" i="3"/>
  <c r="L392" i="2" s="1"/>
  <c r="E393" i="3"/>
  <c r="L393" i="2" s="1"/>
  <c r="E394" i="3"/>
  <c r="L394" i="2" s="1"/>
  <c r="E395" i="3"/>
  <c r="L395" i="2" s="1"/>
  <c r="E396" i="3"/>
  <c r="L396" i="2" s="1"/>
  <c r="E397" i="3"/>
  <c r="L397" i="2" s="1"/>
  <c r="E398" i="3"/>
  <c r="L398" i="2" s="1"/>
  <c r="E399" i="3"/>
  <c r="L399" i="2" s="1"/>
  <c r="E400" i="3"/>
  <c r="L400" i="2" s="1"/>
  <c r="E401" i="3"/>
  <c r="L401" i="2" s="1"/>
  <c r="E402" i="3"/>
  <c r="L402" i="2" s="1"/>
  <c r="E403" i="3"/>
  <c r="L403" i="2" s="1"/>
  <c r="E404" i="3"/>
  <c r="L404" i="2" s="1"/>
  <c r="E405" i="3"/>
  <c r="L405" i="2" s="1"/>
  <c r="E406" i="3"/>
  <c r="L406" i="2" s="1"/>
  <c r="E407" i="3"/>
  <c r="L407" i="2" s="1"/>
  <c r="E408" i="3"/>
  <c r="L408" i="2" s="1"/>
  <c r="E409" i="3"/>
  <c r="L409" i="2" s="1"/>
  <c r="E410" i="3"/>
  <c r="L410" i="2" s="1"/>
  <c r="E411" i="3"/>
  <c r="L411" i="2" s="1"/>
  <c r="E412" i="3"/>
  <c r="L412" i="2" s="1"/>
  <c r="E413" i="3"/>
  <c r="L413" i="2" s="1"/>
  <c r="E414" i="3"/>
  <c r="L414" i="2" s="1"/>
  <c r="E415" i="3"/>
  <c r="L415" i="2" s="1"/>
  <c r="E416" i="3"/>
  <c r="L416" i="2" s="1"/>
  <c r="E417" i="3"/>
  <c r="L417" i="2" s="1"/>
  <c r="E418" i="3"/>
  <c r="L418" i="2" s="1"/>
  <c r="E419" i="3"/>
  <c r="L419" i="2" s="1"/>
  <c r="E420" i="3"/>
  <c r="L420" i="2" s="1"/>
  <c r="E421" i="3"/>
  <c r="L421" i="2" s="1"/>
  <c r="E422" i="3"/>
  <c r="L422" i="2" s="1"/>
  <c r="E423" i="3"/>
  <c r="L423" i="2" s="1"/>
  <c r="E424" i="3"/>
  <c r="L424" i="2" s="1"/>
  <c r="E425" i="3"/>
  <c r="L425" i="2" s="1"/>
  <c r="E426" i="3"/>
  <c r="L426" i="2" s="1"/>
  <c r="E427" i="3"/>
  <c r="L427" i="2" s="1"/>
  <c r="E428" i="3"/>
  <c r="L428" i="2" s="1"/>
  <c r="E429" i="3"/>
  <c r="L429" i="2" s="1"/>
  <c r="E430" i="3"/>
  <c r="L430" i="2" s="1"/>
  <c r="E431" i="3"/>
  <c r="L431" i="2" s="1"/>
  <c r="G2" i="3"/>
  <c r="H2" i="3" s="1"/>
  <c r="G3" i="3"/>
  <c r="H3" i="3" s="1"/>
  <c r="G4" i="3"/>
  <c r="H4" i="3" s="1"/>
  <c r="G5" i="3"/>
  <c r="H5" i="3" s="1"/>
  <c r="G6" i="3"/>
  <c r="H6" i="3" s="1"/>
  <c r="G7" i="3"/>
  <c r="H7" i="3" s="1"/>
  <c r="G8" i="3"/>
  <c r="H8" i="3" s="1"/>
  <c r="G9" i="3"/>
  <c r="H9" i="3" s="1"/>
  <c r="G10" i="3"/>
  <c r="H10" i="3" s="1"/>
  <c r="G11" i="3"/>
  <c r="H11" i="3" s="1"/>
  <c r="G12" i="3"/>
  <c r="H12" i="3" s="1"/>
  <c r="G13" i="3"/>
  <c r="H13" i="3" s="1"/>
  <c r="G14" i="3"/>
  <c r="H14" i="3" s="1"/>
  <c r="G15" i="3"/>
  <c r="H15" i="3" s="1"/>
  <c r="G16" i="3"/>
  <c r="H16" i="3" s="1"/>
  <c r="G17" i="3"/>
  <c r="H17" i="3" s="1"/>
  <c r="G18" i="3"/>
  <c r="H18" i="3" s="1"/>
  <c r="G19" i="3"/>
  <c r="H19" i="3" s="1"/>
  <c r="G20" i="3"/>
  <c r="H20" i="3" s="1"/>
  <c r="G21" i="3"/>
  <c r="H21" i="3" s="1"/>
  <c r="G22" i="3"/>
  <c r="H22" i="3" s="1"/>
  <c r="G23" i="3"/>
  <c r="H23" i="3" s="1"/>
  <c r="G24" i="3"/>
  <c r="H24" i="3" s="1"/>
  <c r="G25" i="3"/>
  <c r="H25" i="3" s="1"/>
  <c r="G26" i="3"/>
  <c r="H26" i="3" s="1"/>
  <c r="G27" i="3"/>
  <c r="H27" i="3" s="1"/>
  <c r="G28" i="3"/>
  <c r="H28" i="3" s="1"/>
  <c r="G29" i="3"/>
  <c r="H29" i="3" s="1"/>
  <c r="G30" i="3"/>
  <c r="H30" i="3" s="1"/>
  <c r="G31" i="3"/>
  <c r="H31" i="3" s="1"/>
  <c r="G32" i="3"/>
  <c r="H32" i="3" s="1"/>
  <c r="G33" i="3"/>
  <c r="H33" i="3" s="1"/>
  <c r="G34" i="3"/>
  <c r="H34" i="3" s="1"/>
  <c r="G35" i="3"/>
  <c r="H35" i="3" s="1"/>
  <c r="G36" i="3"/>
  <c r="H36" i="3" s="1"/>
  <c r="G37" i="3"/>
  <c r="H37" i="3" s="1"/>
  <c r="G38" i="3"/>
  <c r="H38" i="3" s="1"/>
  <c r="G39" i="3"/>
  <c r="H39" i="3" s="1"/>
  <c r="G40" i="3"/>
  <c r="H40" i="3" s="1"/>
  <c r="G41" i="3"/>
  <c r="H41" i="3" s="1"/>
  <c r="G42" i="3"/>
  <c r="H42" i="3" s="1"/>
  <c r="G43" i="3"/>
  <c r="H43" i="3" s="1"/>
  <c r="G44" i="3"/>
  <c r="H44" i="3" s="1"/>
  <c r="G45" i="3"/>
  <c r="H45" i="3" s="1"/>
  <c r="G46" i="3"/>
  <c r="H46" i="3" s="1"/>
  <c r="G47" i="3"/>
  <c r="H47" i="3" s="1"/>
  <c r="G48" i="3"/>
  <c r="H48" i="3" s="1"/>
  <c r="G49" i="3"/>
  <c r="H49" i="3" s="1"/>
  <c r="G50" i="3"/>
  <c r="H50" i="3" s="1"/>
  <c r="G51" i="3"/>
  <c r="H51" i="3" s="1"/>
  <c r="G52" i="3"/>
  <c r="H52" i="3" s="1"/>
  <c r="G53" i="3"/>
  <c r="H53" i="3" s="1"/>
  <c r="G54" i="3"/>
  <c r="H54" i="3" s="1"/>
  <c r="G55" i="3"/>
  <c r="H55" i="3" s="1"/>
  <c r="G56" i="3"/>
  <c r="H56" i="3" s="1"/>
  <c r="G57" i="3"/>
  <c r="H57" i="3" s="1"/>
  <c r="G58" i="3"/>
  <c r="H58" i="3" s="1"/>
  <c r="G59" i="3"/>
  <c r="H59" i="3" s="1"/>
  <c r="G60" i="3"/>
  <c r="H60" i="3" s="1"/>
  <c r="G61" i="3"/>
  <c r="H61" i="3" s="1"/>
  <c r="G62" i="3"/>
  <c r="H62" i="3" s="1"/>
  <c r="G63" i="3"/>
  <c r="H63" i="3" s="1"/>
  <c r="G64" i="3"/>
  <c r="H64" i="3" s="1"/>
  <c r="G65" i="3"/>
  <c r="H65" i="3" s="1"/>
  <c r="G66" i="3"/>
  <c r="H66" i="3" s="1"/>
  <c r="G67" i="3"/>
  <c r="H67" i="3" s="1"/>
  <c r="G68" i="3"/>
  <c r="H68" i="3" s="1"/>
  <c r="G69" i="3"/>
  <c r="H69" i="3" s="1"/>
  <c r="G70" i="3"/>
  <c r="H70" i="3" s="1"/>
  <c r="G71" i="3"/>
  <c r="H71" i="3" s="1"/>
  <c r="G72" i="3"/>
  <c r="H72" i="3" s="1"/>
  <c r="G73" i="3"/>
  <c r="H73" i="3" s="1"/>
  <c r="G74" i="3"/>
  <c r="H74" i="3" s="1"/>
  <c r="G75" i="3"/>
  <c r="H75" i="3" s="1"/>
  <c r="G76" i="3"/>
  <c r="H76" i="3" s="1"/>
  <c r="G77" i="3"/>
  <c r="H77" i="3" s="1"/>
  <c r="G78" i="3"/>
  <c r="H78" i="3" s="1"/>
  <c r="G79" i="3"/>
  <c r="H79" i="3" s="1"/>
  <c r="G80" i="3"/>
  <c r="H80" i="3" s="1"/>
  <c r="G81" i="3"/>
  <c r="H81" i="3" s="1"/>
  <c r="G82" i="3"/>
  <c r="H82" i="3" s="1"/>
  <c r="G83" i="3"/>
  <c r="H83" i="3" s="1"/>
  <c r="G84" i="3"/>
  <c r="H84" i="3" s="1"/>
  <c r="G85" i="3"/>
  <c r="H85" i="3" s="1"/>
  <c r="G86" i="3"/>
  <c r="H86" i="3" s="1"/>
  <c r="G87" i="3"/>
  <c r="H87" i="3" s="1"/>
  <c r="G88" i="3"/>
  <c r="H88" i="3" s="1"/>
  <c r="G89" i="3"/>
  <c r="H89" i="3" s="1"/>
  <c r="G90" i="3"/>
  <c r="H90" i="3" s="1"/>
  <c r="G91" i="3"/>
  <c r="H91" i="3" s="1"/>
  <c r="G92" i="3"/>
  <c r="H92" i="3" s="1"/>
  <c r="G93" i="3"/>
  <c r="H93" i="3" s="1"/>
  <c r="G94" i="3"/>
  <c r="H94" i="3" s="1"/>
  <c r="G95" i="3"/>
  <c r="H95" i="3" s="1"/>
  <c r="G96" i="3"/>
  <c r="H96" i="3" s="1"/>
  <c r="G97" i="3"/>
  <c r="H97" i="3" s="1"/>
  <c r="G98" i="3"/>
  <c r="H98" i="3" s="1"/>
  <c r="G99" i="3"/>
  <c r="H99" i="3" s="1"/>
  <c r="G100" i="3"/>
  <c r="H100" i="3" s="1"/>
  <c r="G101" i="3"/>
  <c r="H101" i="3" s="1"/>
  <c r="G102" i="3"/>
  <c r="H102" i="3" s="1"/>
  <c r="G103" i="3"/>
  <c r="H103" i="3" s="1"/>
  <c r="G104" i="3"/>
  <c r="H104" i="3" s="1"/>
  <c r="G105" i="3"/>
  <c r="H105" i="3" s="1"/>
  <c r="G106" i="3"/>
  <c r="H106" i="3" s="1"/>
  <c r="G107" i="3"/>
  <c r="H107" i="3" s="1"/>
  <c r="G108" i="3"/>
  <c r="H108" i="3" s="1"/>
  <c r="G109" i="3"/>
  <c r="H109" i="3" s="1"/>
  <c r="G110" i="3"/>
  <c r="H110" i="3" s="1"/>
  <c r="G111" i="3"/>
  <c r="H111" i="3" s="1"/>
  <c r="G112" i="3"/>
  <c r="H112" i="3" s="1"/>
  <c r="G113" i="3"/>
  <c r="H113" i="3" s="1"/>
  <c r="G114" i="3"/>
  <c r="H114" i="3" s="1"/>
  <c r="G115" i="3"/>
  <c r="H115" i="3" s="1"/>
  <c r="G116" i="3"/>
  <c r="H116" i="3" s="1"/>
  <c r="G117" i="3"/>
  <c r="H117" i="3" s="1"/>
  <c r="G118" i="3"/>
  <c r="H118" i="3" s="1"/>
  <c r="G119" i="3"/>
  <c r="H119" i="3" s="1"/>
  <c r="G120" i="3"/>
  <c r="H120" i="3" s="1"/>
  <c r="G121" i="3"/>
  <c r="H121" i="3" s="1"/>
  <c r="G122" i="3"/>
  <c r="H122" i="3" s="1"/>
  <c r="G123" i="3"/>
  <c r="H123" i="3" s="1"/>
  <c r="G124" i="3"/>
  <c r="H124" i="3" s="1"/>
  <c r="G125" i="3"/>
  <c r="H125" i="3" s="1"/>
  <c r="G126" i="3"/>
  <c r="H126" i="3" s="1"/>
  <c r="G127" i="3"/>
  <c r="H127" i="3" s="1"/>
  <c r="G128" i="3"/>
  <c r="H128" i="3" s="1"/>
  <c r="G129" i="3"/>
  <c r="H129" i="3" s="1"/>
  <c r="G130" i="3"/>
  <c r="H130" i="3" s="1"/>
  <c r="G131" i="3"/>
  <c r="H131" i="3" s="1"/>
  <c r="G132" i="3"/>
  <c r="H132" i="3" s="1"/>
  <c r="G133" i="3"/>
  <c r="H133" i="3" s="1"/>
  <c r="G134" i="3"/>
  <c r="H134" i="3" s="1"/>
  <c r="G135" i="3"/>
  <c r="H135" i="3" s="1"/>
  <c r="G136" i="3"/>
  <c r="H136" i="3" s="1"/>
  <c r="G137" i="3"/>
  <c r="H137" i="3" s="1"/>
  <c r="G138" i="3"/>
  <c r="H138" i="3" s="1"/>
  <c r="G139" i="3"/>
  <c r="H139" i="3" s="1"/>
  <c r="G140" i="3"/>
  <c r="H140" i="3" s="1"/>
  <c r="G141" i="3"/>
  <c r="H141" i="3" s="1"/>
  <c r="G142" i="3"/>
  <c r="H142" i="3" s="1"/>
  <c r="G143" i="3"/>
  <c r="H143" i="3" s="1"/>
  <c r="G144" i="3"/>
  <c r="H144" i="3" s="1"/>
  <c r="G145" i="3"/>
  <c r="H145" i="3" s="1"/>
  <c r="G146" i="3"/>
  <c r="H146" i="3" s="1"/>
  <c r="G147" i="3"/>
  <c r="H147" i="3" s="1"/>
  <c r="G148" i="3"/>
  <c r="H148" i="3" s="1"/>
  <c r="G149" i="3"/>
  <c r="H149" i="3" s="1"/>
  <c r="G150" i="3"/>
  <c r="H150" i="3" s="1"/>
  <c r="G151" i="3"/>
  <c r="H151" i="3" s="1"/>
  <c r="G152" i="3"/>
  <c r="H152" i="3" s="1"/>
  <c r="G153" i="3"/>
  <c r="H153" i="3" s="1"/>
  <c r="G154" i="3"/>
  <c r="H154" i="3" s="1"/>
  <c r="G155" i="3"/>
  <c r="H155" i="3" s="1"/>
  <c r="G156" i="3"/>
  <c r="H156" i="3" s="1"/>
  <c r="G157" i="3"/>
  <c r="H157" i="3" s="1"/>
  <c r="G158" i="3"/>
  <c r="H158" i="3" s="1"/>
  <c r="G159" i="3"/>
  <c r="H159" i="3" s="1"/>
  <c r="G160" i="3"/>
  <c r="H160" i="3" s="1"/>
  <c r="G161" i="3"/>
  <c r="H161" i="3" s="1"/>
  <c r="G162" i="3"/>
  <c r="H162" i="3" s="1"/>
  <c r="G163" i="3"/>
  <c r="H163" i="3" s="1"/>
  <c r="G164" i="3"/>
  <c r="H164" i="3" s="1"/>
  <c r="G165" i="3"/>
  <c r="H165" i="3" s="1"/>
  <c r="G166" i="3"/>
  <c r="H166" i="3" s="1"/>
  <c r="G167" i="3"/>
  <c r="H167" i="3" s="1"/>
  <c r="G168" i="3"/>
  <c r="H168" i="3" s="1"/>
  <c r="G169" i="3"/>
  <c r="H169" i="3" s="1"/>
  <c r="G170" i="3"/>
  <c r="H170" i="3" s="1"/>
  <c r="G171" i="3"/>
  <c r="H171" i="3" s="1"/>
  <c r="G172" i="3"/>
  <c r="H172" i="3" s="1"/>
  <c r="G173" i="3"/>
  <c r="H173" i="3" s="1"/>
  <c r="G174" i="3"/>
  <c r="H174" i="3" s="1"/>
  <c r="G175" i="3"/>
  <c r="H175" i="3" s="1"/>
  <c r="G176" i="3"/>
  <c r="H176" i="3" s="1"/>
  <c r="G177" i="3"/>
  <c r="H177" i="3" s="1"/>
  <c r="G178" i="3"/>
  <c r="H178" i="3" s="1"/>
  <c r="G179" i="3"/>
  <c r="H179" i="3" s="1"/>
  <c r="G180" i="3"/>
  <c r="H180" i="3" s="1"/>
  <c r="G181" i="3"/>
  <c r="H181" i="3" s="1"/>
  <c r="G182" i="3"/>
  <c r="H182" i="3" s="1"/>
  <c r="G183" i="3"/>
  <c r="H183" i="3" s="1"/>
  <c r="G184" i="3"/>
  <c r="H184" i="3" s="1"/>
  <c r="G185" i="3"/>
  <c r="H185" i="3" s="1"/>
  <c r="G186" i="3"/>
  <c r="H186" i="3" s="1"/>
  <c r="G187" i="3"/>
  <c r="H187" i="3" s="1"/>
  <c r="G188" i="3"/>
  <c r="H188" i="3" s="1"/>
  <c r="G189" i="3"/>
  <c r="H189" i="3" s="1"/>
  <c r="G190" i="3"/>
  <c r="H190" i="3" s="1"/>
  <c r="G191" i="3"/>
  <c r="H191" i="3" s="1"/>
  <c r="G192" i="3"/>
  <c r="H192" i="3" s="1"/>
  <c r="G193" i="3"/>
  <c r="H193" i="3" s="1"/>
  <c r="G194" i="3"/>
  <c r="H194" i="3" s="1"/>
  <c r="G195" i="3"/>
  <c r="H195" i="3" s="1"/>
  <c r="G196" i="3"/>
  <c r="H196" i="3" s="1"/>
  <c r="G197" i="3"/>
  <c r="H197" i="3" s="1"/>
  <c r="G198" i="3"/>
  <c r="H198" i="3" s="1"/>
  <c r="G199" i="3"/>
  <c r="H199" i="3" s="1"/>
  <c r="G200" i="3"/>
  <c r="H200" i="3" s="1"/>
  <c r="G201" i="3"/>
  <c r="H201" i="3" s="1"/>
  <c r="G202" i="3"/>
  <c r="H202" i="3" s="1"/>
  <c r="G203" i="3"/>
  <c r="H203" i="3" s="1"/>
  <c r="G204" i="3"/>
  <c r="H204" i="3" s="1"/>
  <c r="G205" i="3"/>
  <c r="H205" i="3" s="1"/>
  <c r="G206" i="3"/>
  <c r="H206" i="3" s="1"/>
  <c r="G207" i="3"/>
  <c r="H207" i="3" s="1"/>
  <c r="G208" i="3"/>
  <c r="H208" i="3" s="1"/>
  <c r="G209" i="3"/>
  <c r="H209" i="3" s="1"/>
  <c r="G210" i="3"/>
  <c r="H210" i="3" s="1"/>
  <c r="G211" i="3"/>
  <c r="H211" i="3" s="1"/>
  <c r="G212" i="3"/>
  <c r="H212" i="3" s="1"/>
  <c r="G213" i="3"/>
  <c r="H213" i="3" s="1"/>
  <c r="G214" i="3"/>
  <c r="H214" i="3" s="1"/>
  <c r="G215" i="3"/>
  <c r="H215" i="3" s="1"/>
  <c r="G216" i="3"/>
  <c r="H216" i="3" s="1"/>
  <c r="G217" i="3"/>
  <c r="H217" i="3" s="1"/>
  <c r="G218" i="3"/>
  <c r="H218" i="3" s="1"/>
  <c r="G219" i="3"/>
  <c r="H219" i="3" s="1"/>
  <c r="G220" i="3"/>
  <c r="H220" i="3" s="1"/>
  <c r="G221" i="3"/>
  <c r="H221" i="3" s="1"/>
  <c r="G222" i="3"/>
  <c r="H222" i="3" s="1"/>
  <c r="G223" i="3"/>
  <c r="H223" i="3" s="1"/>
  <c r="G224" i="3"/>
  <c r="H224" i="3" s="1"/>
  <c r="G225" i="3"/>
  <c r="H225" i="3" s="1"/>
  <c r="G226" i="3"/>
  <c r="H226" i="3" s="1"/>
  <c r="G227" i="3"/>
  <c r="H227" i="3" s="1"/>
  <c r="G228" i="3"/>
  <c r="H228" i="3" s="1"/>
  <c r="G229" i="3"/>
  <c r="H229" i="3" s="1"/>
  <c r="G230" i="3"/>
  <c r="H230" i="3" s="1"/>
  <c r="G231" i="3"/>
  <c r="H231" i="3" s="1"/>
  <c r="G232" i="3"/>
  <c r="H232" i="3" s="1"/>
  <c r="G233" i="3"/>
  <c r="H233" i="3" s="1"/>
  <c r="G234" i="3"/>
  <c r="H234" i="3" s="1"/>
  <c r="G235" i="3"/>
  <c r="H235" i="3" s="1"/>
  <c r="G236" i="3"/>
  <c r="H236" i="3" s="1"/>
  <c r="G237" i="3"/>
  <c r="H237" i="3" s="1"/>
  <c r="G238" i="3"/>
  <c r="H238" i="3" s="1"/>
  <c r="G239" i="3"/>
  <c r="H239" i="3" s="1"/>
  <c r="G240" i="3"/>
  <c r="H240" i="3" s="1"/>
  <c r="G241" i="3"/>
  <c r="H241" i="3" s="1"/>
  <c r="G242" i="3"/>
  <c r="H242" i="3" s="1"/>
  <c r="G243" i="3"/>
  <c r="H243" i="3" s="1"/>
  <c r="G244" i="3"/>
  <c r="H244" i="3" s="1"/>
  <c r="G245" i="3"/>
  <c r="H245" i="3" s="1"/>
  <c r="G246" i="3"/>
  <c r="H246" i="3" s="1"/>
  <c r="G247" i="3"/>
  <c r="H247" i="3" s="1"/>
  <c r="G248" i="3"/>
  <c r="H248" i="3" s="1"/>
  <c r="G249" i="3"/>
  <c r="H249" i="3" s="1"/>
  <c r="G250" i="3"/>
  <c r="H250" i="3" s="1"/>
  <c r="G251" i="3"/>
  <c r="H251" i="3" s="1"/>
  <c r="G252" i="3"/>
  <c r="H252" i="3" s="1"/>
  <c r="G253" i="3"/>
  <c r="H253" i="3" s="1"/>
  <c r="G254" i="3"/>
  <c r="H254" i="3" s="1"/>
  <c r="G255" i="3"/>
  <c r="H255" i="3" s="1"/>
  <c r="G256" i="3"/>
  <c r="H256" i="3" s="1"/>
  <c r="G257" i="3"/>
  <c r="H257" i="3" s="1"/>
  <c r="G258" i="3"/>
  <c r="H258" i="3" s="1"/>
  <c r="G259" i="3"/>
  <c r="H259" i="3" s="1"/>
  <c r="G260" i="3"/>
  <c r="H260" i="3" s="1"/>
  <c r="G261" i="3"/>
  <c r="H261" i="3" s="1"/>
  <c r="G262" i="3"/>
  <c r="H262" i="3" s="1"/>
  <c r="G263" i="3"/>
  <c r="H263" i="3" s="1"/>
  <c r="G264" i="3"/>
  <c r="H264" i="3" s="1"/>
  <c r="G265" i="3"/>
  <c r="H265" i="3" s="1"/>
  <c r="G266" i="3"/>
  <c r="H266" i="3" s="1"/>
  <c r="G267" i="3"/>
  <c r="H267" i="3" s="1"/>
  <c r="G268" i="3"/>
  <c r="H268" i="3" s="1"/>
  <c r="G269" i="3"/>
  <c r="H269" i="3" s="1"/>
  <c r="G270" i="3"/>
  <c r="H270" i="3" s="1"/>
  <c r="G271" i="3"/>
  <c r="H271" i="3" s="1"/>
  <c r="G272" i="3"/>
  <c r="H272" i="3" s="1"/>
  <c r="G273" i="3"/>
  <c r="H273" i="3" s="1"/>
  <c r="G274" i="3"/>
  <c r="H274" i="3" s="1"/>
  <c r="G275" i="3"/>
  <c r="H275" i="3" s="1"/>
  <c r="G276" i="3"/>
  <c r="H276" i="3" s="1"/>
  <c r="G277" i="3"/>
  <c r="H277" i="3" s="1"/>
  <c r="G278" i="3"/>
  <c r="H278" i="3" s="1"/>
  <c r="G279" i="3"/>
  <c r="H279" i="3" s="1"/>
  <c r="G280" i="3"/>
  <c r="H280" i="3" s="1"/>
  <c r="G281" i="3"/>
  <c r="H281" i="3" s="1"/>
  <c r="G282" i="3"/>
  <c r="H282" i="3" s="1"/>
  <c r="G283" i="3"/>
  <c r="H283" i="3" s="1"/>
  <c r="G284" i="3"/>
  <c r="H284" i="3" s="1"/>
  <c r="G285" i="3"/>
  <c r="H285" i="3" s="1"/>
  <c r="G286" i="3"/>
  <c r="H286" i="3" s="1"/>
  <c r="G287" i="3"/>
  <c r="H287" i="3" s="1"/>
  <c r="G288" i="3"/>
  <c r="H288" i="3" s="1"/>
  <c r="G289" i="3"/>
  <c r="H289" i="3" s="1"/>
  <c r="G290" i="3"/>
  <c r="H290" i="3" s="1"/>
  <c r="G291" i="3"/>
  <c r="H291" i="3" s="1"/>
  <c r="G292" i="3"/>
  <c r="H292" i="3" s="1"/>
  <c r="G293" i="3"/>
  <c r="H293" i="3" s="1"/>
  <c r="G294" i="3"/>
  <c r="H294" i="3" s="1"/>
  <c r="G295" i="3"/>
  <c r="H295" i="3" s="1"/>
  <c r="G296" i="3"/>
  <c r="H296" i="3" s="1"/>
  <c r="G297" i="3"/>
  <c r="H297" i="3" s="1"/>
  <c r="G298" i="3"/>
  <c r="H298" i="3" s="1"/>
  <c r="G299" i="3"/>
  <c r="H299" i="3" s="1"/>
  <c r="G300" i="3"/>
  <c r="H300" i="3" s="1"/>
  <c r="G301" i="3"/>
  <c r="H301" i="3" s="1"/>
  <c r="G302" i="3"/>
  <c r="H302" i="3" s="1"/>
  <c r="G303" i="3"/>
  <c r="H303" i="3" s="1"/>
  <c r="G304" i="3"/>
  <c r="H304" i="3" s="1"/>
  <c r="G305" i="3"/>
  <c r="H305" i="3" s="1"/>
  <c r="G306" i="3"/>
  <c r="H306" i="3" s="1"/>
  <c r="G307" i="3"/>
  <c r="H307" i="3" s="1"/>
  <c r="G308" i="3"/>
  <c r="H308" i="3" s="1"/>
  <c r="G309" i="3"/>
  <c r="H309" i="3" s="1"/>
  <c r="G310" i="3"/>
  <c r="H310" i="3" s="1"/>
  <c r="G311" i="3"/>
  <c r="H311" i="3" s="1"/>
  <c r="G312" i="3"/>
  <c r="H312" i="3" s="1"/>
  <c r="G313" i="3"/>
  <c r="H313" i="3" s="1"/>
  <c r="G314" i="3"/>
  <c r="H314" i="3" s="1"/>
  <c r="G315" i="3"/>
  <c r="H315" i="3" s="1"/>
  <c r="G316" i="3"/>
  <c r="H316" i="3" s="1"/>
  <c r="G317" i="3"/>
  <c r="H317" i="3" s="1"/>
  <c r="G318" i="3"/>
  <c r="H318" i="3" s="1"/>
  <c r="G319" i="3"/>
  <c r="H319" i="3" s="1"/>
  <c r="G320" i="3"/>
  <c r="H320" i="3" s="1"/>
  <c r="G321" i="3"/>
  <c r="H321" i="3" s="1"/>
  <c r="G322" i="3"/>
  <c r="H322" i="3" s="1"/>
  <c r="G323" i="3"/>
  <c r="H323" i="3" s="1"/>
  <c r="G324" i="3"/>
  <c r="H324" i="3" s="1"/>
  <c r="G325" i="3"/>
  <c r="H325" i="3" s="1"/>
  <c r="G326" i="3"/>
  <c r="H326" i="3" s="1"/>
  <c r="G327" i="3"/>
  <c r="H327" i="3" s="1"/>
  <c r="G328" i="3"/>
  <c r="H328" i="3" s="1"/>
  <c r="G329" i="3"/>
  <c r="H329" i="3" s="1"/>
  <c r="G330" i="3"/>
  <c r="H330" i="3" s="1"/>
  <c r="G331" i="3"/>
  <c r="H331" i="3" s="1"/>
  <c r="G332" i="3"/>
  <c r="H332" i="3" s="1"/>
  <c r="G333" i="3"/>
  <c r="H333" i="3" s="1"/>
  <c r="G334" i="3"/>
  <c r="H334" i="3" s="1"/>
  <c r="G335" i="3"/>
  <c r="H335" i="3" s="1"/>
  <c r="G336" i="3"/>
  <c r="H336" i="3" s="1"/>
  <c r="G337" i="3"/>
  <c r="H337" i="3" s="1"/>
  <c r="G338" i="3"/>
  <c r="H338" i="3" s="1"/>
  <c r="G339" i="3"/>
  <c r="H339" i="3" s="1"/>
  <c r="G340" i="3"/>
  <c r="H340" i="3" s="1"/>
  <c r="G341" i="3"/>
  <c r="H341" i="3" s="1"/>
  <c r="G342" i="3"/>
  <c r="H342" i="3" s="1"/>
  <c r="G343" i="3"/>
  <c r="H343" i="3" s="1"/>
  <c r="G344" i="3"/>
  <c r="H344" i="3" s="1"/>
  <c r="G345" i="3"/>
  <c r="H345" i="3" s="1"/>
  <c r="G346" i="3"/>
  <c r="H346" i="3" s="1"/>
  <c r="G347" i="3"/>
  <c r="H347" i="3" s="1"/>
  <c r="G348" i="3"/>
  <c r="H348" i="3" s="1"/>
  <c r="G349" i="3"/>
  <c r="H349" i="3" s="1"/>
  <c r="G350" i="3"/>
  <c r="H350" i="3" s="1"/>
  <c r="G351" i="3"/>
  <c r="H351" i="3" s="1"/>
  <c r="G352" i="3"/>
  <c r="H352" i="3" s="1"/>
  <c r="G353" i="3"/>
  <c r="H353" i="3" s="1"/>
  <c r="G354" i="3"/>
  <c r="H354" i="3" s="1"/>
  <c r="G355" i="3"/>
  <c r="H355" i="3" s="1"/>
  <c r="G356" i="3"/>
  <c r="H356" i="3" s="1"/>
  <c r="G357" i="3"/>
  <c r="H357" i="3" s="1"/>
  <c r="G358" i="3"/>
  <c r="H358" i="3" s="1"/>
  <c r="G359" i="3"/>
  <c r="H359" i="3" s="1"/>
  <c r="G360" i="3"/>
  <c r="H360" i="3" s="1"/>
  <c r="G361" i="3"/>
  <c r="H361" i="3" s="1"/>
  <c r="G362" i="3"/>
  <c r="H362" i="3" s="1"/>
  <c r="G363" i="3"/>
  <c r="H363" i="3" s="1"/>
  <c r="G364" i="3"/>
  <c r="H364" i="3" s="1"/>
  <c r="G365" i="3"/>
  <c r="H365" i="3" s="1"/>
  <c r="G366" i="3"/>
  <c r="H366" i="3" s="1"/>
  <c r="G367" i="3"/>
  <c r="H367" i="3" s="1"/>
  <c r="G368" i="3"/>
  <c r="H368" i="3" s="1"/>
  <c r="G369" i="3"/>
  <c r="H369" i="3" s="1"/>
  <c r="G370" i="3"/>
  <c r="H370" i="3" s="1"/>
  <c r="G371" i="3"/>
  <c r="H371" i="3" s="1"/>
  <c r="G372" i="3"/>
  <c r="H372" i="3" s="1"/>
  <c r="G373" i="3"/>
  <c r="H373" i="3" s="1"/>
  <c r="G374" i="3"/>
  <c r="H374" i="3" s="1"/>
  <c r="G375" i="3"/>
  <c r="H375" i="3" s="1"/>
  <c r="G376" i="3"/>
  <c r="H376" i="3" s="1"/>
  <c r="G377" i="3"/>
  <c r="H377" i="3" s="1"/>
  <c r="G378" i="3"/>
  <c r="H378" i="3" s="1"/>
  <c r="G379" i="3"/>
  <c r="H379" i="3" s="1"/>
  <c r="G380" i="3"/>
  <c r="H380" i="3" s="1"/>
  <c r="G381" i="3"/>
  <c r="H381" i="3" s="1"/>
  <c r="G382" i="3"/>
  <c r="H382" i="3" s="1"/>
  <c r="G383" i="3"/>
  <c r="H383" i="3" s="1"/>
  <c r="G384" i="3"/>
  <c r="H384" i="3" s="1"/>
  <c r="G385" i="3"/>
  <c r="H385" i="3" s="1"/>
  <c r="G386" i="3"/>
  <c r="H386" i="3" s="1"/>
  <c r="G387" i="3"/>
  <c r="H387" i="3" s="1"/>
  <c r="G388" i="3"/>
  <c r="H388" i="3" s="1"/>
  <c r="G389" i="3"/>
  <c r="H389" i="3" s="1"/>
  <c r="G390" i="3"/>
  <c r="H390" i="3" s="1"/>
  <c r="G391" i="3"/>
  <c r="H391" i="3" s="1"/>
  <c r="G392" i="3"/>
  <c r="H392" i="3" s="1"/>
  <c r="G393" i="3"/>
  <c r="H393" i="3" s="1"/>
  <c r="G394" i="3"/>
  <c r="H394" i="3" s="1"/>
  <c r="G395" i="3"/>
  <c r="H395" i="3" s="1"/>
  <c r="G396" i="3"/>
  <c r="H396" i="3" s="1"/>
  <c r="G397" i="3"/>
  <c r="H397" i="3" s="1"/>
  <c r="G398" i="3"/>
  <c r="H398" i="3" s="1"/>
  <c r="G399" i="3"/>
  <c r="H399" i="3" s="1"/>
  <c r="G400" i="3"/>
  <c r="H400" i="3" s="1"/>
  <c r="G401" i="3"/>
  <c r="H401" i="3" s="1"/>
  <c r="G402" i="3"/>
  <c r="H402" i="3" s="1"/>
  <c r="G403" i="3"/>
  <c r="H403" i="3" s="1"/>
  <c r="G404" i="3"/>
  <c r="H404" i="3" s="1"/>
  <c r="G405" i="3"/>
  <c r="H405" i="3" s="1"/>
  <c r="G406" i="3"/>
  <c r="H406" i="3" s="1"/>
  <c r="G407" i="3"/>
  <c r="H407" i="3" s="1"/>
  <c r="G408" i="3"/>
  <c r="H408" i="3" s="1"/>
  <c r="G409" i="3"/>
  <c r="H409" i="3" s="1"/>
  <c r="G410" i="3"/>
  <c r="H410" i="3" s="1"/>
  <c r="G411" i="3"/>
  <c r="H411" i="3" s="1"/>
  <c r="G412" i="3"/>
  <c r="H412" i="3" s="1"/>
  <c r="G413" i="3"/>
  <c r="H413" i="3" s="1"/>
  <c r="G414" i="3"/>
  <c r="H414" i="3" s="1"/>
  <c r="G415" i="3"/>
  <c r="H415" i="3" s="1"/>
  <c r="G416" i="3"/>
  <c r="H416" i="3" s="1"/>
  <c r="G417" i="3"/>
  <c r="H417" i="3" s="1"/>
  <c r="G418" i="3"/>
  <c r="H418" i="3" s="1"/>
  <c r="G419" i="3"/>
  <c r="H419" i="3" s="1"/>
  <c r="G420" i="3"/>
  <c r="H420" i="3" s="1"/>
  <c r="G421" i="3"/>
  <c r="H421" i="3" s="1"/>
  <c r="G422" i="3"/>
  <c r="H422" i="3" s="1"/>
  <c r="G423" i="3"/>
  <c r="H423" i="3" s="1"/>
  <c r="G424" i="3"/>
  <c r="H424" i="3" s="1"/>
  <c r="G425" i="3"/>
  <c r="H425" i="3" s="1"/>
  <c r="G426" i="3"/>
  <c r="H426" i="3" s="1"/>
  <c r="G427" i="3"/>
  <c r="H427" i="3" s="1"/>
  <c r="G428" i="3"/>
  <c r="H428" i="3" s="1"/>
  <c r="G429" i="3"/>
  <c r="H429" i="3" s="1"/>
  <c r="G430" i="3"/>
  <c r="H430" i="3" s="1"/>
  <c r="G431" i="3"/>
  <c r="H431" i="3" s="1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C2" i="3"/>
  <c r="K2" i="2" s="1"/>
  <c r="C3" i="3"/>
  <c r="K3" i="2" s="1"/>
  <c r="C4" i="3"/>
  <c r="K4" i="2" s="1"/>
  <c r="C5" i="3"/>
  <c r="K5" i="2" s="1"/>
  <c r="C6" i="3"/>
  <c r="K6" i="2" s="1"/>
  <c r="C7" i="3"/>
  <c r="K7" i="2" s="1"/>
  <c r="C8" i="3"/>
  <c r="K8" i="2" s="1"/>
  <c r="C9" i="3"/>
  <c r="K9" i="2" s="1"/>
  <c r="C10" i="3"/>
  <c r="K10" i="2" s="1"/>
  <c r="C11" i="3"/>
  <c r="K11" i="2" s="1"/>
  <c r="C12" i="3"/>
  <c r="K12" i="2" s="1"/>
  <c r="C13" i="3"/>
  <c r="K13" i="2" s="1"/>
  <c r="C14" i="3"/>
  <c r="K14" i="2" s="1"/>
  <c r="C15" i="3"/>
  <c r="K15" i="2" s="1"/>
  <c r="C16" i="3"/>
  <c r="K16" i="2" s="1"/>
  <c r="C17" i="3"/>
  <c r="K17" i="2" s="1"/>
  <c r="C18" i="3"/>
  <c r="K18" i="2" s="1"/>
  <c r="C19" i="3"/>
  <c r="K19" i="2" s="1"/>
  <c r="C20" i="3"/>
  <c r="K20" i="2" s="1"/>
  <c r="C21" i="3"/>
  <c r="K21" i="2" s="1"/>
  <c r="C22" i="3"/>
  <c r="K22" i="2" s="1"/>
  <c r="C23" i="3"/>
  <c r="K23" i="2" s="1"/>
  <c r="C24" i="3"/>
  <c r="K24" i="2" s="1"/>
  <c r="C25" i="3"/>
  <c r="K25" i="2" s="1"/>
  <c r="C26" i="3"/>
  <c r="K26" i="2" s="1"/>
  <c r="C27" i="3"/>
  <c r="K27" i="2" s="1"/>
  <c r="C28" i="3"/>
  <c r="K28" i="2" s="1"/>
  <c r="C29" i="3"/>
  <c r="K29" i="2" s="1"/>
  <c r="C30" i="3"/>
  <c r="K30" i="2" s="1"/>
  <c r="C31" i="3"/>
  <c r="K31" i="2" s="1"/>
  <c r="C32" i="3"/>
  <c r="K32" i="2" s="1"/>
  <c r="C33" i="3"/>
  <c r="K33" i="2" s="1"/>
  <c r="C34" i="3"/>
  <c r="K34" i="2" s="1"/>
  <c r="C35" i="3"/>
  <c r="K35" i="2" s="1"/>
  <c r="C36" i="3"/>
  <c r="K36" i="2" s="1"/>
  <c r="C37" i="3"/>
  <c r="K37" i="2" s="1"/>
  <c r="C38" i="3"/>
  <c r="K38" i="2" s="1"/>
  <c r="C39" i="3"/>
  <c r="K39" i="2" s="1"/>
  <c r="C40" i="3"/>
  <c r="K40" i="2" s="1"/>
  <c r="C41" i="3"/>
  <c r="K41" i="2" s="1"/>
  <c r="C42" i="3"/>
  <c r="K42" i="2" s="1"/>
  <c r="C43" i="3"/>
  <c r="K43" i="2" s="1"/>
  <c r="C44" i="3"/>
  <c r="K44" i="2" s="1"/>
  <c r="C45" i="3"/>
  <c r="K45" i="2" s="1"/>
  <c r="C46" i="3"/>
  <c r="K46" i="2" s="1"/>
  <c r="C47" i="3"/>
  <c r="K47" i="2" s="1"/>
  <c r="C48" i="3"/>
  <c r="K48" i="2" s="1"/>
  <c r="C49" i="3"/>
  <c r="K49" i="2" s="1"/>
  <c r="C50" i="3"/>
  <c r="K50" i="2" s="1"/>
  <c r="C51" i="3"/>
  <c r="K51" i="2" s="1"/>
  <c r="C52" i="3"/>
  <c r="K52" i="2" s="1"/>
  <c r="C53" i="3"/>
  <c r="K53" i="2" s="1"/>
  <c r="C54" i="3"/>
  <c r="K54" i="2" s="1"/>
  <c r="C55" i="3"/>
  <c r="K55" i="2" s="1"/>
  <c r="C56" i="3"/>
  <c r="K56" i="2" s="1"/>
  <c r="C57" i="3"/>
  <c r="K57" i="2" s="1"/>
  <c r="C58" i="3"/>
  <c r="K58" i="2" s="1"/>
  <c r="C59" i="3"/>
  <c r="K59" i="2" s="1"/>
  <c r="C60" i="3"/>
  <c r="K60" i="2" s="1"/>
  <c r="C61" i="3"/>
  <c r="K61" i="2" s="1"/>
  <c r="C62" i="3"/>
  <c r="K62" i="2" s="1"/>
  <c r="C63" i="3"/>
  <c r="K63" i="2" s="1"/>
  <c r="C64" i="3"/>
  <c r="K64" i="2" s="1"/>
  <c r="C65" i="3"/>
  <c r="K65" i="2" s="1"/>
  <c r="C66" i="3"/>
  <c r="K66" i="2" s="1"/>
  <c r="C67" i="3"/>
  <c r="K67" i="2" s="1"/>
  <c r="C68" i="3"/>
  <c r="K68" i="2" s="1"/>
  <c r="C69" i="3"/>
  <c r="K69" i="2" s="1"/>
  <c r="C70" i="3"/>
  <c r="K70" i="2" s="1"/>
  <c r="C71" i="3"/>
  <c r="K71" i="2" s="1"/>
  <c r="C72" i="3"/>
  <c r="K72" i="2" s="1"/>
  <c r="C73" i="3"/>
  <c r="K73" i="2" s="1"/>
  <c r="C74" i="3"/>
  <c r="K74" i="2" s="1"/>
  <c r="C75" i="3"/>
  <c r="K75" i="2" s="1"/>
  <c r="C76" i="3"/>
  <c r="K76" i="2" s="1"/>
  <c r="C77" i="3"/>
  <c r="K77" i="2" s="1"/>
  <c r="C78" i="3"/>
  <c r="K78" i="2" s="1"/>
  <c r="C79" i="3"/>
  <c r="K79" i="2" s="1"/>
  <c r="C80" i="3"/>
  <c r="K80" i="2" s="1"/>
  <c r="C81" i="3"/>
  <c r="K81" i="2" s="1"/>
  <c r="C82" i="3"/>
  <c r="K82" i="2" s="1"/>
  <c r="C83" i="3"/>
  <c r="K83" i="2" s="1"/>
  <c r="C84" i="3"/>
  <c r="K84" i="2" s="1"/>
  <c r="C85" i="3"/>
  <c r="K85" i="2" s="1"/>
  <c r="C86" i="3"/>
  <c r="K86" i="2" s="1"/>
  <c r="C87" i="3"/>
  <c r="K87" i="2" s="1"/>
  <c r="C88" i="3"/>
  <c r="K88" i="2" s="1"/>
  <c r="C89" i="3"/>
  <c r="K89" i="2" s="1"/>
  <c r="C90" i="3"/>
  <c r="K90" i="2" s="1"/>
  <c r="C91" i="3"/>
  <c r="K91" i="2" s="1"/>
  <c r="C92" i="3"/>
  <c r="K92" i="2" s="1"/>
  <c r="C93" i="3"/>
  <c r="K93" i="2" s="1"/>
  <c r="C94" i="3"/>
  <c r="K94" i="2" s="1"/>
  <c r="C95" i="3"/>
  <c r="K95" i="2" s="1"/>
  <c r="C96" i="3"/>
  <c r="K96" i="2" s="1"/>
  <c r="C97" i="3"/>
  <c r="K97" i="2" s="1"/>
  <c r="C98" i="3"/>
  <c r="K98" i="2" s="1"/>
  <c r="C99" i="3"/>
  <c r="K99" i="2" s="1"/>
  <c r="C100" i="3"/>
  <c r="K100" i="2" s="1"/>
  <c r="C101" i="3"/>
  <c r="K101" i="2" s="1"/>
  <c r="C102" i="3"/>
  <c r="K102" i="2" s="1"/>
  <c r="C103" i="3"/>
  <c r="K103" i="2" s="1"/>
  <c r="C104" i="3"/>
  <c r="K104" i="2" s="1"/>
  <c r="C105" i="3"/>
  <c r="K105" i="2" s="1"/>
  <c r="C106" i="3"/>
  <c r="K106" i="2" s="1"/>
  <c r="C107" i="3"/>
  <c r="K107" i="2" s="1"/>
  <c r="C108" i="3"/>
  <c r="K108" i="2" s="1"/>
  <c r="C109" i="3"/>
  <c r="K109" i="2" s="1"/>
  <c r="C110" i="3"/>
  <c r="K110" i="2" s="1"/>
  <c r="C111" i="3"/>
  <c r="K111" i="2" s="1"/>
  <c r="C112" i="3"/>
  <c r="K112" i="2" s="1"/>
  <c r="C113" i="3"/>
  <c r="K113" i="2" s="1"/>
  <c r="C114" i="3"/>
  <c r="K114" i="2" s="1"/>
  <c r="C115" i="3"/>
  <c r="K115" i="2" s="1"/>
  <c r="C116" i="3"/>
  <c r="K116" i="2" s="1"/>
  <c r="C117" i="3"/>
  <c r="K117" i="2" s="1"/>
  <c r="C118" i="3"/>
  <c r="K118" i="2" s="1"/>
  <c r="C119" i="3"/>
  <c r="K119" i="2" s="1"/>
  <c r="C120" i="3"/>
  <c r="K120" i="2" s="1"/>
  <c r="C121" i="3"/>
  <c r="K121" i="2" s="1"/>
  <c r="C122" i="3"/>
  <c r="K122" i="2" s="1"/>
  <c r="C123" i="3"/>
  <c r="K123" i="2" s="1"/>
  <c r="C124" i="3"/>
  <c r="K124" i="2" s="1"/>
  <c r="C125" i="3"/>
  <c r="K125" i="2" s="1"/>
  <c r="C126" i="3"/>
  <c r="K126" i="2" s="1"/>
  <c r="C127" i="3"/>
  <c r="K127" i="2" s="1"/>
  <c r="C128" i="3"/>
  <c r="K128" i="2" s="1"/>
  <c r="C129" i="3"/>
  <c r="K129" i="2" s="1"/>
  <c r="C130" i="3"/>
  <c r="K130" i="2" s="1"/>
  <c r="C131" i="3"/>
  <c r="K131" i="2" s="1"/>
  <c r="C132" i="3"/>
  <c r="K132" i="2" s="1"/>
  <c r="C133" i="3"/>
  <c r="K133" i="2" s="1"/>
  <c r="C134" i="3"/>
  <c r="K134" i="2" s="1"/>
  <c r="C135" i="3"/>
  <c r="K135" i="2" s="1"/>
  <c r="C136" i="3"/>
  <c r="K136" i="2" s="1"/>
  <c r="C137" i="3"/>
  <c r="K137" i="2" s="1"/>
  <c r="C138" i="3"/>
  <c r="K138" i="2" s="1"/>
  <c r="C139" i="3"/>
  <c r="K139" i="2" s="1"/>
  <c r="C140" i="3"/>
  <c r="K140" i="2" s="1"/>
  <c r="C141" i="3"/>
  <c r="K141" i="2" s="1"/>
  <c r="C142" i="3"/>
  <c r="K142" i="2" s="1"/>
  <c r="C143" i="3"/>
  <c r="K143" i="2" s="1"/>
  <c r="C144" i="3"/>
  <c r="K144" i="2" s="1"/>
  <c r="C145" i="3"/>
  <c r="K145" i="2" s="1"/>
  <c r="C146" i="3"/>
  <c r="K146" i="2" s="1"/>
  <c r="C147" i="3"/>
  <c r="K147" i="2" s="1"/>
  <c r="C148" i="3"/>
  <c r="K148" i="2" s="1"/>
  <c r="C149" i="3"/>
  <c r="K149" i="2" s="1"/>
  <c r="C150" i="3"/>
  <c r="K150" i="2" s="1"/>
  <c r="C151" i="3"/>
  <c r="K151" i="2" s="1"/>
  <c r="C152" i="3"/>
  <c r="K152" i="2" s="1"/>
  <c r="C153" i="3"/>
  <c r="K153" i="2" s="1"/>
  <c r="C154" i="3"/>
  <c r="K154" i="2" s="1"/>
  <c r="C155" i="3"/>
  <c r="K155" i="2" s="1"/>
  <c r="C156" i="3"/>
  <c r="K156" i="2" s="1"/>
  <c r="C157" i="3"/>
  <c r="K157" i="2" s="1"/>
  <c r="C158" i="3"/>
  <c r="K158" i="2" s="1"/>
  <c r="C159" i="3"/>
  <c r="K159" i="2" s="1"/>
  <c r="C160" i="3"/>
  <c r="K160" i="2" s="1"/>
  <c r="C161" i="3"/>
  <c r="K161" i="2" s="1"/>
  <c r="C162" i="3"/>
  <c r="K162" i="2" s="1"/>
  <c r="C163" i="3"/>
  <c r="K163" i="2" s="1"/>
  <c r="C164" i="3"/>
  <c r="K164" i="2" s="1"/>
  <c r="C165" i="3"/>
  <c r="K165" i="2" s="1"/>
  <c r="C166" i="3"/>
  <c r="K166" i="2" s="1"/>
  <c r="C167" i="3"/>
  <c r="K167" i="2" s="1"/>
  <c r="C168" i="3"/>
  <c r="K168" i="2" s="1"/>
  <c r="C169" i="3"/>
  <c r="K169" i="2" s="1"/>
  <c r="C170" i="3"/>
  <c r="K170" i="2" s="1"/>
  <c r="C171" i="3"/>
  <c r="K171" i="2" s="1"/>
  <c r="C172" i="3"/>
  <c r="K172" i="2" s="1"/>
  <c r="C173" i="3"/>
  <c r="K173" i="2" s="1"/>
  <c r="C174" i="3"/>
  <c r="K174" i="2" s="1"/>
  <c r="C175" i="3"/>
  <c r="K175" i="2" s="1"/>
  <c r="C176" i="3"/>
  <c r="K176" i="2" s="1"/>
  <c r="C177" i="3"/>
  <c r="K177" i="2" s="1"/>
  <c r="C178" i="3"/>
  <c r="K178" i="2" s="1"/>
  <c r="C179" i="3"/>
  <c r="K179" i="2" s="1"/>
  <c r="C180" i="3"/>
  <c r="K180" i="2" s="1"/>
  <c r="C181" i="3"/>
  <c r="K181" i="2" s="1"/>
  <c r="C182" i="3"/>
  <c r="K182" i="2" s="1"/>
  <c r="C183" i="3"/>
  <c r="K183" i="2" s="1"/>
  <c r="C184" i="3"/>
  <c r="K184" i="2" s="1"/>
  <c r="C185" i="3"/>
  <c r="K185" i="2" s="1"/>
  <c r="C186" i="3"/>
  <c r="K186" i="2" s="1"/>
  <c r="C187" i="3"/>
  <c r="K187" i="2" s="1"/>
  <c r="C188" i="3"/>
  <c r="K188" i="2" s="1"/>
  <c r="C189" i="3"/>
  <c r="K189" i="2" s="1"/>
  <c r="C190" i="3"/>
  <c r="K190" i="2" s="1"/>
  <c r="C191" i="3"/>
  <c r="K191" i="2" s="1"/>
  <c r="C192" i="3"/>
  <c r="K192" i="2" s="1"/>
  <c r="C193" i="3"/>
  <c r="K193" i="2" s="1"/>
  <c r="C194" i="3"/>
  <c r="K194" i="2" s="1"/>
  <c r="C195" i="3"/>
  <c r="K195" i="2" s="1"/>
  <c r="C196" i="3"/>
  <c r="K196" i="2" s="1"/>
  <c r="C197" i="3"/>
  <c r="K197" i="2" s="1"/>
  <c r="C198" i="3"/>
  <c r="K198" i="2" s="1"/>
  <c r="C199" i="3"/>
  <c r="K199" i="2" s="1"/>
  <c r="C200" i="3"/>
  <c r="K200" i="2" s="1"/>
  <c r="C201" i="3"/>
  <c r="K201" i="2" s="1"/>
  <c r="C202" i="3"/>
  <c r="K202" i="2" s="1"/>
  <c r="C203" i="3"/>
  <c r="K203" i="2" s="1"/>
  <c r="C204" i="3"/>
  <c r="K204" i="2" s="1"/>
  <c r="C205" i="3"/>
  <c r="K205" i="2" s="1"/>
  <c r="C206" i="3"/>
  <c r="K206" i="2" s="1"/>
  <c r="C207" i="3"/>
  <c r="K207" i="2" s="1"/>
  <c r="C208" i="3"/>
  <c r="K208" i="2" s="1"/>
  <c r="C209" i="3"/>
  <c r="K209" i="2" s="1"/>
  <c r="C210" i="3"/>
  <c r="K210" i="2" s="1"/>
  <c r="C211" i="3"/>
  <c r="K211" i="2" s="1"/>
  <c r="C212" i="3"/>
  <c r="K212" i="2" s="1"/>
  <c r="C213" i="3"/>
  <c r="K213" i="2" s="1"/>
  <c r="C214" i="3"/>
  <c r="K214" i="2" s="1"/>
  <c r="C215" i="3"/>
  <c r="K215" i="2" s="1"/>
  <c r="C216" i="3"/>
  <c r="K216" i="2" s="1"/>
  <c r="C217" i="3"/>
  <c r="K217" i="2" s="1"/>
  <c r="C218" i="3"/>
  <c r="K218" i="2" s="1"/>
  <c r="C219" i="3"/>
  <c r="K219" i="2" s="1"/>
  <c r="C220" i="3"/>
  <c r="K220" i="2" s="1"/>
  <c r="C221" i="3"/>
  <c r="K221" i="2" s="1"/>
  <c r="C222" i="3"/>
  <c r="K222" i="2" s="1"/>
  <c r="C223" i="3"/>
  <c r="K223" i="2" s="1"/>
  <c r="C224" i="3"/>
  <c r="K224" i="2" s="1"/>
  <c r="C225" i="3"/>
  <c r="K225" i="2" s="1"/>
  <c r="C226" i="3"/>
  <c r="K226" i="2" s="1"/>
  <c r="C227" i="3"/>
  <c r="K227" i="2" s="1"/>
  <c r="C228" i="3"/>
  <c r="K228" i="2" s="1"/>
  <c r="C229" i="3"/>
  <c r="K229" i="2" s="1"/>
  <c r="C230" i="3"/>
  <c r="K230" i="2" s="1"/>
  <c r="C231" i="3"/>
  <c r="K231" i="2" s="1"/>
  <c r="C232" i="3"/>
  <c r="K232" i="2" s="1"/>
  <c r="C233" i="3"/>
  <c r="K233" i="2" s="1"/>
  <c r="C234" i="3"/>
  <c r="K234" i="2" s="1"/>
  <c r="C235" i="3"/>
  <c r="K235" i="2" s="1"/>
  <c r="C236" i="3"/>
  <c r="K236" i="2" s="1"/>
  <c r="C237" i="3"/>
  <c r="K237" i="2" s="1"/>
  <c r="C238" i="3"/>
  <c r="K238" i="2" s="1"/>
  <c r="C239" i="3"/>
  <c r="K239" i="2" s="1"/>
  <c r="C240" i="3"/>
  <c r="K240" i="2" s="1"/>
  <c r="C241" i="3"/>
  <c r="K241" i="2" s="1"/>
  <c r="C242" i="3"/>
  <c r="K242" i="2" s="1"/>
  <c r="C243" i="3"/>
  <c r="K243" i="2" s="1"/>
  <c r="C244" i="3"/>
  <c r="K244" i="2" s="1"/>
  <c r="C245" i="3"/>
  <c r="K245" i="2" s="1"/>
  <c r="C246" i="3"/>
  <c r="K246" i="2" s="1"/>
  <c r="C247" i="3"/>
  <c r="K247" i="2" s="1"/>
  <c r="C248" i="3"/>
  <c r="K248" i="2" s="1"/>
  <c r="C249" i="3"/>
  <c r="K249" i="2" s="1"/>
  <c r="C250" i="3"/>
  <c r="K250" i="2" s="1"/>
  <c r="C251" i="3"/>
  <c r="K251" i="2" s="1"/>
  <c r="C252" i="3"/>
  <c r="K252" i="2" s="1"/>
  <c r="C253" i="3"/>
  <c r="K253" i="2" s="1"/>
  <c r="C254" i="3"/>
  <c r="K254" i="2" s="1"/>
  <c r="C255" i="3"/>
  <c r="K255" i="2" s="1"/>
  <c r="C256" i="3"/>
  <c r="K256" i="2" s="1"/>
  <c r="C257" i="3"/>
  <c r="K257" i="2" s="1"/>
  <c r="C258" i="3"/>
  <c r="K258" i="2" s="1"/>
  <c r="C259" i="3"/>
  <c r="K259" i="2" s="1"/>
  <c r="C260" i="3"/>
  <c r="K260" i="2" s="1"/>
  <c r="C261" i="3"/>
  <c r="K261" i="2" s="1"/>
  <c r="C262" i="3"/>
  <c r="K262" i="2" s="1"/>
  <c r="C263" i="3"/>
  <c r="K263" i="2" s="1"/>
  <c r="C264" i="3"/>
  <c r="K264" i="2" s="1"/>
  <c r="C265" i="3"/>
  <c r="K265" i="2" s="1"/>
  <c r="C266" i="3"/>
  <c r="K266" i="2" s="1"/>
  <c r="C267" i="3"/>
  <c r="K267" i="2" s="1"/>
  <c r="C268" i="3"/>
  <c r="K268" i="2" s="1"/>
  <c r="C269" i="3"/>
  <c r="K269" i="2" s="1"/>
  <c r="C270" i="3"/>
  <c r="K270" i="2" s="1"/>
  <c r="C271" i="3"/>
  <c r="K271" i="2" s="1"/>
  <c r="C272" i="3"/>
  <c r="K272" i="2" s="1"/>
  <c r="C273" i="3"/>
  <c r="K273" i="2" s="1"/>
  <c r="C274" i="3"/>
  <c r="K274" i="2" s="1"/>
  <c r="C275" i="3"/>
  <c r="K275" i="2" s="1"/>
  <c r="C276" i="3"/>
  <c r="K276" i="2" s="1"/>
  <c r="C277" i="3"/>
  <c r="K277" i="2" s="1"/>
  <c r="C278" i="3"/>
  <c r="K278" i="2" s="1"/>
  <c r="C279" i="3"/>
  <c r="K279" i="2" s="1"/>
  <c r="C280" i="3"/>
  <c r="K280" i="2" s="1"/>
  <c r="C281" i="3"/>
  <c r="K281" i="2" s="1"/>
  <c r="C282" i="3"/>
  <c r="K282" i="2" s="1"/>
  <c r="C283" i="3"/>
  <c r="K283" i="2" s="1"/>
  <c r="C284" i="3"/>
  <c r="K284" i="2" s="1"/>
  <c r="C285" i="3"/>
  <c r="K285" i="2" s="1"/>
  <c r="C286" i="3"/>
  <c r="K286" i="2" s="1"/>
  <c r="C287" i="3"/>
  <c r="K287" i="2" s="1"/>
  <c r="C288" i="3"/>
  <c r="K288" i="2" s="1"/>
  <c r="C289" i="3"/>
  <c r="K289" i="2" s="1"/>
  <c r="C290" i="3"/>
  <c r="K290" i="2" s="1"/>
  <c r="C291" i="3"/>
  <c r="K291" i="2" s="1"/>
  <c r="C292" i="3"/>
  <c r="K292" i="2" s="1"/>
  <c r="C293" i="3"/>
  <c r="K293" i="2" s="1"/>
  <c r="C294" i="3"/>
  <c r="K294" i="2" s="1"/>
  <c r="C295" i="3"/>
  <c r="K295" i="2" s="1"/>
  <c r="C296" i="3"/>
  <c r="K296" i="2" s="1"/>
  <c r="C297" i="3"/>
  <c r="K297" i="2" s="1"/>
  <c r="C298" i="3"/>
  <c r="K298" i="2" s="1"/>
  <c r="C299" i="3"/>
  <c r="K299" i="2" s="1"/>
  <c r="C300" i="3"/>
  <c r="K300" i="2" s="1"/>
  <c r="C301" i="3"/>
  <c r="K301" i="2" s="1"/>
  <c r="C302" i="3"/>
  <c r="K302" i="2" s="1"/>
  <c r="C303" i="3"/>
  <c r="K303" i="2" s="1"/>
  <c r="C304" i="3"/>
  <c r="K304" i="2" s="1"/>
  <c r="C305" i="3"/>
  <c r="K305" i="2" s="1"/>
  <c r="C306" i="3"/>
  <c r="K306" i="2" s="1"/>
  <c r="C307" i="3"/>
  <c r="K307" i="2" s="1"/>
  <c r="C308" i="3"/>
  <c r="K308" i="2" s="1"/>
  <c r="C309" i="3"/>
  <c r="K309" i="2" s="1"/>
  <c r="C310" i="3"/>
  <c r="K310" i="2" s="1"/>
  <c r="C311" i="3"/>
  <c r="K311" i="2" s="1"/>
  <c r="C312" i="3"/>
  <c r="K312" i="2" s="1"/>
  <c r="C313" i="3"/>
  <c r="K313" i="2" s="1"/>
  <c r="C314" i="3"/>
  <c r="K314" i="2" s="1"/>
  <c r="C315" i="3"/>
  <c r="K315" i="2" s="1"/>
  <c r="C316" i="3"/>
  <c r="K316" i="2" s="1"/>
  <c r="C317" i="3"/>
  <c r="K317" i="2" s="1"/>
  <c r="C318" i="3"/>
  <c r="K318" i="2" s="1"/>
  <c r="C319" i="3"/>
  <c r="K319" i="2" s="1"/>
  <c r="C320" i="3"/>
  <c r="K320" i="2" s="1"/>
  <c r="C321" i="3"/>
  <c r="K321" i="2" s="1"/>
  <c r="C322" i="3"/>
  <c r="K322" i="2" s="1"/>
  <c r="C323" i="3"/>
  <c r="K323" i="2" s="1"/>
  <c r="C324" i="3"/>
  <c r="K324" i="2" s="1"/>
  <c r="C325" i="3"/>
  <c r="K325" i="2" s="1"/>
  <c r="C326" i="3"/>
  <c r="K326" i="2" s="1"/>
  <c r="C327" i="3"/>
  <c r="K327" i="2" s="1"/>
  <c r="C328" i="3"/>
  <c r="K328" i="2" s="1"/>
  <c r="C329" i="3"/>
  <c r="K329" i="2" s="1"/>
  <c r="C330" i="3"/>
  <c r="K330" i="2" s="1"/>
  <c r="C331" i="3"/>
  <c r="K331" i="2" s="1"/>
  <c r="C332" i="3"/>
  <c r="K332" i="2" s="1"/>
  <c r="C333" i="3"/>
  <c r="K333" i="2" s="1"/>
  <c r="C334" i="3"/>
  <c r="K334" i="2" s="1"/>
  <c r="C335" i="3"/>
  <c r="K335" i="2" s="1"/>
  <c r="C336" i="3"/>
  <c r="K336" i="2" s="1"/>
  <c r="C337" i="3"/>
  <c r="K337" i="2" s="1"/>
  <c r="C338" i="3"/>
  <c r="K338" i="2" s="1"/>
  <c r="C339" i="3"/>
  <c r="K339" i="2" s="1"/>
  <c r="C340" i="3"/>
  <c r="K340" i="2" s="1"/>
  <c r="C341" i="3"/>
  <c r="K341" i="2" s="1"/>
  <c r="C342" i="3"/>
  <c r="K342" i="2" s="1"/>
  <c r="C343" i="3"/>
  <c r="K343" i="2" s="1"/>
  <c r="C344" i="3"/>
  <c r="K344" i="2" s="1"/>
  <c r="C345" i="3"/>
  <c r="K345" i="2" s="1"/>
  <c r="C346" i="3"/>
  <c r="K346" i="2" s="1"/>
  <c r="C347" i="3"/>
  <c r="K347" i="2" s="1"/>
  <c r="C348" i="3"/>
  <c r="K348" i="2" s="1"/>
  <c r="C349" i="3"/>
  <c r="K349" i="2" s="1"/>
  <c r="C350" i="3"/>
  <c r="K350" i="2" s="1"/>
  <c r="C351" i="3"/>
  <c r="K351" i="2" s="1"/>
  <c r="C352" i="3"/>
  <c r="K352" i="2" s="1"/>
  <c r="C353" i="3"/>
  <c r="K353" i="2" s="1"/>
  <c r="C354" i="3"/>
  <c r="K354" i="2" s="1"/>
  <c r="C355" i="3"/>
  <c r="K355" i="2" s="1"/>
  <c r="C356" i="3"/>
  <c r="K356" i="2" s="1"/>
  <c r="C357" i="3"/>
  <c r="K357" i="2" s="1"/>
  <c r="C358" i="3"/>
  <c r="K358" i="2" s="1"/>
  <c r="C359" i="3"/>
  <c r="K359" i="2" s="1"/>
  <c r="C360" i="3"/>
  <c r="K360" i="2" s="1"/>
  <c r="C361" i="3"/>
  <c r="K361" i="2" s="1"/>
  <c r="C362" i="3"/>
  <c r="K362" i="2" s="1"/>
  <c r="C363" i="3"/>
  <c r="K363" i="2" s="1"/>
  <c r="C364" i="3"/>
  <c r="K364" i="2" s="1"/>
  <c r="C365" i="3"/>
  <c r="K365" i="2" s="1"/>
  <c r="C366" i="3"/>
  <c r="K366" i="2" s="1"/>
  <c r="C367" i="3"/>
  <c r="K367" i="2" s="1"/>
  <c r="C368" i="3"/>
  <c r="K368" i="2" s="1"/>
  <c r="C369" i="3"/>
  <c r="K369" i="2" s="1"/>
  <c r="C370" i="3"/>
  <c r="K370" i="2" s="1"/>
  <c r="C371" i="3"/>
  <c r="K371" i="2" s="1"/>
  <c r="C372" i="3"/>
  <c r="K372" i="2" s="1"/>
  <c r="C373" i="3"/>
  <c r="K373" i="2" s="1"/>
  <c r="C374" i="3"/>
  <c r="K374" i="2" s="1"/>
  <c r="C375" i="3"/>
  <c r="K375" i="2" s="1"/>
  <c r="C376" i="3"/>
  <c r="K376" i="2" s="1"/>
  <c r="C377" i="3"/>
  <c r="K377" i="2" s="1"/>
  <c r="C378" i="3"/>
  <c r="K378" i="2" s="1"/>
  <c r="C379" i="3"/>
  <c r="K379" i="2" s="1"/>
  <c r="C380" i="3"/>
  <c r="K380" i="2" s="1"/>
  <c r="C381" i="3"/>
  <c r="K381" i="2" s="1"/>
  <c r="C382" i="3"/>
  <c r="K382" i="2" s="1"/>
  <c r="C383" i="3"/>
  <c r="K383" i="2" s="1"/>
  <c r="C384" i="3"/>
  <c r="K384" i="2" s="1"/>
  <c r="C385" i="3"/>
  <c r="K385" i="2" s="1"/>
  <c r="C386" i="3"/>
  <c r="K386" i="2" s="1"/>
  <c r="C387" i="3"/>
  <c r="K387" i="2" s="1"/>
  <c r="C388" i="3"/>
  <c r="K388" i="2" s="1"/>
  <c r="C389" i="3"/>
  <c r="K389" i="2" s="1"/>
  <c r="C390" i="3"/>
  <c r="K390" i="2" s="1"/>
  <c r="C391" i="3"/>
  <c r="K391" i="2" s="1"/>
  <c r="C392" i="3"/>
  <c r="K392" i="2" s="1"/>
  <c r="C393" i="3"/>
  <c r="K393" i="2" s="1"/>
  <c r="C394" i="3"/>
  <c r="K394" i="2" s="1"/>
  <c r="C395" i="3"/>
  <c r="K395" i="2" s="1"/>
  <c r="C396" i="3"/>
  <c r="K396" i="2" s="1"/>
  <c r="C397" i="3"/>
  <c r="K397" i="2" s="1"/>
  <c r="C398" i="3"/>
  <c r="K398" i="2" s="1"/>
  <c r="C399" i="3"/>
  <c r="K399" i="2" s="1"/>
  <c r="C400" i="3"/>
  <c r="K400" i="2" s="1"/>
  <c r="C401" i="3"/>
  <c r="K401" i="2" s="1"/>
  <c r="C402" i="3"/>
  <c r="K402" i="2" s="1"/>
  <c r="C403" i="3"/>
  <c r="K403" i="2" s="1"/>
  <c r="C404" i="3"/>
  <c r="K404" i="2" s="1"/>
  <c r="C405" i="3"/>
  <c r="K405" i="2" s="1"/>
  <c r="C406" i="3"/>
  <c r="K406" i="2" s="1"/>
  <c r="C407" i="3"/>
  <c r="K407" i="2" s="1"/>
  <c r="C408" i="3"/>
  <c r="K408" i="2" s="1"/>
  <c r="C409" i="3"/>
  <c r="K409" i="2" s="1"/>
  <c r="C410" i="3"/>
  <c r="K410" i="2" s="1"/>
  <c r="C411" i="3"/>
  <c r="K411" i="2" s="1"/>
  <c r="C412" i="3"/>
  <c r="K412" i="2" s="1"/>
  <c r="C413" i="3"/>
  <c r="K413" i="2" s="1"/>
  <c r="C414" i="3"/>
  <c r="K414" i="2" s="1"/>
  <c r="C415" i="3"/>
  <c r="K415" i="2" s="1"/>
  <c r="C416" i="3"/>
  <c r="K416" i="2" s="1"/>
  <c r="C417" i="3"/>
  <c r="K417" i="2" s="1"/>
  <c r="C418" i="3"/>
  <c r="K418" i="2" s="1"/>
  <c r="C419" i="3"/>
  <c r="K419" i="2" s="1"/>
  <c r="C420" i="3"/>
  <c r="K420" i="2" s="1"/>
  <c r="C421" i="3"/>
  <c r="K421" i="2" s="1"/>
  <c r="C422" i="3"/>
  <c r="K422" i="2" s="1"/>
  <c r="C423" i="3"/>
  <c r="K423" i="2" s="1"/>
  <c r="C424" i="3"/>
  <c r="K424" i="2" s="1"/>
  <c r="C425" i="3"/>
  <c r="K425" i="2" s="1"/>
  <c r="C426" i="3"/>
  <c r="K426" i="2" s="1"/>
  <c r="C427" i="3"/>
  <c r="K427" i="2" s="1"/>
  <c r="C428" i="3"/>
  <c r="K428" i="2" s="1"/>
  <c r="C429" i="3"/>
  <c r="K429" i="2" s="1"/>
  <c r="C430" i="3"/>
  <c r="K430" i="2" s="1"/>
  <c r="C431" i="3"/>
  <c r="K431" i="2" s="1"/>
  <c r="B2" i="3"/>
  <c r="J2" i="2" s="1"/>
  <c r="B3" i="3"/>
  <c r="J3" i="2" s="1"/>
  <c r="B4" i="3"/>
  <c r="J4" i="2" s="1"/>
  <c r="B5" i="3"/>
  <c r="J5" i="2" s="1"/>
  <c r="B6" i="3"/>
  <c r="J6" i="2" s="1"/>
  <c r="B7" i="3"/>
  <c r="J7" i="2" s="1"/>
  <c r="B8" i="3"/>
  <c r="J8" i="2" s="1"/>
  <c r="B9" i="3"/>
  <c r="J9" i="2" s="1"/>
  <c r="B10" i="3"/>
  <c r="J10" i="2" s="1"/>
  <c r="B11" i="3"/>
  <c r="J11" i="2" s="1"/>
  <c r="B12" i="3"/>
  <c r="J12" i="2" s="1"/>
  <c r="B13" i="3"/>
  <c r="J13" i="2" s="1"/>
  <c r="B14" i="3"/>
  <c r="J14" i="2" s="1"/>
  <c r="B15" i="3"/>
  <c r="J15" i="2" s="1"/>
  <c r="B16" i="3"/>
  <c r="J16" i="2" s="1"/>
  <c r="B17" i="3"/>
  <c r="J17" i="2" s="1"/>
  <c r="B18" i="3"/>
  <c r="J18" i="2" s="1"/>
  <c r="B19" i="3"/>
  <c r="J19" i="2" s="1"/>
  <c r="B20" i="3"/>
  <c r="J20" i="2" s="1"/>
  <c r="B21" i="3"/>
  <c r="J21" i="2" s="1"/>
  <c r="B22" i="3"/>
  <c r="J22" i="2" s="1"/>
  <c r="B23" i="3"/>
  <c r="J23" i="2" s="1"/>
  <c r="B24" i="3"/>
  <c r="J24" i="2" s="1"/>
  <c r="B25" i="3"/>
  <c r="J25" i="2" s="1"/>
  <c r="B26" i="3"/>
  <c r="J26" i="2" s="1"/>
  <c r="B27" i="3"/>
  <c r="J27" i="2" s="1"/>
  <c r="B28" i="3"/>
  <c r="J28" i="2" s="1"/>
  <c r="B29" i="3"/>
  <c r="J29" i="2" s="1"/>
  <c r="B30" i="3"/>
  <c r="J30" i="2" s="1"/>
  <c r="B31" i="3"/>
  <c r="J31" i="2" s="1"/>
  <c r="B32" i="3"/>
  <c r="J32" i="2" s="1"/>
  <c r="B33" i="3"/>
  <c r="J33" i="2" s="1"/>
  <c r="B34" i="3"/>
  <c r="J34" i="2" s="1"/>
  <c r="B35" i="3"/>
  <c r="J35" i="2" s="1"/>
  <c r="B36" i="3"/>
  <c r="J36" i="2" s="1"/>
  <c r="B37" i="3"/>
  <c r="J37" i="2" s="1"/>
  <c r="B38" i="3"/>
  <c r="J38" i="2" s="1"/>
  <c r="B39" i="3"/>
  <c r="J39" i="2" s="1"/>
  <c r="B40" i="3"/>
  <c r="J40" i="2" s="1"/>
  <c r="B41" i="3"/>
  <c r="J41" i="2" s="1"/>
  <c r="B42" i="3"/>
  <c r="J42" i="2" s="1"/>
  <c r="B43" i="3"/>
  <c r="J43" i="2" s="1"/>
  <c r="B44" i="3"/>
  <c r="J44" i="2" s="1"/>
  <c r="B45" i="3"/>
  <c r="J45" i="2" s="1"/>
  <c r="B46" i="3"/>
  <c r="J46" i="2" s="1"/>
  <c r="B47" i="3"/>
  <c r="J47" i="2" s="1"/>
  <c r="B48" i="3"/>
  <c r="J48" i="2" s="1"/>
  <c r="B49" i="3"/>
  <c r="J49" i="2" s="1"/>
  <c r="B50" i="3"/>
  <c r="J50" i="2" s="1"/>
  <c r="B51" i="3"/>
  <c r="J51" i="2" s="1"/>
  <c r="B52" i="3"/>
  <c r="J52" i="2" s="1"/>
  <c r="B53" i="3"/>
  <c r="J53" i="2" s="1"/>
  <c r="B54" i="3"/>
  <c r="J54" i="2" s="1"/>
  <c r="B55" i="3"/>
  <c r="J55" i="2" s="1"/>
  <c r="B56" i="3"/>
  <c r="J56" i="2" s="1"/>
  <c r="B57" i="3"/>
  <c r="J57" i="2" s="1"/>
  <c r="B58" i="3"/>
  <c r="J58" i="2" s="1"/>
  <c r="B59" i="3"/>
  <c r="J59" i="2" s="1"/>
  <c r="B60" i="3"/>
  <c r="J60" i="2" s="1"/>
  <c r="B61" i="3"/>
  <c r="J61" i="2" s="1"/>
  <c r="B62" i="3"/>
  <c r="J62" i="2" s="1"/>
  <c r="B63" i="3"/>
  <c r="J63" i="2" s="1"/>
  <c r="B64" i="3"/>
  <c r="J64" i="2" s="1"/>
  <c r="B65" i="3"/>
  <c r="J65" i="2" s="1"/>
  <c r="B66" i="3"/>
  <c r="J66" i="2" s="1"/>
  <c r="B67" i="3"/>
  <c r="J67" i="2" s="1"/>
  <c r="B68" i="3"/>
  <c r="J68" i="2" s="1"/>
  <c r="B69" i="3"/>
  <c r="J69" i="2" s="1"/>
  <c r="B70" i="3"/>
  <c r="J70" i="2" s="1"/>
  <c r="B71" i="3"/>
  <c r="J71" i="2" s="1"/>
  <c r="B72" i="3"/>
  <c r="J72" i="2" s="1"/>
  <c r="B73" i="3"/>
  <c r="J73" i="2" s="1"/>
  <c r="B74" i="3"/>
  <c r="J74" i="2" s="1"/>
  <c r="B75" i="3"/>
  <c r="J75" i="2" s="1"/>
  <c r="B76" i="3"/>
  <c r="J76" i="2" s="1"/>
  <c r="B77" i="3"/>
  <c r="J77" i="2" s="1"/>
  <c r="B78" i="3"/>
  <c r="J78" i="2" s="1"/>
  <c r="B79" i="3"/>
  <c r="J79" i="2" s="1"/>
  <c r="B80" i="3"/>
  <c r="J80" i="2" s="1"/>
  <c r="B81" i="3"/>
  <c r="J81" i="2" s="1"/>
  <c r="B82" i="3"/>
  <c r="J82" i="2" s="1"/>
  <c r="B83" i="3"/>
  <c r="J83" i="2" s="1"/>
  <c r="B84" i="3"/>
  <c r="J84" i="2" s="1"/>
  <c r="B85" i="3"/>
  <c r="J85" i="2" s="1"/>
  <c r="B86" i="3"/>
  <c r="J86" i="2" s="1"/>
  <c r="B87" i="3"/>
  <c r="J87" i="2" s="1"/>
  <c r="B88" i="3"/>
  <c r="J88" i="2" s="1"/>
  <c r="B89" i="3"/>
  <c r="J89" i="2" s="1"/>
  <c r="B90" i="3"/>
  <c r="J90" i="2" s="1"/>
  <c r="B91" i="3"/>
  <c r="J91" i="2" s="1"/>
  <c r="B92" i="3"/>
  <c r="J92" i="2" s="1"/>
  <c r="B93" i="3"/>
  <c r="J93" i="2" s="1"/>
  <c r="B94" i="3"/>
  <c r="J94" i="2" s="1"/>
  <c r="B95" i="3"/>
  <c r="J95" i="2" s="1"/>
  <c r="B96" i="3"/>
  <c r="J96" i="2" s="1"/>
  <c r="B97" i="3"/>
  <c r="J97" i="2" s="1"/>
  <c r="B98" i="3"/>
  <c r="J98" i="2" s="1"/>
  <c r="B99" i="3"/>
  <c r="J99" i="2" s="1"/>
  <c r="B100" i="3"/>
  <c r="J100" i="2" s="1"/>
  <c r="B101" i="3"/>
  <c r="J101" i="2" s="1"/>
  <c r="B102" i="3"/>
  <c r="J102" i="2" s="1"/>
  <c r="B103" i="3"/>
  <c r="J103" i="2" s="1"/>
  <c r="B104" i="3"/>
  <c r="J104" i="2" s="1"/>
  <c r="B105" i="3"/>
  <c r="J105" i="2" s="1"/>
  <c r="B106" i="3"/>
  <c r="J106" i="2" s="1"/>
  <c r="B107" i="3"/>
  <c r="J107" i="2" s="1"/>
  <c r="B108" i="3"/>
  <c r="J108" i="2" s="1"/>
  <c r="B109" i="3"/>
  <c r="J109" i="2" s="1"/>
  <c r="B110" i="3"/>
  <c r="J110" i="2" s="1"/>
  <c r="B111" i="3"/>
  <c r="J111" i="2" s="1"/>
  <c r="B112" i="3"/>
  <c r="J112" i="2" s="1"/>
  <c r="B113" i="3"/>
  <c r="J113" i="2" s="1"/>
  <c r="B114" i="3"/>
  <c r="J114" i="2" s="1"/>
  <c r="B115" i="3"/>
  <c r="J115" i="2" s="1"/>
  <c r="B116" i="3"/>
  <c r="J116" i="2" s="1"/>
  <c r="B117" i="3"/>
  <c r="J117" i="2" s="1"/>
  <c r="B118" i="3"/>
  <c r="J118" i="2" s="1"/>
  <c r="B119" i="3"/>
  <c r="J119" i="2" s="1"/>
  <c r="B120" i="3"/>
  <c r="J120" i="2" s="1"/>
  <c r="B121" i="3"/>
  <c r="J121" i="2" s="1"/>
  <c r="B122" i="3"/>
  <c r="J122" i="2" s="1"/>
  <c r="B123" i="3"/>
  <c r="J123" i="2" s="1"/>
  <c r="B124" i="3"/>
  <c r="J124" i="2" s="1"/>
  <c r="B125" i="3"/>
  <c r="J125" i="2" s="1"/>
  <c r="B126" i="3"/>
  <c r="J126" i="2" s="1"/>
  <c r="B127" i="3"/>
  <c r="J127" i="2" s="1"/>
  <c r="B128" i="3"/>
  <c r="J128" i="2" s="1"/>
  <c r="B129" i="3"/>
  <c r="J129" i="2" s="1"/>
  <c r="B130" i="3"/>
  <c r="J130" i="2" s="1"/>
  <c r="B131" i="3"/>
  <c r="J131" i="2" s="1"/>
  <c r="B132" i="3"/>
  <c r="J132" i="2" s="1"/>
  <c r="B133" i="3"/>
  <c r="J133" i="2" s="1"/>
  <c r="B134" i="3"/>
  <c r="J134" i="2" s="1"/>
  <c r="B135" i="3"/>
  <c r="J135" i="2" s="1"/>
  <c r="B136" i="3"/>
  <c r="J136" i="2" s="1"/>
  <c r="B137" i="3"/>
  <c r="J137" i="2" s="1"/>
  <c r="B138" i="3"/>
  <c r="J138" i="2" s="1"/>
  <c r="B139" i="3"/>
  <c r="J139" i="2" s="1"/>
  <c r="B140" i="3"/>
  <c r="J140" i="2" s="1"/>
  <c r="B141" i="3"/>
  <c r="J141" i="2" s="1"/>
  <c r="B142" i="3"/>
  <c r="J142" i="2" s="1"/>
  <c r="B143" i="3"/>
  <c r="J143" i="2" s="1"/>
  <c r="B144" i="3"/>
  <c r="J144" i="2" s="1"/>
  <c r="B145" i="3"/>
  <c r="J145" i="2" s="1"/>
  <c r="B146" i="3"/>
  <c r="J146" i="2" s="1"/>
  <c r="B147" i="3"/>
  <c r="J147" i="2" s="1"/>
  <c r="B148" i="3"/>
  <c r="J148" i="2" s="1"/>
  <c r="B149" i="3"/>
  <c r="J149" i="2" s="1"/>
  <c r="B150" i="3"/>
  <c r="J150" i="2" s="1"/>
  <c r="B151" i="3"/>
  <c r="J151" i="2" s="1"/>
  <c r="B152" i="3"/>
  <c r="J152" i="2" s="1"/>
  <c r="B153" i="3"/>
  <c r="J153" i="2" s="1"/>
  <c r="B154" i="3"/>
  <c r="J154" i="2" s="1"/>
  <c r="B155" i="3"/>
  <c r="J155" i="2" s="1"/>
  <c r="B156" i="3"/>
  <c r="J156" i="2" s="1"/>
  <c r="B157" i="3"/>
  <c r="J157" i="2" s="1"/>
  <c r="B158" i="3"/>
  <c r="J158" i="2" s="1"/>
  <c r="B159" i="3"/>
  <c r="J159" i="2" s="1"/>
  <c r="B160" i="3"/>
  <c r="J160" i="2" s="1"/>
  <c r="B161" i="3"/>
  <c r="J161" i="2" s="1"/>
  <c r="B162" i="3"/>
  <c r="J162" i="2" s="1"/>
  <c r="B163" i="3"/>
  <c r="J163" i="2" s="1"/>
  <c r="B164" i="3"/>
  <c r="J164" i="2" s="1"/>
  <c r="B165" i="3"/>
  <c r="J165" i="2" s="1"/>
  <c r="B166" i="3"/>
  <c r="J166" i="2" s="1"/>
  <c r="B167" i="3"/>
  <c r="J167" i="2" s="1"/>
  <c r="B168" i="3"/>
  <c r="J168" i="2" s="1"/>
  <c r="B169" i="3"/>
  <c r="J169" i="2" s="1"/>
  <c r="B170" i="3"/>
  <c r="J170" i="2" s="1"/>
  <c r="B171" i="3"/>
  <c r="J171" i="2" s="1"/>
  <c r="B172" i="3"/>
  <c r="J172" i="2" s="1"/>
  <c r="B173" i="3"/>
  <c r="J173" i="2" s="1"/>
  <c r="B174" i="3"/>
  <c r="J174" i="2" s="1"/>
  <c r="B175" i="3"/>
  <c r="J175" i="2" s="1"/>
  <c r="B176" i="3"/>
  <c r="J176" i="2" s="1"/>
  <c r="B177" i="3"/>
  <c r="J177" i="2" s="1"/>
  <c r="B178" i="3"/>
  <c r="J178" i="2" s="1"/>
  <c r="B179" i="3"/>
  <c r="J179" i="2" s="1"/>
  <c r="B180" i="3"/>
  <c r="J180" i="2" s="1"/>
  <c r="B181" i="3"/>
  <c r="J181" i="2" s="1"/>
  <c r="B182" i="3"/>
  <c r="J182" i="2" s="1"/>
  <c r="B183" i="3"/>
  <c r="J183" i="2" s="1"/>
  <c r="B184" i="3"/>
  <c r="J184" i="2" s="1"/>
  <c r="B185" i="3"/>
  <c r="J185" i="2" s="1"/>
  <c r="B186" i="3"/>
  <c r="J186" i="2" s="1"/>
  <c r="B187" i="3"/>
  <c r="J187" i="2" s="1"/>
  <c r="B188" i="3"/>
  <c r="J188" i="2" s="1"/>
  <c r="B189" i="3"/>
  <c r="J189" i="2" s="1"/>
  <c r="B190" i="3"/>
  <c r="J190" i="2" s="1"/>
  <c r="B191" i="3"/>
  <c r="J191" i="2" s="1"/>
  <c r="B192" i="3"/>
  <c r="J192" i="2" s="1"/>
  <c r="B193" i="3"/>
  <c r="J193" i="2" s="1"/>
  <c r="B194" i="3"/>
  <c r="J194" i="2" s="1"/>
  <c r="B195" i="3"/>
  <c r="J195" i="2" s="1"/>
  <c r="B196" i="3"/>
  <c r="J196" i="2" s="1"/>
  <c r="B197" i="3"/>
  <c r="J197" i="2" s="1"/>
  <c r="B198" i="3"/>
  <c r="J198" i="2" s="1"/>
  <c r="B199" i="3"/>
  <c r="J199" i="2" s="1"/>
  <c r="B200" i="3"/>
  <c r="J200" i="2" s="1"/>
  <c r="B201" i="3"/>
  <c r="J201" i="2" s="1"/>
  <c r="B202" i="3"/>
  <c r="J202" i="2" s="1"/>
  <c r="B203" i="3"/>
  <c r="J203" i="2" s="1"/>
  <c r="B204" i="3"/>
  <c r="J204" i="2" s="1"/>
  <c r="B205" i="3"/>
  <c r="J205" i="2" s="1"/>
  <c r="B206" i="3"/>
  <c r="J206" i="2" s="1"/>
  <c r="B207" i="3"/>
  <c r="J207" i="2" s="1"/>
  <c r="B208" i="3"/>
  <c r="J208" i="2" s="1"/>
  <c r="B209" i="3"/>
  <c r="J209" i="2" s="1"/>
  <c r="B210" i="3"/>
  <c r="J210" i="2" s="1"/>
  <c r="B211" i="3"/>
  <c r="J211" i="2" s="1"/>
  <c r="B212" i="3"/>
  <c r="J212" i="2" s="1"/>
  <c r="B213" i="3"/>
  <c r="J213" i="2" s="1"/>
  <c r="B214" i="3"/>
  <c r="J214" i="2" s="1"/>
  <c r="B215" i="3"/>
  <c r="J215" i="2" s="1"/>
  <c r="B216" i="3"/>
  <c r="J216" i="2" s="1"/>
  <c r="B217" i="3"/>
  <c r="J217" i="2" s="1"/>
  <c r="B218" i="3"/>
  <c r="J218" i="2" s="1"/>
  <c r="B219" i="3"/>
  <c r="J219" i="2" s="1"/>
  <c r="B220" i="3"/>
  <c r="J220" i="2" s="1"/>
  <c r="B221" i="3"/>
  <c r="J221" i="2" s="1"/>
  <c r="B222" i="3"/>
  <c r="J222" i="2" s="1"/>
  <c r="B223" i="3"/>
  <c r="J223" i="2" s="1"/>
  <c r="B224" i="3"/>
  <c r="J224" i="2" s="1"/>
  <c r="B225" i="3"/>
  <c r="J225" i="2" s="1"/>
  <c r="B226" i="3"/>
  <c r="J226" i="2" s="1"/>
  <c r="B227" i="3"/>
  <c r="J227" i="2" s="1"/>
  <c r="B228" i="3"/>
  <c r="J228" i="2" s="1"/>
  <c r="B229" i="3"/>
  <c r="J229" i="2" s="1"/>
  <c r="B230" i="3"/>
  <c r="J230" i="2" s="1"/>
  <c r="B231" i="3"/>
  <c r="J231" i="2" s="1"/>
  <c r="B232" i="3"/>
  <c r="J232" i="2" s="1"/>
  <c r="B233" i="3"/>
  <c r="J233" i="2" s="1"/>
  <c r="B234" i="3"/>
  <c r="J234" i="2" s="1"/>
  <c r="B235" i="3"/>
  <c r="J235" i="2" s="1"/>
  <c r="B236" i="3"/>
  <c r="J236" i="2" s="1"/>
  <c r="B237" i="3"/>
  <c r="J237" i="2" s="1"/>
  <c r="B238" i="3"/>
  <c r="J238" i="2" s="1"/>
  <c r="B239" i="3"/>
  <c r="J239" i="2" s="1"/>
  <c r="B240" i="3"/>
  <c r="J240" i="2" s="1"/>
  <c r="B241" i="3"/>
  <c r="J241" i="2" s="1"/>
  <c r="B242" i="3"/>
  <c r="J242" i="2" s="1"/>
  <c r="B243" i="3"/>
  <c r="J243" i="2" s="1"/>
  <c r="B244" i="3"/>
  <c r="J244" i="2" s="1"/>
  <c r="B245" i="3"/>
  <c r="J245" i="2" s="1"/>
  <c r="B246" i="3"/>
  <c r="J246" i="2" s="1"/>
  <c r="B247" i="3"/>
  <c r="J247" i="2" s="1"/>
  <c r="B248" i="3"/>
  <c r="J248" i="2" s="1"/>
  <c r="B249" i="3"/>
  <c r="J249" i="2" s="1"/>
  <c r="B250" i="3"/>
  <c r="J250" i="2" s="1"/>
  <c r="B251" i="3"/>
  <c r="J251" i="2" s="1"/>
  <c r="B252" i="3"/>
  <c r="J252" i="2" s="1"/>
  <c r="B253" i="3"/>
  <c r="J253" i="2" s="1"/>
  <c r="B254" i="3"/>
  <c r="J254" i="2" s="1"/>
  <c r="B255" i="3"/>
  <c r="J255" i="2" s="1"/>
  <c r="B256" i="3"/>
  <c r="J256" i="2" s="1"/>
  <c r="B257" i="3"/>
  <c r="J257" i="2" s="1"/>
  <c r="B258" i="3"/>
  <c r="J258" i="2" s="1"/>
  <c r="B259" i="3"/>
  <c r="J259" i="2" s="1"/>
  <c r="B260" i="3"/>
  <c r="J260" i="2" s="1"/>
  <c r="B261" i="3"/>
  <c r="J261" i="2" s="1"/>
  <c r="B262" i="3"/>
  <c r="J262" i="2" s="1"/>
  <c r="B263" i="3"/>
  <c r="J263" i="2" s="1"/>
  <c r="B264" i="3"/>
  <c r="J264" i="2" s="1"/>
  <c r="B265" i="3"/>
  <c r="J265" i="2" s="1"/>
  <c r="B266" i="3"/>
  <c r="J266" i="2" s="1"/>
  <c r="B267" i="3"/>
  <c r="J267" i="2" s="1"/>
  <c r="B268" i="3"/>
  <c r="J268" i="2" s="1"/>
  <c r="B269" i="3"/>
  <c r="J269" i="2" s="1"/>
  <c r="B270" i="3"/>
  <c r="J270" i="2" s="1"/>
  <c r="B271" i="3"/>
  <c r="J271" i="2" s="1"/>
  <c r="B272" i="3"/>
  <c r="J272" i="2" s="1"/>
  <c r="B273" i="3"/>
  <c r="J273" i="2" s="1"/>
  <c r="B274" i="3"/>
  <c r="J274" i="2" s="1"/>
  <c r="B275" i="3"/>
  <c r="J275" i="2" s="1"/>
  <c r="B276" i="3"/>
  <c r="J276" i="2" s="1"/>
  <c r="B277" i="3"/>
  <c r="J277" i="2" s="1"/>
  <c r="B278" i="3"/>
  <c r="J278" i="2" s="1"/>
  <c r="B279" i="3"/>
  <c r="J279" i="2" s="1"/>
  <c r="B280" i="3"/>
  <c r="J280" i="2" s="1"/>
  <c r="B281" i="3"/>
  <c r="J281" i="2" s="1"/>
  <c r="B282" i="3"/>
  <c r="J282" i="2" s="1"/>
  <c r="B283" i="3"/>
  <c r="J283" i="2" s="1"/>
  <c r="B284" i="3"/>
  <c r="J284" i="2" s="1"/>
  <c r="B285" i="3"/>
  <c r="J285" i="2" s="1"/>
  <c r="B286" i="3"/>
  <c r="J286" i="2" s="1"/>
  <c r="B287" i="3"/>
  <c r="J287" i="2" s="1"/>
  <c r="B288" i="3"/>
  <c r="J288" i="2" s="1"/>
  <c r="B289" i="3"/>
  <c r="J289" i="2" s="1"/>
  <c r="B290" i="3"/>
  <c r="J290" i="2" s="1"/>
  <c r="B291" i="3"/>
  <c r="J291" i="2" s="1"/>
  <c r="B292" i="3"/>
  <c r="J292" i="2" s="1"/>
  <c r="B293" i="3"/>
  <c r="J293" i="2" s="1"/>
  <c r="B294" i="3"/>
  <c r="J294" i="2" s="1"/>
  <c r="B295" i="3"/>
  <c r="J295" i="2" s="1"/>
  <c r="B296" i="3"/>
  <c r="J296" i="2" s="1"/>
  <c r="B297" i="3"/>
  <c r="J297" i="2" s="1"/>
  <c r="B298" i="3"/>
  <c r="J298" i="2" s="1"/>
  <c r="B299" i="3"/>
  <c r="J299" i="2" s="1"/>
  <c r="B300" i="3"/>
  <c r="J300" i="2" s="1"/>
  <c r="B301" i="3"/>
  <c r="J301" i="2" s="1"/>
  <c r="B302" i="3"/>
  <c r="J302" i="2" s="1"/>
  <c r="B303" i="3"/>
  <c r="J303" i="2" s="1"/>
  <c r="B304" i="3"/>
  <c r="J304" i="2" s="1"/>
  <c r="B305" i="3"/>
  <c r="J305" i="2" s="1"/>
  <c r="B306" i="3"/>
  <c r="J306" i="2" s="1"/>
  <c r="B307" i="3"/>
  <c r="J307" i="2" s="1"/>
  <c r="B308" i="3"/>
  <c r="J308" i="2" s="1"/>
  <c r="B309" i="3"/>
  <c r="J309" i="2" s="1"/>
  <c r="B310" i="3"/>
  <c r="J310" i="2" s="1"/>
  <c r="B311" i="3"/>
  <c r="J311" i="2" s="1"/>
  <c r="B312" i="3"/>
  <c r="J312" i="2" s="1"/>
  <c r="B313" i="3"/>
  <c r="J313" i="2" s="1"/>
  <c r="B314" i="3"/>
  <c r="J314" i="2" s="1"/>
  <c r="B315" i="3"/>
  <c r="J315" i="2" s="1"/>
  <c r="B316" i="3"/>
  <c r="J316" i="2" s="1"/>
  <c r="B317" i="3"/>
  <c r="J317" i="2" s="1"/>
  <c r="B318" i="3"/>
  <c r="J318" i="2" s="1"/>
  <c r="B319" i="3"/>
  <c r="J319" i="2" s="1"/>
  <c r="B320" i="3"/>
  <c r="J320" i="2" s="1"/>
  <c r="B321" i="3"/>
  <c r="J321" i="2" s="1"/>
  <c r="B322" i="3"/>
  <c r="J322" i="2" s="1"/>
  <c r="B323" i="3"/>
  <c r="J323" i="2" s="1"/>
  <c r="B324" i="3"/>
  <c r="J324" i="2" s="1"/>
  <c r="B325" i="3"/>
  <c r="J325" i="2" s="1"/>
  <c r="B326" i="3"/>
  <c r="J326" i="2" s="1"/>
  <c r="B327" i="3"/>
  <c r="J327" i="2" s="1"/>
  <c r="B328" i="3"/>
  <c r="J328" i="2" s="1"/>
  <c r="B329" i="3"/>
  <c r="J329" i="2" s="1"/>
  <c r="B330" i="3"/>
  <c r="J330" i="2" s="1"/>
  <c r="B331" i="3"/>
  <c r="J331" i="2" s="1"/>
  <c r="B332" i="3"/>
  <c r="J332" i="2" s="1"/>
  <c r="B333" i="3"/>
  <c r="J333" i="2" s="1"/>
  <c r="B334" i="3"/>
  <c r="J334" i="2" s="1"/>
  <c r="B335" i="3"/>
  <c r="J335" i="2" s="1"/>
  <c r="B336" i="3"/>
  <c r="J336" i="2" s="1"/>
  <c r="B337" i="3"/>
  <c r="J337" i="2" s="1"/>
  <c r="B338" i="3"/>
  <c r="J338" i="2" s="1"/>
  <c r="B339" i="3"/>
  <c r="J339" i="2" s="1"/>
  <c r="B340" i="3"/>
  <c r="J340" i="2" s="1"/>
  <c r="B341" i="3"/>
  <c r="J341" i="2" s="1"/>
  <c r="B342" i="3"/>
  <c r="J342" i="2" s="1"/>
  <c r="B343" i="3"/>
  <c r="J343" i="2" s="1"/>
  <c r="B344" i="3"/>
  <c r="J344" i="2" s="1"/>
  <c r="B345" i="3"/>
  <c r="J345" i="2" s="1"/>
  <c r="B346" i="3"/>
  <c r="J346" i="2" s="1"/>
  <c r="B347" i="3"/>
  <c r="J347" i="2" s="1"/>
  <c r="B348" i="3"/>
  <c r="J348" i="2" s="1"/>
  <c r="B349" i="3"/>
  <c r="J349" i="2" s="1"/>
  <c r="B350" i="3"/>
  <c r="J350" i="2" s="1"/>
  <c r="B351" i="3"/>
  <c r="J351" i="2" s="1"/>
  <c r="B352" i="3"/>
  <c r="J352" i="2" s="1"/>
  <c r="B353" i="3"/>
  <c r="J353" i="2" s="1"/>
  <c r="B354" i="3"/>
  <c r="J354" i="2" s="1"/>
  <c r="B355" i="3"/>
  <c r="J355" i="2" s="1"/>
  <c r="B356" i="3"/>
  <c r="J356" i="2" s="1"/>
  <c r="B357" i="3"/>
  <c r="J357" i="2" s="1"/>
  <c r="B358" i="3"/>
  <c r="J358" i="2" s="1"/>
  <c r="B359" i="3"/>
  <c r="J359" i="2" s="1"/>
  <c r="B360" i="3"/>
  <c r="J360" i="2" s="1"/>
  <c r="B361" i="3"/>
  <c r="J361" i="2" s="1"/>
  <c r="B362" i="3"/>
  <c r="J362" i="2" s="1"/>
  <c r="B363" i="3"/>
  <c r="J363" i="2" s="1"/>
  <c r="B364" i="3"/>
  <c r="J364" i="2" s="1"/>
  <c r="B365" i="3"/>
  <c r="J365" i="2" s="1"/>
  <c r="B366" i="3"/>
  <c r="J366" i="2" s="1"/>
  <c r="B367" i="3"/>
  <c r="J367" i="2" s="1"/>
  <c r="B368" i="3"/>
  <c r="J368" i="2" s="1"/>
  <c r="B369" i="3"/>
  <c r="J369" i="2" s="1"/>
  <c r="B370" i="3"/>
  <c r="J370" i="2" s="1"/>
  <c r="B371" i="3"/>
  <c r="J371" i="2" s="1"/>
  <c r="B372" i="3"/>
  <c r="J372" i="2" s="1"/>
  <c r="B373" i="3"/>
  <c r="J373" i="2" s="1"/>
  <c r="B374" i="3"/>
  <c r="J374" i="2" s="1"/>
  <c r="B375" i="3"/>
  <c r="J375" i="2" s="1"/>
  <c r="B376" i="3"/>
  <c r="J376" i="2" s="1"/>
  <c r="B377" i="3"/>
  <c r="J377" i="2" s="1"/>
  <c r="B378" i="3"/>
  <c r="J378" i="2" s="1"/>
  <c r="B379" i="3"/>
  <c r="J379" i="2" s="1"/>
  <c r="B380" i="3"/>
  <c r="J380" i="2" s="1"/>
  <c r="B381" i="3"/>
  <c r="J381" i="2" s="1"/>
  <c r="B382" i="3"/>
  <c r="J382" i="2" s="1"/>
  <c r="B383" i="3"/>
  <c r="J383" i="2" s="1"/>
  <c r="B384" i="3"/>
  <c r="J384" i="2" s="1"/>
  <c r="B385" i="3"/>
  <c r="J385" i="2" s="1"/>
  <c r="B386" i="3"/>
  <c r="J386" i="2" s="1"/>
  <c r="B387" i="3"/>
  <c r="J387" i="2" s="1"/>
  <c r="B388" i="3"/>
  <c r="J388" i="2" s="1"/>
  <c r="B389" i="3"/>
  <c r="J389" i="2" s="1"/>
  <c r="B390" i="3"/>
  <c r="J390" i="2" s="1"/>
  <c r="B391" i="3"/>
  <c r="J391" i="2" s="1"/>
  <c r="B392" i="3"/>
  <c r="J392" i="2" s="1"/>
  <c r="B393" i="3"/>
  <c r="J393" i="2" s="1"/>
  <c r="B394" i="3"/>
  <c r="J394" i="2" s="1"/>
  <c r="B395" i="3"/>
  <c r="J395" i="2" s="1"/>
  <c r="B396" i="3"/>
  <c r="J396" i="2" s="1"/>
  <c r="B397" i="3"/>
  <c r="J397" i="2" s="1"/>
  <c r="B398" i="3"/>
  <c r="J398" i="2" s="1"/>
  <c r="B399" i="3"/>
  <c r="J399" i="2" s="1"/>
  <c r="B400" i="3"/>
  <c r="J400" i="2" s="1"/>
  <c r="B401" i="3"/>
  <c r="J401" i="2" s="1"/>
  <c r="B402" i="3"/>
  <c r="J402" i="2" s="1"/>
  <c r="B403" i="3"/>
  <c r="J403" i="2" s="1"/>
  <c r="B404" i="3"/>
  <c r="J404" i="2" s="1"/>
  <c r="B405" i="3"/>
  <c r="J405" i="2" s="1"/>
  <c r="B406" i="3"/>
  <c r="J406" i="2" s="1"/>
  <c r="B407" i="3"/>
  <c r="J407" i="2" s="1"/>
  <c r="B408" i="3"/>
  <c r="J408" i="2" s="1"/>
  <c r="B409" i="3"/>
  <c r="J409" i="2" s="1"/>
  <c r="B410" i="3"/>
  <c r="J410" i="2" s="1"/>
  <c r="B411" i="3"/>
  <c r="J411" i="2" s="1"/>
  <c r="B412" i="3"/>
  <c r="J412" i="2" s="1"/>
  <c r="B413" i="3"/>
  <c r="J413" i="2" s="1"/>
  <c r="B414" i="3"/>
  <c r="J414" i="2" s="1"/>
  <c r="B415" i="3"/>
  <c r="J415" i="2" s="1"/>
  <c r="B416" i="3"/>
  <c r="J416" i="2" s="1"/>
  <c r="B417" i="3"/>
  <c r="J417" i="2" s="1"/>
  <c r="B418" i="3"/>
  <c r="J418" i="2" s="1"/>
  <c r="B419" i="3"/>
  <c r="J419" i="2" s="1"/>
  <c r="B420" i="3"/>
  <c r="J420" i="2" s="1"/>
  <c r="B421" i="3"/>
  <c r="J421" i="2" s="1"/>
  <c r="B422" i="3"/>
  <c r="J422" i="2" s="1"/>
  <c r="B423" i="3"/>
  <c r="J423" i="2" s="1"/>
  <c r="B424" i="3"/>
  <c r="J424" i="2" s="1"/>
  <c r="B425" i="3"/>
  <c r="J425" i="2" s="1"/>
  <c r="B426" i="3"/>
  <c r="J426" i="2" s="1"/>
  <c r="B427" i="3"/>
  <c r="J427" i="2" s="1"/>
  <c r="B428" i="3"/>
  <c r="J428" i="2" s="1"/>
  <c r="B429" i="3"/>
  <c r="J429" i="2" s="1"/>
  <c r="B430" i="3"/>
  <c r="J430" i="2" s="1"/>
  <c r="B431" i="3"/>
  <c r="J431" i="2" s="1"/>
  <c r="I2" i="2"/>
  <c r="I3" i="2"/>
  <c r="I4" i="2"/>
  <c r="I5" i="2"/>
  <c r="I6" i="2"/>
  <c r="I7" i="2"/>
  <c r="I8" i="2"/>
  <c r="I9" i="2"/>
  <c r="I10" i="2"/>
  <c r="I11" i="2"/>
  <c r="Q17" i="4" s="1" a="1"/>
  <c r="Q17" i="4" s="1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W8" i="4" s="1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Q21" i="4" l="1" a="1"/>
  <c r="Q21" i="4" s="1"/>
  <c r="Q6" i="2"/>
  <c r="F7" i="4" a="1"/>
  <c r="F7" i="4" s="1"/>
  <c r="F17" i="4" a="1"/>
  <c r="F17" i="4" s="1"/>
  <c r="C20" i="4" a="1"/>
  <c r="C20" i="4" s="1"/>
  <c r="I17" i="4" a="1"/>
  <c r="I17" i="4" s="1"/>
  <c r="C7" i="4" a="1"/>
  <c r="C7" i="4" s="1"/>
  <c r="L7" i="4" a="1"/>
  <c r="L7" i="4" s="1"/>
  <c r="I7" i="4" a="1"/>
  <c r="I7" i="4" s="1"/>
  <c r="Q7" i="2"/>
  <c r="Q8" i="2"/>
  <c r="Q2" i="2"/>
  <c r="Q3" i="2"/>
  <c r="Q4" i="2"/>
  <c r="Q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<sst xmlns="http://schemas.openxmlformats.org/spreadsheetml/2006/main" count="1804" uniqueCount="71">
  <si>
    <t>Fechas</t>
  </si>
  <si>
    <t>Productos</t>
  </si>
  <si>
    <t>Valor</t>
  </si>
  <si>
    <t>Vendedor</t>
  </si>
  <si>
    <t>Zonas</t>
  </si>
  <si>
    <t>Cantidad</t>
  </si>
  <si>
    <t>Producto-0023</t>
  </si>
  <si>
    <t>Producto-0024</t>
  </si>
  <si>
    <t>Producto-0025</t>
  </si>
  <si>
    <t>Producto-0026</t>
  </si>
  <si>
    <t>Producto-0027</t>
  </si>
  <si>
    <t>Producto-0028</t>
  </si>
  <si>
    <t>Producto-0029</t>
  </si>
  <si>
    <t>Producto-0030</t>
  </si>
  <si>
    <t>Producto-0031</t>
  </si>
  <si>
    <t>Producto-0032</t>
  </si>
  <si>
    <t>Producto-0033</t>
  </si>
  <si>
    <t>Vendedor-001</t>
  </si>
  <si>
    <t>Vendedor-002</t>
  </si>
  <si>
    <t>Vendedor-003</t>
  </si>
  <si>
    <t>Vendedor-004</t>
  </si>
  <si>
    <t>Norte</t>
  </si>
  <si>
    <t>Sur</t>
  </si>
  <si>
    <t>Este</t>
  </si>
  <si>
    <t>Oeste</t>
  </si>
  <si>
    <t>Total_Ventas</t>
  </si>
  <si>
    <t>Sede</t>
  </si>
  <si>
    <t>A</t>
  </si>
  <si>
    <t>B</t>
  </si>
  <si>
    <t>C</t>
  </si>
  <si>
    <t>Id_Venta</t>
  </si>
  <si>
    <t>Resumen No1</t>
  </si>
  <si>
    <t>Total</t>
  </si>
  <si>
    <t>Promedio</t>
  </si>
  <si>
    <t>Máximo</t>
  </si>
  <si>
    <t>Mínimo</t>
  </si>
  <si>
    <t>Mediana</t>
  </si>
  <si>
    <t>Moda</t>
  </si>
  <si>
    <t>No Elementos</t>
  </si>
  <si>
    <t>Años</t>
  </si>
  <si>
    <t>Mes</t>
  </si>
  <si>
    <t>Días</t>
  </si>
  <si>
    <t>Nombre Mes</t>
  </si>
  <si>
    <t>Días Transcurridos</t>
  </si>
  <si>
    <t>Nombre Días3</t>
  </si>
  <si>
    <t>Años Transcurridos</t>
  </si>
  <si>
    <t>Ventas Por Producto</t>
  </si>
  <si>
    <t>Ventas Por Zonas</t>
  </si>
  <si>
    <t>Vendedores</t>
  </si>
  <si>
    <t>Ventas por vendedores</t>
  </si>
  <si>
    <t>Ventas por sede</t>
  </si>
  <si>
    <t>Promedio Ventas</t>
  </si>
  <si>
    <t>No Ventas</t>
  </si>
  <si>
    <t>No Por Zonas</t>
  </si>
  <si>
    <t>BuscarV</t>
  </si>
  <si>
    <t>BuscarX</t>
  </si>
  <si>
    <t>Mes2</t>
  </si>
  <si>
    <t>julio</t>
  </si>
  <si>
    <t>enero</t>
  </si>
  <si>
    <t>agosto</t>
  </si>
  <si>
    <t>octubre</t>
  </si>
  <si>
    <t>marzo</t>
  </si>
  <si>
    <t>mayo</t>
  </si>
  <si>
    <t>abril</t>
  </si>
  <si>
    <t>noviembre</t>
  </si>
  <si>
    <t>febrero</t>
  </si>
  <si>
    <t>septiembre</t>
  </si>
  <si>
    <t>diciembre</t>
  </si>
  <si>
    <t>junio</t>
  </si>
  <si>
    <t>Venta</t>
  </si>
  <si>
    <t>Sumar.Si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</si>
</sst>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$&quot;\ * #,##0.00_-;\-&quot;$&quot;\ * #,##0.00_-;_-&quot;$&quot;\ * &quot;-&quot;??_-;_-@_-"/>
    <numFmt numFmtId="16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0" fillId="0" borderId="1" xfId="0" applyBorder="1"/>
    <xf numFmtId="44" fontId="0" fillId="0" borderId="1" xfId="0" applyNumberFormat="1" applyBorder="1"/>
    <xf numFmtId="164" fontId="0" fillId="0" borderId="1" xfId="1" applyNumberFormat="1" applyFont="1" applyBorder="1"/>
    <xf numFmtId="164" fontId="0" fillId="0" borderId="1" xfId="0" applyNumberFormat="1" applyBorder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0" applyNumberFormat="1" applyBorder="1" applyAlignment="1">
      <alignment horizontal="center"/>
    </xf>
    <xf numFmtId="0" fontId="0" fillId="0" borderId="4" xfId="0" applyBorder="1"/>
    <xf numFmtId="14" fontId="0" fillId="0" borderId="1" xfId="0" applyNumberFormat="1" applyBorder="1" applyAlignment="1">
      <alignment horizontal="center"/>
    </xf>
    <xf numFmtId="14" fontId="0" fillId="0" borderId="1" xfId="0" applyNumberFormat="1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5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0" borderId="0" xfId="0" applyFont="1"/>
    <xf numFmtId="44" fontId="0" fillId="0" borderId="0" xfId="0" applyNumberFormat="1"/>
    <xf numFmtId="14" fontId="0" fillId="0" borderId="0" xfId="0" applyNumberForma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44" fontId="4" fillId="2" borderId="1" xfId="1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20">
    <dxf>
      <numFmt numFmtId="19" formatCode="d/mm/yyyy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$&quot;\ * #,##0.00_-;\-&quot;$&quot;\ * #,##0.00_-;_-&quot;$&quot;\ * &quot;-&quot;??_-;_-@_-"/>
    </dxf>
    <dxf>
      <alignment horizontal="center" vertical="bottom" textRotation="0" wrapText="0" indent="0" justifyLastLine="0" shrinkToFit="0" readingOrder="0"/>
    </dxf>
    <dxf>
      <numFmt numFmtId="34" formatCode="_-&quot;$&quot;\ * #,##0.00_-;\-&quot;$&quot;\ * #,##0.00_-;_-&quot;$&quot;\ * &quot;-&quot;??_-;_-@_-"/>
    </dxf>
    <dxf>
      <numFmt numFmtId="19" formatCode="d/mm/yyyy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4822CD95-E246-49BE-A981-D462B7562CD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54E423-6381-4FBD-9B48-79D45964BD1E}" name="Base1" displayName="Base1" ref="A1:M431" totalsRowShown="0">
  <autoFilter ref="A1:M431" xr:uid="{2254E423-6381-4FBD-9B48-79D45964BD1E}"/>
  <tableColumns count="13">
    <tableColumn id="1" xr3:uid="{C6D54C42-D550-4388-BDAD-EC6512707565}" name="Id_Venta" dataDxfId="9"/>
    <tableColumn id="2" xr3:uid="{6432046C-0F52-4679-908E-EAF0E4C00BE7}" name="Sede" dataDxfId="8"/>
    <tableColumn id="3" xr3:uid="{038BBC06-8521-4CA1-9D1E-79CEDEED15D2}" name="Fechas" dataDxfId="7"/>
    <tableColumn id="4" xr3:uid="{F27149E8-55B7-49A0-8F99-40BD1F951037}" name="Productos"/>
    <tableColumn id="5" xr3:uid="{A836CDDC-D2E1-4339-B1D5-05E487F74EBD}" name="Valor" dataDxfId="6"/>
    <tableColumn id="6" xr3:uid="{69B2A555-3CCE-4D61-A71A-9D74660431D9}" name="Cantidad" dataDxfId="5"/>
    <tableColumn id="7" xr3:uid="{242A6457-C1DA-4ADA-8A6F-36849BEF0390}" name="Vendedor"/>
    <tableColumn id="8" xr3:uid="{C46A0981-1EDE-440A-BB66-FE1283C2CDDD}" name="Zonas"/>
    <tableColumn id="9" xr3:uid="{D9E8254C-A6D1-450A-B8B9-E80E9451F79D}" name="Total_Ventas" dataDxfId="4">
      <calculatedColumnFormula>Origen!$F2*Origen!$E2</calculatedColumnFormula>
    </tableColumn>
    <tableColumn id="10" xr3:uid="{8B722EB1-AEB3-4F77-AC9B-DC856CE8D55B}" name="Años" dataDxfId="3">
      <calculatedColumnFormula>VLOOKUP(A:A,Anexos!A:B,2,0)</calculatedColumnFormula>
    </tableColumn>
    <tableColumn id="11" xr3:uid="{8AC29897-E5FD-4A75-8CF3-FA08423702F1}" name="Mes" dataDxfId="2">
      <calculatedColumnFormula>_xlfn.XLOOKUP(A:A,Anexos!A:A,Anexos!C:C,"No se encuentra",0)</calculatedColumnFormula>
    </tableColumn>
    <tableColumn id="12" xr3:uid="{CC95062F-61B5-468F-99AA-ED59A097F167}" name="Días" dataDxfId="1">
      <calculatedColumnFormula>VLOOKUP(A:A,Anexos!A:E,5,0)</calculatedColumnFormula>
    </tableColumn>
    <tableColumn id="13" xr3:uid="{696F4950-0F5A-475A-B4D7-71E8F34072F0}" name="Mes2" dataDxfId="0">
      <calculatedColumnFormula>VLOOKUP(A:A,Anexos!A:F,6,0)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AF2DF3-0C2D-4FCC-9A22-BFD4B9D6C5D1}" name="BaseA" displayName="BaseA" ref="A1:H431" totalsRowShown="0" headerRowDxfId="19" dataDxfId="18">
  <autoFilter ref="A1:H431" xr:uid="{F7AF2DF3-0C2D-4FCC-9A22-BFD4B9D6C5D1}"/>
  <tableColumns count="8">
    <tableColumn id="1" xr3:uid="{9B73B995-CFFD-4961-8E46-189E831B3395}" name="Id_Venta" dataDxfId="17"/>
    <tableColumn id="2" xr3:uid="{93A731E1-3DDD-49CB-A24B-6FFDDA843746}" name="Años" dataDxfId="16">
      <calculatedColumnFormula>YEAR(Base1[[#This Row],[Fechas]])</calculatedColumnFormula>
    </tableColumn>
    <tableColumn id="3" xr3:uid="{B35BA4B5-36A7-4B2E-B916-594053474B79}" name="Mes" dataDxfId="15">
      <calculatedColumnFormula>MONTH(Base1[[#This Row],[Fechas]])</calculatedColumnFormula>
    </tableColumn>
    <tableColumn id="4" xr3:uid="{9D55E15F-DC9E-42C3-ABD0-5B824B1F3695}" name="Días" dataDxfId="14">
      <calculatedColumnFormula>DAY(Base1[[#This Row],[Fechas]])</calculatedColumnFormula>
    </tableColumn>
    <tableColumn id="10" xr3:uid="{2F1BE27A-8447-4C69-8451-18A7CFD557FF}" name="Nombre Días3" dataDxfId="13">
      <calculatedColumnFormula>TEXT(Base1[[#This Row],[Fechas]],"DDDD")</calculatedColumnFormula>
    </tableColumn>
    <tableColumn id="8" xr3:uid="{7512D59C-5373-4CED-9560-3170D899B047}" name="Nombre Mes" dataDxfId="12">
      <calculatedColumnFormula>TEXT(Base1[[#This Row],[Fechas]],"MMMM")</calculatedColumnFormula>
    </tableColumn>
    <tableColumn id="9" xr3:uid="{B2806691-50F0-4043-B365-EF614BFB89BD}" name="Días Transcurridos" dataDxfId="11">
      <calculatedColumnFormula>_xlfn.DAYS(TODAY(),Base1[[#This Row],[Fechas]])</calculatedColumnFormula>
    </tableColumn>
    <tableColumn id="5" xr3:uid="{63F411FA-E8B3-4043-BAF6-B9BC7EB9C3E9}" name="Años Transcurridos" dataDxfId="10">
      <calculatedColumnFormula>BaseA[[#This Row],[Días Transcurridos]]/360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AA7DE-17C5-4506-B493-ABA68E2061CF}">
  <dimension ref="A1:Q431"/>
  <sheetViews>
    <sheetView workbookViewId="0">
      <selection activeCell="H10" sqref="H10"/>
    </sheetView>
  </sheetViews>
  <sheetFormatPr baseColWidth="10" defaultRowHeight="14.4" x14ac:dyDescent="0.3"/>
  <cols>
    <col min="3" max="3" width="18.33203125" customWidth="1"/>
    <col min="4" max="4" width="20.21875" customWidth="1"/>
    <col min="5" max="5" width="11.77734375" bestFit="1" customWidth="1"/>
    <col min="6" max="6" width="12.77734375" customWidth="1"/>
    <col min="7" max="7" width="16.77734375" customWidth="1"/>
    <col min="8" max="8" width="13.33203125" customWidth="1"/>
    <col min="9" max="13" width="18.88671875" customWidth="1"/>
    <col min="16" max="16" width="14" customWidth="1"/>
    <col min="17" max="17" width="17" customWidth="1"/>
  </cols>
  <sheetData>
    <row r="1" spans="1:17" x14ac:dyDescent="0.3">
      <c r="A1" s="6" t="s">
        <v>30</v>
      </c>
      <c r="B1" s="6" t="s">
        <v>26</v>
      </c>
      <c r="C1" t="s">
        <v>0</v>
      </c>
      <c r="D1" t="s">
        <v>1</v>
      </c>
      <c r="E1" t="s">
        <v>2</v>
      </c>
      <c r="F1" t="s">
        <v>5</v>
      </c>
      <c r="G1" t="s">
        <v>3</v>
      </c>
      <c r="H1" t="s">
        <v>4</v>
      </c>
      <c r="I1" t="s">
        <v>25</v>
      </c>
      <c r="J1" t="s">
        <v>39</v>
      </c>
      <c r="K1" t="s">
        <v>40</v>
      </c>
      <c r="L1" t="s">
        <v>41</v>
      </c>
      <c r="M1" t="s">
        <v>56</v>
      </c>
      <c r="P1" s="17" t="s">
        <v>31</v>
      </c>
      <c r="Q1" s="18"/>
    </row>
    <row r="2" spans="1:17" x14ac:dyDescent="0.3">
      <c r="A2" s="6">
        <v>1</v>
      </c>
      <c r="B2" s="6" t="s">
        <v>27</v>
      </c>
      <c r="C2" s="1">
        <v>45488</v>
      </c>
      <c r="D2" t="s">
        <v>6</v>
      </c>
      <c r="E2" s="20">
        <v>15482</v>
      </c>
      <c r="F2" s="6">
        <v>86</v>
      </c>
      <c r="G2" t="s">
        <v>17</v>
      </c>
      <c r="H2" t="s">
        <v>21</v>
      </c>
      <c r="I2" s="20">
        <f>Origen!$F2*Origen!$E2</f>
        <v>1331452</v>
      </c>
      <c r="J2" s="6">
        <f>VLOOKUP(A:A,Anexos!A:B,2,0)</f>
        <v>2024</v>
      </c>
      <c r="K2" s="6">
        <f>_xlfn.XLOOKUP(A:A,Anexos!A:A,Anexos!C:C,"No se encuentra",0)</f>
        <v>7</v>
      </c>
      <c r="L2" s="21" t="str">
        <f>VLOOKUP(A:A,Anexos!A:E,5,0)</f>
        <v>lunes</v>
      </c>
      <c r="M2" s="21" t="str">
        <f>VLOOKUP(A:A,Anexos!A:F,6,0)</f>
        <v>julio</v>
      </c>
      <c r="P2" s="2" t="s">
        <v>32</v>
      </c>
      <c r="Q2" s="3">
        <f>SUM(Base1[Total_Ventas])</f>
        <v>398281977</v>
      </c>
    </row>
    <row r="3" spans="1:17" x14ac:dyDescent="0.3">
      <c r="A3" s="6">
        <v>2</v>
      </c>
      <c r="B3" s="6" t="s">
        <v>28</v>
      </c>
      <c r="C3" s="1">
        <v>45311</v>
      </c>
      <c r="D3" t="s">
        <v>7</v>
      </c>
      <c r="E3" s="20">
        <v>19159</v>
      </c>
      <c r="F3" s="6">
        <v>30</v>
      </c>
      <c r="G3" t="s">
        <v>18</v>
      </c>
      <c r="H3" t="s">
        <v>22</v>
      </c>
      <c r="I3" s="20">
        <f>Origen!$F3*Origen!$E3</f>
        <v>574770</v>
      </c>
      <c r="J3" s="6">
        <f>VLOOKUP(A:A,Anexos!A:B,2,0)</f>
        <v>2024</v>
      </c>
      <c r="K3" s="6">
        <f>_xlfn.XLOOKUP(A:A,Anexos!A:A,Anexos!C:C,"No se encuentra",0)</f>
        <v>1</v>
      </c>
      <c r="L3" s="21" t="str">
        <f>VLOOKUP(A:A,Anexos!A:E,5,0)</f>
        <v>sábado</v>
      </c>
      <c r="M3" s="21" t="str">
        <f>VLOOKUP(A:A,Anexos!A:F,6,0)</f>
        <v>enero</v>
      </c>
      <c r="P3" s="2" t="s">
        <v>33</v>
      </c>
      <c r="Q3" s="4">
        <f>AVERAGE(Base1[Total_Ventas])</f>
        <v>926237.15581395349</v>
      </c>
    </row>
    <row r="4" spans="1:17" x14ac:dyDescent="0.3">
      <c r="A4" s="6">
        <v>3</v>
      </c>
      <c r="B4" s="6" t="s">
        <v>29</v>
      </c>
      <c r="C4" s="1">
        <v>45141</v>
      </c>
      <c r="D4" t="s">
        <v>8</v>
      </c>
      <c r="E4" s="20">
        <v>17523</v>
      </c>
      <c r="F4" s="6">
        <v>64</v>
      </c>
      <c r="G4" t="s">
        <v>19</v>
      </c>
      <c r="H4" t="s">
        <v>23</v>
      </c>
      <c r="I4" s="20">
        <f>Origen!$F4*Origen!$E4</f>
        <v>1121472</v>
      </c>
      <c r="J4" s="6">
        <f>VLOOKUP(A:A,Anexos!A:B,2,0)</f>
        <v>2023</v>
      </c>
      <c r="K4" s="6">
        <f>_xlfn.XLOOKUP(A:A,Anexos!A:A,Anexos!C:C,"No se encuentra",0)</f>
        <v>8</v>
      </c>
      <c r="L4" s="21" t="str">
        <f>VLOOKUP(A:A,Anexos!A:E,5,0)</f>
        <v>jueves</v>
      </c>
      <c r="M4" s="21" t="str">
        <f>VLOOKUP(A:A,Anexos!A:F,6,0)</f>
        <v>agosto</v>
      </c>
      <c r="P4" s="2" t="s">
        <v>34</v>
      </c>
      <c r="Q4" s="4">
        <f>MAX(Base1[Total_Ventas])</f>
        <v>1947300</v>
      </c>
    </row>
    <row r="5" spans="1:17" x14ac:dyDescent="0.3">
      <c r="A5" s="6">
        <v>4</v>
      </c>
      <c r="B5" s="6" t="s">
        <v>27</v>
      </c>
      <c r="C5" s="1">
        <v>45302</v>
      </c>
      <c r="D5" t="s">
        <v>9</v>
      </c>
      <c r="E5" s="20">
        <v>19473</v>
      </c>
      <c r="F5" s="6">
        <v>98</v>
      </c>
      <c r="G5" t="s">
        <v>20</v>
      </c>
      <c r="H5" t="s">
        <v>24</v>
      </c>
      <c r="I5" s="20">
        <f>Origen!$F5*Origen!$E5</f>
        <v>1908354</v>
      </c>
      <c r="J5" s="6">
        <f>VLOOKUP(A:A,Anexos!A:B,2,0)</f>
        <v>2024</v>
      </c>
      <c r="K5" s="6">
        <f>_xlfn.XLOOKUP(A:A,Anexos!A:A,Anexos!C:C,"No se encuentra",0)</f>
        <v>1</v>
      </c>
      <c r="L5" s="21" t="str">
        <f>VLOOKUP(A:A,Anexos!A:E,5,0)</f>
        <v>jueves</v>
      </c>
      <c r="M5" s="21" t="str">
        <f>VLOOKUP(A:A,Anexos!A:F,6,0)</f>
        <v>enero</v>
      </c>
      <c r="P5" s="2" t="s">
        <v>35</v>
      </c>
      <c r="Q5" s="5">
        <f>MIN(Base1[Total_Ventas])</f>
        <v>142710</v>
      </c>
    </row>
    <row r="6" spans="1:17" x14ac:dyDescent="0.3">
      <c r="A6" s="6">
        <v>5</v>
      </c>
      <c r="B6" s="6" t="s">
        <v>28</v>
      </c>
      <c r="C6" s="1">
        <v>45939</v>
      </c>
      <c r="D6" t="s">
        <v>10</v>
      </c>
      <c r="E6" s="20">
        <v>18811</v>
      </c>
      <c r="F6" s="6">
        <v>32</v>
      </c>
      <c r="G6" t="s">
        <v>17</v>
      </c>
      <c r="H6" t="s">
        <v>21</v>
      </c>
      <c r="I6" s="20">
        <f>Origen!$F6*Origen!$E6</f>
        <v>601952</v>
      </c>
      <c r="J6" s="6">
        <f>VLOOKUP(A:A,Anexos!A:B,2,0)</f>
        <v>2025</v>
      </c>
      <c r="K6" s="6">
        <f>_xlfn.XLOOKUP(A:A,Anexos!A:A,Anexos!C:C,"No se encuentra",0)</f>
        <v>10</v>
      </c>
      <c r="L6" s="21" t="str">
        <f>VLOOKUP(A:A,Anexos!A:E,5,0)</f>
        <v>jueves</v>
      </c>
      <c r="M6" s="21" t="str">
        <f>VLOOKUP(A:A,Anexos!A:F,6,0)</f>
        <v>octubre</v>
      </c>
      <c r="P6" s="2" t="s">
        <v>36</v>
      </c>
      <c r="Q6" s="5">
        <f>MEDIAN(Base1[Total_Ventas])</f>
        <v>943144</v>
      </c>
    </row>
    <row r="7" spans="1:17" x14ac:dyDescent="0.3">
      <c r="A7" s="6">
        <v>6</v>
      </c>
      <c r="B7" s="6" t="s">
        <v>29</v>
      </c>
      <c r="C7" s="1">
        <v>45740</v>
      </c>
      <c r="D7" t="s">
        <v>11</v>
      </c>
      <c r="E7" s="20">
        <v>19176</v>
      </c>
      <c r="F7" s="6">
        <v>49</v>
      </c>
      <c r="G7" t="s">
        <v>18</v>
      </c>
      <c r="H7" t="s">
        <v>22</v>
      </c>
      <c r="I7" s="20">
        <f>Origen!$F7*Origen!$E7</f>
        <v>939624</v>
      </c>
      <c r="J7" s="6">
        <f>VLOOKUP(A:A,Anexos!A:B,2,0)</f>
        <v>2025</v>
      </c>
      <c r="K7" s="6">
        <f>_xlfn.XLOOKUP(A:A,Anexos!A:A,Anexos!C:C,"No se encuentra",0)</f>
        <v>3</v>
      </c>
      <c r="L7" s="21" t="str">
        <f>VLOOKUP(A:A,Anexos!A:E,5,0)</f>
        <v>lunes</v>
      </c>
      <c r="M7" s="21" t="str">
        <f>VLOOKUP(A:A,Anexos!A:F,6,0)</f>
        <v>marzo</v>
      </c>
      <c r="P7" s="2" t="s">
        <v>37</v>
      </c>
      <c r="Q7" s="5">
        <f>_xlfn.MODE.SNGL(Base1[Total_Ventas])</f>
        <v>939624</v>
      </c>
    </row>
    <row r="8" spans="1:17" x14ac:dyDescent="0.3">
      <c r="A8" s="6">
        <v>7</v>
      </c>
      <c r="B8" s="6" t="s">
        <v>27</v>
      </c>
      <c r="C8" s="1">
        <v>45794</v>
      </c>
      <c r="D8" t="s">
        <v>12</v>
      </c>
      <c r="E8" s="20">
        <v>18185</v>
      </c>
      <c r="F8" s="6">
        <v>76</v>
      </c>
      <c r="G8" t="s">
        <v>19</v>
      </c>
      <c r="H8" t="s">
        <v>23</v>
      </c>
      <c r="I8" s="20">
        <f>Origen!$F8*Origen!$E8</f>
        <v>1382060</v>
      </c>
      <c r="J8" s="6">
        <f>VLOOKUP(A:A,Anexos!A:B,2,0)</f>
        <v>2025</v>
      </c>
      <c r="K8" s="6">
        <f>_xlfn.XLOOKUP(A:A,Anexos!A:A,Anexos!C:C,"No se encuentra",0)</f>
        <v>5</v>
      </c>
      <c r="L8" s="21" t="str">
        <f>VLOOKUP(A:A,Anexos!A:E,5,0)</f>
        <v>sábado</v>
      </c>
      <c r="M8" s="21" t="str">
        <f>VLOOKUP(A:A,Anexos!A:F,6,0)</f>
        <v>mayo</v>
      </c>
      <c r="P8" s="2" t="s">
        <v>38</v>
      </c>
      <c r="Q8" s="2">
        <f>COUNT(Base1[Total_Ventas])</f>
        <v>430</v>
      </c>
    </row>
    <row r="9" spans="1:17" x14ac:dyDescent="0.3">
      <c r="A9" s="6">
        <v>8</v>
      </c>
      <c r="B9" s="6" t="s">
        <v>28</v>
      </c>
      <c r="C9" s="1">
        <v>45028</v>
      </c>
      <c r="D9" t="s">
        <v>13</v>
      </c>
      <c r="E9" s="20">
        <v>15045</v>
      </c>
      <c r="F9" s="6">
        <v>65</v>
      </c>
      <c r="G9" t="s">
        <v>20</v>
      </c>
      <c r="H9" t="s">
        <v>24</v>
      </c>
      <c r="I9" s="20">
        <f>Origen!$F9*Origen!$E9</f>
        <v>977925</v>
      </c>
      <c r="J9" s="6">
        <f>VLOOKUP(A:A,Anexos!A:B,2,0)</f>
        <v>2023</v>
      </c>
      <c r="K9" s="6">
        <f>_xlfn.XLOOKUP(A:A,Anexos!A:A,Anexos!C:C,"No se encuentra",0)</f>
        <v>4</v>
      </c>
      <c r="L9" s="21" t="str">
        <f>VLOOKUP(A:A,Anexos!A:E,5,0)</f>
        <v>miércoles</v>
      </c>
      <c r="M9" s="21" t="str">
        <f>VLOOKUP(A:A,Anexos!A:F,6,0)</f>
        <v>abril</v>
      </c>
    </row>
    <row r="10" spans="1:17" x14ac:dyDescent="0.3">
      <c r="A10" s="6">
        <v>9</v>
      </c>
      <c r="B10" s="6" t="s">
        <v>29</v>
      </c>
      <c r="C10" s="1">
        <v>45969</v>
      </c>
      <c r="D10" t="s">
        <v>14</v>
      </c>
      <c r="E10" s="20">
        <v>14271</v>
      </c>
      <c r="F10" s="6">
        <v>51</v>
      </c>
      <c r="G10" t="s">
        <v>17</v>
      </c>
      <c r="H10" t="s">
        <v>21</v>
      </c>
      <c r="I10" s="20">
        <f>Origen!$F10*Origen!$E10</f>
        <v>727821</v>
      </c>
      <c r="J10" s="6">
        <f>VLOOKUP(A:A,Anexos!A:B,2,0)</f>
        <v>2025</v>
      </c>
      <c r="K10" s="6">
        <f>_xlfn.XLOOKUP(A:A,Anexos!A:A,Anexos!C:C,"No se encuentra",0)</f>
        <v>11</v>
      </c>
      <c r="L10" s="21" t="str">
        <f>VLOOKUP(A:A,Anexos!A:E,5,0)</f>
        <v>sábado</v>
      </c>
      <c r="M10" s="21" t="str">
        <f>VLOOKUP(A:A,Anexos!A:F,6,0)</f>
        <v>noviembre</v>
      </c>
    </row>
    <row r="11" spans="1:17" x14ac:dyDescent="0.3">
      <c r="A11" s="6">
        <v>10</v>
      </c>
      <c r="B11" s="6" t="s">
        <v>27</v>
      </c>
      <c r="C11" s="1">
        <v>45954</v>
      </c>
      <c r="D11" t="s">
        <v>15</v>
      </c>
      <c r="E11" s="20">
        <v>12361</v>
      </c>
      <c r="F11" s="6">
        <v>42</v>
      </c>
      <c r="G11" t="s">
        <v>18</v>
      </c>
      <c r="H11" t="s">
        <v>22</v>
      </c>
      <c r="I11" s="20">
        <f>Origen!$F11*Origen!$E11</f>
        <v>519162</v>
      </c>
      <c r="J11" s="6">
        <f>VLOOKUP(A:A,Anexos!A:B,2,0)</f>
        <v>2025</v>
      </c>
      <c r="K11" s="6">
        <f>_xlfn.XLOOKUP(A:A,Anexos!A:A,Anexos!C:C,"No se encuentra",0)</f>
        <v>10</v>
      </c>
      <c r="L11" s="21" t="str">
        <f>VLOOKUP(A:A,Anexos!A:E,5,0)</f>
        <v>viernes</v>
      </c>
      <c r="M11" s="21" t="str">
        <f>VLOOKUP(A:A,Anexos!A:F,6,0)</f>
        <v>octubre</v>
      </c>
    </row>
    <row r="12" spans="1:17" x14ac:dyDescent="0.3">
      <c r="A12" s="6">
        <v>11</v>
      </c>
      <c r="B12" s="6" t="s">
        <v>28</v>
      </c>
      <c r="C12" s="1">
        <v>45342</v>
      </c>
      <c r="D12" t="s">
        <v>16</v>
      </c>
      <c r="E12" s="20">
        <v>14933</v>
      </c>
      <c r="F12" s="6">
        <v>63</v>
      </c>
      <c r="G12" t="s">
        <v>19</v>
      </c>
      <c r="H12" t="s">
        <v>23</v>
      </c>
      <c r="I12" s="20">
        <f>Origen!$F12*Origen!$E12</f>
        <v>940779</v>
      </c>
      <c r="J12" s="6">
        <f>VLOOKUP(A:A,Anexos!A:B,2,0)</f>
        <v>2024</v>
      </c>
      <c r="K12" s="6">
        <f>_xlfn.XLOOKUP(A:A,Anexos!A:A,Anexos!C:C,"No se encuentra",0)</f>
        <v>2</v>
      </c>
      <c r="L12" s="21" t="str">
        <f>VLOOKUP(A:A,Anexos!A:E,5,0)</f>
        <v>martes</v>
      </c>
      <c r="M12" s="21" t="str">
        <f>VLOOKUP(A:A,Anexos!A:F,6,0)</f>
        <v>febrero</v>
      </c>
    </row>
    <row r="13" spans="1:17" x14ac:dyDescent="0.3">
      <c r="A13" s="6">
        <v>12</v>
      </c>
      <c r="B13" s="6" t="s">
        <v>29</v>
      </c>
      <c r="C13" s="1">
        <v>45346</v>
      </c>
      <c r="D13" t="s">
        <v>6</v>
      </c>
      <c r="E13" s="20">
        <v>15482</v>
      </c>
      <c r="F13" s="6">
        <v>86</v>
      </c>
      <c r="G13" t="s">
        <v>20</v>
      </c>
      <c r="H13" t="s">
        <v>24</v>
      </c>
      <c r="I13" s="20">
        <f>Origen!$F13*Origen!$E13</f>
        <v>1331452</v>
      </c>
      <c r="J13" s="6">
        <f>VLOOKUP(A:A,Anexos!A:B,2,0)</f>
        <v>2024</v>
      </c>
      <c r="K13" s="6">
        <f>_xlfn.XLOOKUP(A:A,Anexos!A:A,Anexos!C:C,"No se encuentra",0)</f>
        <v>2</v>
      </c>
      <c r="L13" s="21" t="str">
        <f>VLOOKUP(A:A,Anexos!A:E,5,0)</f>
        <v>sábado</v>
      </c>
      <c r="M13" s="21" t="str">
        <f>VLOOKUP(A:A,Anexos!A:F,6,0)</f>
        <v>febrero</v>
      </c>
    </row>
    <row r="14" spans="1:17" x14ac:dyDescent="0.3">
      <c r="A14" s="6">
        <v>13</v>
      </c>
      <c r="B14" s="6" t="s">
        <v>27</v>
      </c>
      <c r="C14" s="1">
        <v>45579</v>
      </c>
      <c r="D14" t="s">
        <v>7</v>
      </c>
      <c r="E14" s="20">
        <v>19159</v>
      </c>
      <c r="F14" s="6">
        <v>97</v>
      </c>
      <c r="G14" t="s">
        <v>17</v>
      </c>
      <c r="H14" t="s">
        <v>21</v>
      </c>
      <c r="I14" s="20">
        <f>Origen!$F14*Origen!$E14</f>
        <v>1858423</v>
      </c>
      <c r="J14" s="6">
        <f>VLOOKUP(A:A,Anexos!A:B,2,0)</f>
        <v>2024</v>
      </c>
      <c r="K14" s="6">
        <f>_xlfn.XLOOKUP(A:A,Anexos!A:A,Anexos!C:C,"No se encuentra",0)</f>
        <v>10</v>
      </c>
      <c r="L14" s="21" t="str">
        <f>VLOOKUP(A:A,Anexos!A:E,5,0)</f>
        <v>lunes</v>
      </c>
      <c r="M14" s="21" t="str">
        <f>VLOOKUP(A:A,Anexos!A:F,6,0)</f>
        <v>octubre</v>
      </c>
    </row>
    <row r="15" spans="1:17" x14ac:dyDescent="0.3">
      <c r="A15" s="6">
        <v>14</v>
      </c>
      <c r="B15" s="6" t="s">
        <v>28</v>
      </c>
      <c r="C15" s="1">
        <v>45664</v>
      </c>
      <c r="D15" t="s">
        <v>8</v>
      </c>
      <c r="E15" s="20">
        <v>17523</v>
      </c>
      <c r="F15" s="6">
        <v>88</v>
      </c>
      <c r="G15" t="s">
        <v>18</v>
      </c>
      <c r="H15" t="s">
        <v>22</v>
      </c>
      <c r="I15" s="20">
        <f>Origen!$F15*Origen!$E15</f>
        <v>1542024</v>
      </c>
      <c r="J15" s="6">
        <f>VLOOKUP(A:A,Anexos!A:B,2,0)</f>
        <v>2025</v>
      </c>
      <c r="K15" s="6">
        <f>_xlfn.XLOOKUP(A:A,Anexos!A:A,Anexos!C:C,"No se encuentra",0)</f>
        <v>1</v>
      </c>
      <c r="L15" s="21" t="str">
        <f>VLOOKUP(A:A,Anexos!A:E,5,0)</f>
        <v>martes</v>
      </c>
      <c r="M15" s="21" t="str">
        <f>VLOOKUP(A:A,Anexos!A:F,6,0)</f>
        <v>enero</v>
      </c>
    </row>
    <row r="16" spans="1:17" x14ac:dyDescent="0.3">
      <c r="A16" s="6">
        <v>15</v>
      </c>
      <c r="B16" s="6" t="s">
        <v>29</v>
      </c>
      <c r="C16" s="1">
        <v>45907</v>
      </c>
      <c r="D16" t="s">
        <v>9</v>
      </c>
      <c r="E16" s="20">
        <v>19473</v>
      </c>
      <c r="F16" s="6">
        <v>27</v>
      </c>
      <c r="G16" t="s">
        <v>19</v>
      </c>
      <c r="H16" t="s">
        <v>23</v>
      </c>
      <c r="I16" s="20">
        <f>Origen!$F16*Origen!$E16</f>
        <v>525771</v>
      </c>
      <c r="J16" s="6">
        <f>VLOOKUP(A:A,Anexos!A:B,2,0)</f>
        <v>2025</v>
      </c>
      <c r="K16" s="6">
        <f>_xlfn.XLOOKUP(A:A,Anexos!A:A,Anexos!C:C,"No se encuentra",0)</f>
        <v>9</v>
      </c>
      <c r="L16" s="21" t="str">
        <f>VLOOKUP(A:A,Anexos!A:E,5,0)</f>
        <v>domingo</v>
      </c>
      <c r="M16" s="21" t="str">
        <f>VLOOKUP(A:A,Anexos!A:F,6,0)</f>
        <v>septiembre</v>
      </c>
    </row>
    <row r="17" spans="1:13" x14ac:dyDescent="0.3">
      <c r="A17" s="6">
        <v>16</v>
      </c>
      <c r="B17" s="6" t="s">
        <v>27</v>
      </c>
      <c r="C17" s="1">
        <v>45502</v>
      </c>
      <c r="D17" t="s">
        <v>10</v>
      </c>
      <c r="E17" s="20">
        <v>18811</v>
      </c>
      <c r="F17" s="6">
        <v>57</v>
      </c>
      <c r="G17" t="s">
        <v>17</v>
      </c>
      <c r="H17" t="s">
        <v>24</v>
      </c>
      <c r="I17" s="20">
        <f>Origen!$F17*Origen!$E17</f>
        <v>1072227</v>
      </c>
      <c r="J17" s="6">
        <f>VLOOKUP(A:A,Anexos!A:B,2,0)</f>
        <v>2024</v>
      </c>
      <c r="K17" s="6">
        <f>_xlfn.XLOOKUP(A:A,Anexos!A:A,Anexos!C:C,"No se encuentra",0)</f>
        <v>7</v>
      </c>
      <c r="L17" s="21" t="str">
        <f>VLOOKUP(A:A,Anexos!A:E,5,0)</f>
        <v>lunes</v>
      </c>
      <c r="M17" s="21" t="str">
        <f>VLOOKUP(A:A,Anexos!A:F,6,0)</f>
        <v>julio</v>
      </c>
    </row>
    <row r="18" spans="1:13" x14ac:dyDescent="0.3">
      <c r="A18" s="6">
        <v>17</v>
      </c>
      <c r="B18" s="6" t="s">
        <v>28</v>
      </c>
      <c r="C18" s="1">
        <v>45023</v>
      </c>
      <c r="D18" t="s">
        <v>11</v>
      </c>
      <c r="E18" s="20">
        <v>19176</v>
      </c>
      <c r="F18" s="6">
        <v>58</v>
      </c>
      <c r="G18" t="s">
        <v>18</v>
      </c>
      <c r="H18" t="s">
        <v>21</v>
      </c>
      <c r="I18" s="20">
        <f>Origen!$F18*Origen!$E18</f>
        <v>1112208</v>
      </c>
      <c r="J18" s="6">
        <f>VLOOKUP(A:A,Anexos!A:B,2,0)</f>
        <v>2023</v>
      </c>
      <c r="K18" s="6">
        <f>_xlfn.XLOOKUP(A:A,Anexos!A:A,Anexos!C:C,"No se encuentra",0)</f>
        <v>4</v>
      </c>
      <c r="L18" s="21" t="str">
        <f>VLOOKUP(A:A,Anexos!A:E,5,0)</f>
        <v>viernes</v>
      </c>
      <c r="M18" s="21" t="str">
        <f>VLOOKUP(A:A,Anexos!A:F,6,0)</f>
        <v>abril</v>
      </c>
    </row>
    <row r="19" spans="1:13" x14ac:dyDescent="0.3">
      <c r="A19" s="6">
        <v>18</v>
      </c>
      <c r="B19" s="6" t="s">
        <v>29</v>
      </c>
      <c r="C19" s="1">
        <v>45211</v>
      </c>
      <c r="D19" t="s">
        <v>12</v>
      </c>
      <c r="E19" s="20">
        <v>18185</v>
      </c>
      <c r="F19" s="6">
        <v>70</v>
      </c>
      <c r="G19" t="s">
        <v>19</v>
      </c>
      <c r="H19" t="s">
        <v>22</v>
      </c>
      <c r="I19" s="20">
        <f>Origen!$F19*Origen!$E19</f>
        <v>1272950</v>
      </c>
      <c r="J19" s="6">
        <f>VLOOKUP(A:A,Anexos!A:B,2,0)</f>
        <v>2023</v>
      </c>
      <c r="K19" s="6">
        <f>_xlfn.XLOOKUP(A:A,Anexos!A:A,Anexos!C:C,"No se encuentra",0)</f>
        <v>10</v>
      </c>
      <c r="L19" s="21" t="str">
        <f>VLOOKUP(A:A,Anexos!A:E,5,0)</f>
        <v>jueves</v>
      </c>
      <c r="M19" s="21" t="str">
        <f>VLOOKUP(A:A,Anexos!A:F,6,0)</f>
        <v>octubre</v>
      </c>
    </row>
    <row r="20" spans="1:13" x14ac:dyDescent="0.3">
      <c r="A20" s="6">
        <v>19</v>
      </c>
      <c r="B20" s="6" t="s">
        <v>27</v>
      </c>
      <c r="C20" s="1">
        <v>45425</v>
      </c>
      <c r="D20" t="s">
        <v>13</v>
      </c>
      <c r="E20" s="20">
        <v>15045</v>
      </c>
      <c r="F20" s="6">
        <v>88</v>
      </c>
      <c r="G20" t="s">
        <v>20</v>
      </c>
      <c r="H20" t="s">
        <v>23</v>
      </c>
      <c r="I20" s="20">
        <f>Origen!$F20*Origen!$E20</f>
        <v>1323960</v>
      </c>
      <c r="J20" s="6">
        <f>VLOOKUP(A:A,Anexos!A:B,2,0)</f>
        <v>2024</v>
      </c>
      <c r="K20" s="6">
        <f>_xlfn.XLOOKUP(A:A,Anexos!A:A,Anexos!C:C,"No se encuentra",0)</f>
        <v>5</v>
      </c>
      <c r="L20" s="21" t="str">
        <f>VLOOKUP(A:A,Anexos!A:E,5,0)</f>
        <v>lunes</v>
      </c>
      <c r="M20" s="21" t="str">
        <f>VLOOKUP(A:A,Anexos!A:F,6,0)</f>
        <v>mayo</v>
      </c>
    </row>
    <row r="21" spans="1:13" x14ac:dyDescent="0.3">
      <c r="A21" s="6">
        <v>20</v>
      </c>
      <c r="B21" s="6" t="s">
        <v>28</v>
      </c>
      <c r="C21" s="1">
        <v>46010</v>
      </c>
      <c r="D21" t="s">
        <v>14</v>
      </c>
      <c r="E21" s="20">
        <v>14271</v>
      </c>
      <c r="F21" s="6">
        <v>93</v>
      </c>
      <c r="G21" t="s">
        <v>17</v>
      </c>
      <c r="H21" t="s">
        <v>24</v>
      </c>
      <c r="I21" s="20">
        <f>Origen!$F21*Origen!$E21</f>
        <v>1327203</v>
      </c>
      <c r="J21" s="6">
        <f>VLOOKUP(A:A,Anexos!A:B,2,0)</f>
        <v>2025</v>
      </c>
      <c r="K21" s="6">
        <f>_xlfn.XLOOKUP(A:A,Anexos!A:A,Anexos!C:C,"No se encuentra",0)</f>
        <v>12</v>
      </c>
      <c r="L21" s="21" t="str">
        <f>VLOOKUP(A:A,Anexos!A:E,5,0)</f>
        <v>viernes</v>
      </c>
      <c r="M21" s="21" t="str">
        <f>VLOOKUP(A:A,Anexos!A:F,6,0)</f>
        <v>diciembre</v>
      </c>
    </row>
    <row r="22" spans="1:13" x14ac:dyDescent="0.3">
      <c r="A22" s="6">
        <v>21</v>
      </c>
      <c r="B22" s="6" t="s">
        <v>29</v>
      </c>
      <c r="C22" s="1">
        <v>45586</v>
      </c>
      <c r="D22" t="s">
        <v>15</v>
      </c>
      <c r="E22" s="20">
        <v>12361</v>
      </c>
      <c r="F22" s="6">
        <v>58</v>
      </c>
      <c r="G22" t="s">
        <v>18</v>
      </c>
      <c r="H22" t="s">
        <v>21</v>
      </c>
      <c r="I22" s="20">
        <f>Origen!$F22*Origen!$E22</f>
        <v>716938</v>
      </c>
      <c r="J22" s="6">
        <f>VLOOKUP(A:A,Anexos!A:B,2,0)</f>
        <v>2024</v>
      </c>
      <c r="K22" s="6">
        <f>_xlfn.XLOOKUP(A:A,Anexos!A:A,Anexos!C:C,"No se encuentra",0)</f>
        <v>10</v>
      </c>
      <c r="L22" s="21" t="str">
        <f>VLOOKUP(A:A,Anexos!A:E,5,0)</f>
        <v>lunes</v>
      </c>
      <c r="M22" s="21" t="str">
        <f>VLOOKUP(A:A,Anexos!A:F,6,0)</f>
        <v>octubre</v>
      </c>
    </row>
    <row r="23" spans="1:13" x14ac:dyDescent="0.3">
      <c r="A23" s="6">
        <v>22</v>
      </c>
      <c r="B23" s="6" t="s">
        <v>27</v>
      </c>
      <c r="C23" s="1">
        <v>45796</v>
      </c>
      <c r="D23" t="s">
        <v>16</v>
      </c>
      <c r="E23" s="20">
        <v>14933</v>
      </c>
      <c r="F23" s="6">
        <v>62</v>
      </c>
      <c r="G23" t="s">
        <v>19</v>
      </c>
      <c r="H23" t="s">
        <v>22</v>
      </c>
      <c r="I23" s="20">
        <f>Origen!$F23*Origen!$E23</f>
        <v>925846</v>
      </c>
      <c r="J23" s="6">
        <f>VLOOKUP(A:A,Anexos!A:B,2,0)</f>
        <v>2025</v>
      </c>
      <c r="K23" s="6">
        <f>_xlfn.XLOOKUP(A:A,Anexos!A:A,Anexos!C:C,"No se encuentra",0)</f>
        <v>5</v>
      </c>
      <c r="L23" s="21" t="str">
        <f>VLOOKUP(A:A,Anexos!A:E,5,0)</f>
        <v>lunes</v>
      </c>
      <c r="M23" s="21" t="str">
        <f>VLOOKUP(A:A,Anexos!A:F,6,0)</f>
        <v>mayo</v>
      </c>
    </row>
    <row r="24" spans="1:13" x14ac:dyDescent="0.3">
      <c r="A24" s="6">
        <v>23</v>
      </c>
      <c r="B24" s="6" t="s">
        <v>28</v>
      </c>
      <c r="C24" s="1">
        <v>45812</v>
      </c>
      <c r="D24" t="s">
        <v>11</v>
      </c>
      <c r="E24" s="20">
        <v>19176</v>
      </c>
      <c r="F24" s="6">
        <v>20</v>
      </c>
      <c r="G24" t="s">
        <v>20</v>
      </c>
      <c r="H24" t="s">
        <v>23</v>
      </c>
      <c r="I24" s="20">
        <f>Origen!$F24*Origen!$E24</f>
        <v>383520</v>
      </c>
      <c r="J24" s="6">
        <f>VLOOKUP(A:A,Anexos!A:B,2,0)</f>
        <v>2025</v>
      </c>
      <c r="K24" s="6">
        <f>_xlfn.XLOOKUP(A:A,Anexos!A:A,Anexos!C:C,"No se encuentra",0)</f>
        <v>6</v>
      </c>
      <c r="L24" s="21" t="str">
        <f>VLOOKUP(A:A,Anexos!A:E,5,0)</f>
        <v>miércoles</v>
      </c>
      <c r="M24" s="21" t="str">
        <f>VLOOKUP(A:A,Anexos!A:F,6,0)</f>
        <v>junio</v>
      </c>
    </row>
    <row r="25" spans="1:13" x14ac:dyDescent="0.3">
      <c r="A25" s="6">
        <v>24</v>
      </c>
      <c r="B25" s="6" t="s">
        <v>29</v>
      </c>
      <c r="C25" s="1">
        <v>45789</v>
      </c>
      <c r="D25" t="s">
        <v>12</v>
      </c>
      <c r="E25" s="20">
        <v>18185</v>
      </c>
      <c r="F25" s="6">
        <v>53</v>
      </c>
      <c r="G25" t="s">
        <v>17</v>
      </c>
      <c r="H25" t="s">
        <v>24</v>
      </c>
      <c r="I25" s="20">
        <f>Origen!$F25*Origen!$E25</f>
        <v>963805</v>
      </c>
      <c r="J25" s="6">
        <f>VLOOKUP(A:A,Anexos!A:B,2,0)</f>
        <v>2025</v>
      </c>
      <c r="K25" s="6">
        <f>_xlfn.XLOOKUP(A:A,Anexos!A:A,Anexos!C:C,"No se encuentra",0)</f>
        <v>5</v>
      </c>
      <c r="L25" s="21" t="str">
        <f>VLOOKUP(A:A,Anexos!A:E,5,0)</f>
        <v>lunes</v>
      </c>
      <c r="M25" s="21" t="str">
        <f>VLOOKUP(A:A,Anexos!A:F,6,0)</f>
        <v>mayo</v>
      </c>
    </row>
    <row r="26" spans="1:13" x14ac:dyDescent="0.3">
      <c r="A26" s="6">
        <v>25</v>
      </c>
      <c r="B26" s="6" t="s">
        <v>27</v>
      </c>
      <c r="C26" s="1">
        <v>45258</v>
      </c>
      <c r="D26" t="s">
        <v>13</v>
      </c>
      <c r="E26" s="20">
        <v>15045</v>
      </c>
      <c r="F26" s="6">
        <v>22</v>
      </c>
      <c r="G26" t="s">
        <v>18</v>
      </c>
      <c r="H26" t="s">
        <v>21</v>
      </c>
      <c r="I26" s="20">
        <f>Origen!$F26*Origen!$E26</f>
        <v>330990</v>
      </c>
      <c r="J26" s="6">
        <f>VLOOKUP(A:A,Anexos!A:B,2,0)</f>
        <v>2023</v>
      </c>
      <c r="K26" s="6">
        <f>_xlfn.XLOOKUP(A:A,Anexos!A:A,Anexos!C:C,"No se encuentra",0)</f>
        <v>11</v>
      </c>
      <c r="L26" s="21" t="str">
        <f>VLOOKUP(A:A,Anexos!A:E,5,0)</f>
        <v>martes</v>
      </c>
      <c r="M26" s="21" t="str">
        <f>VLOOKUP(A:A,Anexos!A:F,6,0)</f>
        <v>noviembre</v>
      </c>
    </row>
    <row r="27" spans="1:13" x14ac:dyDescent="0.3">
      <c r="A27" s="6">
        <v>26</v>
      </c>
      <c r="B27" s="6" t="s">
        <v>28</v>
      </c>
      <c r="C27" s="1">
        <v>45611</v>
      </c>
      <c r="D27" t="s">
        <v>14</v>
      </c>
      <c r="E27" s="20">
        <v>14271</v>
      </c>
      <c r="F27" s="6">
        <v>80</v>
      </c>
      <c r="G27" t="s">
        <v>19</v>
      </c>
      <c r="H27" t="s">
        <v>22</v>
      </c>
      <c r="I27" s="20">
        <f>Origen!$F27*Origen!$E27</f>
        <v>1141680</v>
      </c>
      <c r="J27" s="6">
        <f>VLOOKUP(A:A,Anexos!A:B,2,0)</f>
        <v>2024</v>
      </c>
      <c r="K27" s="6">
        <f>_xlfn.XLOOKUP(A:A,Anexos!A:A,Anexos!C:C,"No se encuentra",0)</f>
        <v>11</v>
      </c>
      <c r="L27" s="21" t="str">
        <f>VLOOKUP(A:A,Anexos!A:E,5,0)</f>
        <v>viernes</v>
      </c>
      <c r="M27" s="21" t="str">
        <f>VLOOKUP(A:A,Anexos!A:F,6,0)</f>
        <v>noviembre</v>
      </c>
    </row>
    <row r="28" spans="1:13" x14ac:dyDescent="0.3">
      <c r="A28" s="6">
        <v>27</v>
      </c>
      <c r="B28" s="6" t="s">
        <v>29</v>
      </c>
      <c r="C28" s="1">
        <v>45634</v>
      </c>
      <c r="D28" t="s">
        <v>15</v>
      </c>
      <c r="E28" s="20">
        <v>12361</v>
      </c>
      <c r="F28" s="6">
        <v>30</v>
      </c>
      <c r="G28" t="s">
        <v>20</v>
      </c>
      <c r="H28" t="s">
        <v>23</v>
      </c>
      <c r="I28" s="20">
        <f>Origen!$F28*Origen!$E28</f>
        <v>370830</v>
      </c>
      <c r="J28" s="6">
        <f>VLOOKUP(A:A,Anexos!A:B,2,0)</f>
        <v>2024</v>
      </c>
      <c r="K28" s="6">
        <f>_xlfn.XLOOKUP(A:A,Anexos!A:A,Anexos!C:C,"No se encuentra",0)</f>
        <v>12</v>
      </c>
      <c r="L28" s="21" t="str">
        <f>VLOOKUP(A:A,Anexos!A:E,5,0)</f>
        <v>domingo</v>
      </c>
      <c r="M28" s="21" t="str">
        <f>VLOOKUP(A:A,Anexos!A:F,6,0)</f>
        <v>diciembre</v>
      </c>
    </row>
    <row r="29" spans="1:13" x14ac:dyDescent="0.3">
      <c r="A29" s="6">
        <v>28</v>
      </c>
      <c r="B29" s="6" t="s">
        <v>27</v>
      </c>
      <c r="C29" s="1">
        <v>45928</v>
      </c>
      <c r="D29" t="s">
        <v>16</v>
      </c>
      <c r="E29" s="20">
        <v>14933</v>
      </c>
      <c r="F29" s="6">
        <v>41</v>
      </c>
      <c r="G29" t="s">
        <v>17</v>
      </c>
      <c r="H29" t="s">
        <v>24</v>
      </c>
      <c r="I29" s="20">
        <f>Origen!$F29*Origen!$E29</f>
        <v>612253</v>
      </c>
      <c r="J29" s="6">
        <f>VLOOKUP(A:A,Anexos!A:B,2,0)</f>
        <v>2025</v>
      </c>
      <c r="K29" s="6">
        <f>_xlfn.XLOOKUP(A:A,Anexos!A:A,Anexos!C:C,"No se encuentra",0)</f>
        <v>9</v>
      </c>
      <c r="L29" s="21" t="str">
        <f>VLOOKUP(A:A,Anexos!A:E,5,0)</f>
        <v>domingo</v>
      </c>
      <c r="M29" s="21" t="str">
        <f>VLOOKUP(A:A,Anexos!A:F,6,0)</f>
        <v>septiembre</v>
      </c>
    </row>
    <row r="30" spans="1:13" x14ac:dyDescent="0.3">
      <c r="A30" s="6">
        <v>29</v>
      </c>
      <c r="B30" s="6" t="s">
        <v>28</v>
      </c>
      <c r="C30" s="1">
        <v>45323</v>
      </c>
      <c r="D30" t="s">
        <v>6</v>
      </c>
      <c r="E30" s="20">
        <v>15482</v>
      </c>
      <c r="F30" s="6">
        <v>70</v>
      </c>
      <c r="G30" t="s">
        <v>18</v>
      </c>
      <c r="H30" t="s">
        <v>21</v>
      </c>
      <c r="I30" s="20">
        <f>Origen!$F30*Origen!$E30</f>
        <v>1083740</v>
      </c>
      <c r="J30" s="6">
        <f>VLOOKUP(A:A,Anexos!A:B,2,0)</f>
        <v>2024</v>
      </c>
      <c r="K30" s="6">
        <f>_xlfn.XLOOKUP(A:A,Anexos!A:A,Anexos!C:C,"No se encuentra",0)</f>
        <v>2</v>
      </c>
      <c r="L30" s="21" t="str">
        <f>VLOOKUP(A:A,Anexos!A:E,5,0)</f>
        <v>jueves</v>
      </c>
      <c r="M30" s="21" t="str">
        <f>VLOOKUP(A:A,Anexos!A:F,6,0)</f>
        <v>febrero</v>
      </c>
    </row>
    <row r="31" spans="1:13" x14ac:dyDescent="0.3">
      <c r="A31" s="6">
        <v>30</v>
      </c>
      <c r="B31" s="6" t="s">
        <v>29</v>
      </c>
      <c r="C31" s="1">
        <v>45883</v>
      </c>
      <c r="D31" t="s">
        <v>7</v>
      </c>
      <c r="E31" s="20">
        <v>19159</v>
      </c>
      <c r="F31" s="6">
        <v>29</v>
      </c>
      <c r="G31" t="s">
        <v>19</v>
      </c>
      <c r="H31" t="s">
        <v>22</v>
      </c>
      <c r="I31" s="20">
        <f>Origen!$F31*Origen!$E31</f>
        <v>555611</v>
      </c>
      <c r="J31" s="6">
        <f>VLOOKUP(A:A,Anexos!A:B,2,0)</f>
        <v>2025</v>
      </c>
      <c r="K31" s="6">
        <f>_xlfn.XLOOKUP(A:A,Anexos!A:A,Anexos!C:C,"No se encuentra",0)</f>
        <v>8</v>
      </c>
      <c r="L31" s="21" t="str">
        <f>VLOOKUP(A:A,Anexos!A:E,5,0)</f>
        <v>jueves</v>
      </c>
      <c r="M31" s="21" t="str">
        <f>VLOOKUP(A:A,Anexos!A:F,6,0)</f>
        <v>agosto</v>
      </c>
    </row>
    <row r="32" spans="1:13" x14ac:dyDescent="0.3">
      <c r="A32" s="6">
        <v>31</v>
      </c>
      <c r="B32" s="6" t="s">
        <v>27</v>
      </c>
      <c r="C32" s="1">
        <v>45618</v>
      </c>
      <c r="D32" t="s">
        <v>8</v>
      </c>
      <c r="E32" s="20">
        <v>17523</v>
      </c>
      <c r="F32" s="6">
        <v>72</v>
      </c>
      <c r="G32" t="s">
        <v>17</v>
      </c>
      <c r="H32" t="s">
        <v>23</v>
      </c>
      <c r="I32" s="20">
        <f>Origen!$F32*Origen!$E32</f>
        <v>1261656</v>
      </c>
      <c r="J32" s="6">
        <f>VLOOKUP(A:A,Anexos!A:B,2,0)</f>
        <v>2024</v>
      </c>
      <c r="K32" s="6">
        <f>_xlfn.XLOOKUP(A:A,Anexos!A:A,Anexos!C:C,"No se encuentra",0)</f>
        <v>11</v>
      </c>
      <c r="L32" s="21" t="str">
        <f>VLOOKUP(A:A,Anexos!A:E,5,0)</f>
        <v>viernes</v>
      </c>
      <c r="M32" s="21" t="str">
        <f>VLOOKUP(A:A,Anexos!A:F,6,0)</f>
        <v>noviembre</v>
      </c>
    </row>
    <row r="33" spans="1:13" x14ac:dyDescent="0.3">
      <c r="A33" s="6">
        <v>32</v>
      </c>
      <c r="B33" s="6" t="s">
        <v>28</v>
      </c>
      <c r="C33" s="1">
        <v>44936</v>
      </c>
      <c r="D33" t="s">
        <v>9</v>
      </c>
      <c r="E33" s="20">
        <v>19473</v>
      </c>
      <c r="F33" s="6">
        <v>48</v>
      </c>
      <c r="G33" t="s">
        <v>18</v>
      </c>
      <c r="H33" t="s">
        <v>24</v>
      </c>
      <c r="I33" s="20">
        <f>Origen!$F33*Origen!$E33</f>
        <v>934704</v>
      </c>
      <c r="J33" s="6">
        <f>VLOOKUP(A:A,Anexos!A:B,2,0)</f>
        <v>2023</v>
      </c>
      <c r="K33" s="6">
        <f>_xlfn.XLOOKUP(A:A,Anexos!A:A,Anexos!C:C,"No se encuentra",0)</f>
        <v>1</v>
      </c>
      <c r="L33" s="21" t="str">
        <f>VLOOKUP(A:A,Anexos!A:E,5,0)</f>
        <v>martes</v>
      </c>
      <c r="M33" s="21" t="str">
        <f>VLOOKUP(A:A,Anexos!A:F,6,0)</f>
        <v>enero</v>
      </c>
    </row>
    <row r="34" spans="1:13" x14ac:dyDescent="0.3">
      <c r="A34" s="6">
        <v>33</v>
      </c>
      <c r="B34" s="6" t="s">
        <v>29</v>
      </c>
      <c r="C34" s="1">
        <v>45534</v>
      </c>
      <c r="D34" t="s">
        <v>10</v>
      </c>
      <c r="E34" s="20">
        <v>18811</v>
      </c>
      <c r="F34" s="6">
        <v>15</v>
      </c>
      <c r="G34" t="s">
        <v>19</v>
      </c>
      <c r="H34" t="s">
        <v>21</v>
      </c>
      <c r="I34" s="20">
        <f>Origen!$F34*Origen!$E34</f>
        <v>282165</v>
      </c>
      <c r="J34" s="6">
        <f>VLOOKUP(A:A,Anexos!A:B,2,0)</f>
        <v>2024</v>
      </c>
      <c r="K34" s="6">
        <f>_xlfn.XLOOKUP(A:A,Anexos!A:A,Anexos!C:C,"No se encuentra",0)</f>
        <v>8</v>
      </c>
      <c r="L34" s="21" t="str">
        <f>VLOOKUP(A:A,Anexos!A:E,5,0)</f>
        <v>viernes</v>
      </c>
      <c r="M34" s="21" t="str">
        <f>VLOOKUP(A:A,Anexos!A:F,6,0)</f>
        <v>agosto</v>
      </c>
    </row>
    <row r="35" spans="1:13" x14ac:dyDescent="0.3">
      <c r="A35" s="6">
        <v>34</v>
      </c>
      <c r="B35" s="6" t="s">
        <v>27</v>
      </c>
      <c r="C35" s="1">
        <v>45385</v>
      </c>
      <c r="D35" t="s">
        <v>11</v>
      </c>
      <c r="E35" s="20">
        <v>19176</v>
      </c>
      <c r="F35" s="6">
        <v>47</v>
      </c>
      <c r="G35" t="s">
        <v>20</v>
      </c>
      <c r="H35" t="s">
        <v>22</v>
      </c>
      <c r="I35" s="20">
        <f>Origen!$F35*Origen!$E35</f>
        <v>901272</v>
      </c>
      <c r="J35" s="6">
        <f>VLOOKUP(A:A,Anexos!A:B,2,0)</f>
        <v>2024</v>
      </c>
      <c r="K35" s="6">
        <f>_xlfn.XLOOKUP(A:A,Anexos!A:A,Anexos!C:C,"No se encuentra",0)</f>
        <v>4</v>
      </c>
      <c r="L35" s="21" t="str">
        <f>VLOOKUP(A:A,Anexos!A:E,5,0)</f>
        <v>miércoles</v>
      </c>
      <c r="M35" s="21" t="str">
        <f>VLOOKUP(A:A,Anexos!A:F,6,0)</f>
        <v>abril</v>
      </c>
    </row>
    <row r="36" spans="1:13" x14ac:dyDescent="0.3">
      <c r="A36" s="6">
        <v>35</v>
      </c>
      <c r="B36" s="6" t="s">
        <v>28</v>
      </c>
      <c r="C36" s="1">
        <v>45744</v>
      </c>
      <c r="D36" t="s">
        <v>12</v>
      </c>
      <c r="E36" s="20">
        <v>18185</v>
      </c>
      <c r="F36" s="6">
        <v>49</v>
      </c>
      <c r="G36" t="s">
        <v>17</v>
      </c>
      <c r="H36" t="s">
        <v>23</v>
      </c>
      <c r="I36" s="20">
        <f>Origen!$F36*Origen!$E36</f>
        <v>891065</v>
      </c>
      <c r="J36" s="6">
        <f>VLOOKUP(A:A,Anexos!A:B,2,0)</f>
        <v>2025</v>
      </c>
      <c r="K36" s="6">
        <f>_xlfn.XLOOKUP(A:A,Anexos!A:A,Anexos!C:C,"No se encuentra",0)</f>
        <v>3</v>
      </c>
      <c r="L36" s="21" t="str">
        <f>VLOOKUP(A:A,Anexos!A:E,5,0)</f>
        <v>viernes</v>
      </c>
      <c r="M36" s="21" t="str">
        <f>VLOOKUP(A:A,Anexos!A:F,6,0)</f>
        <v>marzo</v>
      </c>
    </row>
    <row r="37" spans="1:13" x14ac:dyDescent="0.3">
      <c r="A37" s="6">
        <v>36</v>
      </c>
      <c r="B37" s="6" t="s">
        <v>29</v>
      </c>
      <c r="C37" s="1">
        <v>45892</v>
      </c>
      <c r="D37" t="s">
        <v>13</v>
      </c>
      <c r="E37" s="20">
        <v>15045</v>
      </c>
      <c r="F37" s="6">
        <v>36</v>
      </c>
      <c r="G37" t="s">
        <v>18</v>
      </c>
      <c r="H37" t="s">
        <v>24</v>
      </c>
      <c r="I37" s="20">
        <f>Origen!$F37*Origen!$E37</f>
        <v>541620</v>
      </c>
      <c r="J37" s="6">
        <f>VLOOKUP(A:A,Anexos!A:B,2,0)</f>
        <v>2025</v>
      </c>
      <c r="K37" s="6">
        <f>_xlfn.XLOOKUP(A:A,Anexos!A:A,Anexos!C:C,"No se encuentra",0)</f>
        <v>8</v>
      </c>
      <c r="L37" s="21" t="str">
        <f>VLOOKUP(A:A,Anexos!A:E,5,0)</f>
        <v>sábado</v>
      </c>
      <c r="M37" s="21" t="str">
        <f>VLOOKUP(A:A,Anexos!A:F,6,0)</f>
        <v>agosto</v>
      </c>
    </row>
    <row r="38" spans="1:13" x14ac:dyDescent="0.3">
      <c r="A38" s="6">
        <v>37</v>
      </c>
      <c r="B38" s="6" t="s">
        <v>27</v>
      </c>
      <c r="C38" s="1">
        <v>45766</v>
      </c>
      <c r="D38" t="s">
        <v>6</v>
      </c>
      <c r="E38" s="20">
        <v>15482</v>
      </c>
      <c r="F38" s="6">
        <v>93</v>
      </c>
      <c r="G38" t="s">
        <v>19</v>
      </c>
      <c r="H38" t="s">
        <v>21</v>
      </c>
      <c r="I38" s="20">
        <f>Origen!$F38*Origen!$E38</f>
        <v>1439826</v>
      </c>
      <c r="J38" s="6">
        <f>VLOOKUP(A:A,Anexos!A:B,2,0)</f>
        <v>2025</v>
      </c>
      <c r="K38" s="6">
        <f>_xlfn.XLOOKUP(A:A,Anexos!A:A,Anexos!C:C,"No se encuentra",0)</f>
        <v>4</v>
      </c>
      <c r="L38" s="21" t="str">
        <f>VLOOKUP(A:A,Anexos!A:E,5,0)</f>
        <v>sábado</v>
      </c>
      <c r="M38" s="21" t="str">
        <f>VLOOKUP(A:A,Anexos!A:F,6,0)</f>
        <v>abril</v>
      </c>
    </row>
    <row r="39" spans="1:13" x14ac:dyDescent="0.3">
      <c r="A39" s="6">
        <v>38</v>
      </c>
      <c r="B39" s="6" t="s">
        <v>28</v>
      </c>
      <c r="C39" s="1">
        <v>45314</v>
      </c>
      <c r="D39" t="s">
        <v>7</v>
      </c>
      <c r="E39" s="20">
        <v>19159</v>
      </c>
      <c r="F39" s="6">
        <v>89</v>
      </c>
      <c r="G39" t="s">
        <v>20</v>
      </c>
      <c r="H39" t="s">
        <v>22</v>
      </c>
      <c r="I39" s="20">
        <f>Origen!$F39*Origen!$E39</f>
        <v>1705151</v>
      </c>
      <c r="J39" s="6">
        <f>VLOOKUP(A:A,Anexos!A:B,2,0)</f>
        <v>2024</v>
      </c>
      <c r="K39" s="6">
        <f>_xlfn.XLOOKUP(A:A,Anexos!A:A,Anexos!C:C,"No se encuentra",0)</f>
        <v>1</v>
      </c>
      <c r="L39" s="21" t="str">
        <f>VLOOKUP(A:A,Anexos!A:E,5,0)</f>
        <v>martes</v>
      </c>
      <c r="M39" s="21" t="str">
        <f>VLOOKUP(A:A,Anexos!A:F,6,0)</f>
        <v>enero</v>
      </c>
    </row>
    <row r="40" spans="1:13" x14ac:dyDescent="0.3">
      <c r="A40" s="6">
        <v>39</v>
      </c>
      <c r="B40" s="6" t="s">
        <v>29</v>
      </c>
      <c r="C40" s="1">
        <v>45698</v>
      </c>
      <c r="D40" t="s">
        <v>8</v>
      </c>
      <c r="E40" s="20">
        <v>17523</v>
      </c>
      <c r="F40" s="6">
        <v>22</v>
      </c>
      <c r="G40" t="s">
        <v>17</v>
      </c>
      <c r="H40" t="s">
        <v>23</v>
      </c>
      <c r="I40" s="20">
        <f>Origen!$F40*Origen!$E40</f>
        <v>385506</v>
      </c>
      <c r="J40" s="6">
        <f>VLOOKUP(A:A,Anexos!A:B,2,0)</f>
        <v>2025</v>
      </c>
      <c r="K40" s="6">
        <f>_xlfn.XLOOKUP(A:A,Anexos!A:A,Anexos!C:C,"No se encuentra",0)</f>
        <v>2</v>
      </c>
      <c r="L40" s="21" t="str">
        <f>VLOOKUP(A:A,Anexos!A:E,5,0)</f>
        <v>lunes</v>
      </c>
      <c r="M40" s="21" t="str">
        <f>VLOOKUP(A:A,Anexos!A:F,6,0)</f>
        <v>febrero</v>
      </c>
    </row>
    <row r="41" spans="1:13" x14ac:dyDescent="0.3">
      <c r="A41" s="6">
        <v>40</v>
      </c>
      <c r="B41" s="6" t="s">
        <v>27</v>
      </c>
      <c r="C41" s="1">
        <v>45683</v>
      </c>
      <c r="D41" t="s">
        <v>9</v>
      </c>
      <c r="E41" s="20">
        <v>19473</v>
      </c>
      <c r="F41" s="6">
        <v>78</v>
      </c>
      <c r="G41" t="s">
        <v>18</v>
      </c>
      <c r="H41" t="s">
        <v>24</v>
      </c>
      <c r="I41" s="20">
        <f>Origen!$F41*Origen!$E41</f>
        <v>1518894</v>
      </c>
      <c r="J41" s="6">
        <f>VLOOKUP(A:A,Anexos!A:B,2,0)</f>
        <v>2025</v>
      </c>
      <c r="K41" s="6">
        <f>_xlfn.XLOOKUP(A:A,Anexos!A:A,Anexos!C:C,"No se encuentra",0)</f>
        <v>1</v>
      </c>
      <c r="L41" s="21" t="str">
        <f>VLOOKUP(A:A,Anexos!A:E,5,0)</f>
        <v>domingo</v>
      </c>
      <c r="M41" s="21" t="str">
        <f>VLOOKUP(A:A,Anexos!A:F,6,0)</f>
        <v>enero</v>
      </c>
    </row>
    <row r="42" spans="1:13" x14ac:dyDescent="0.3">
      <c r="A42" s="6">
        <v>41</v>
      </c>
      <c r="B42" s="6" t="s">
        <v>28</v>
      </c>
      <c r="C42" s="1">
        <v>44947</v>
      </c>
      <c r="D42" t="s">
        <v>10</v>
      </c>
      <c r="E42" s="20">
        <v>18811</v>
      </c>
      <c r="F42" s="6">
        <v>59</v>
      </c>
      <c r="G42" t="s">
        <v>19</v>
      </c>
      <c r="H42" t="s">
        <v>21</v>
      </c>
      <c r="I42" s="20">
        <f>Origen!$F42*Origen!$E42</f>
        <v>1109849</v>
      </c>
      <c r="J42" s="6">
        <f>VLOOKUP(A:A,Anexos!A:B,2,0)</f>
        <v>2023</v>
      </c>
      <c r="K42" s="6">
        <f>_xlfn.XLOOKUP(A:A,Anexos!A:A,Anexos!C:C,"No se encuentra",0)</f>
        <v>1</v>
      </c>
      <c r="L42" s="21" t="str">
        <f>VLOOKUP(A:A,Anexos!A:E,5,0)</f>
        <v>sábado</v>
      </c>
      <c r="M42" s="21" t="str">
        <f>VLOOKUP(A:A,Anexos!A:F,6,0)</f>
        <v>enero</v>
      </c>
    </row>
    <row r="43" spans="1:13" x14ac:dyDescent="0.3">
      <c r="A43" s="6">
        <v>42</v>
      </c>
      <c r="B43" s="6" t="s">
        <v>29</v>
      </c>
      <c r="C43" s="1">
        <v>45192</v>
      </c>
      <c r="D43" t="s">
        <v>11</v>
      </c>
      <c r="E43" s="20">
        <v>19176</v>
      </c>
      <c r="F43" s="6">
        <v>25</v>
      </c>
      <c r="G43" t="s">
        <v>20</v>
      </c>
      <c r="H43" t="s">
        <v>22</v>
      </c>
      <c r="I43" s="20">
        <f>Origen!$F43*Origen!$E43</f>
        <v>479400</v>
      </c>
      <c r="J43" s="6">
        <f>VLOOKUP(A:A,Anexos!A:B,2,0)</f>
        <v>2023</v>
      </c>
      <c r="K43" s="6">
        <f>_xlfn.XLOOKUP(A:A,Anexos!A:A,Anexos!C:C,"No se encuentra",0)</f>
        <v>9</v>
      </c>
      <c r="L43" s="21" t="str">
        <f>VLOOKUP(A:A,Anexos!A:E,5,0)</f>
        <v>sábado</v>
      </c>
      <c r="M43" s="21" t="str">
        <f>VLOOKUP(A:A,Anexos!A:F,6,0)</f>
        <v>septiembre</v>
      </c>
    </row>
    <row r="44" spans="1:13" x14ac:dyDescent="0.3">
      <c r="A44" s="6">
        <v>43</v>
      </c>
      <c r="B44" s="6" t="s">
        <v>27</v>
      </c>
      <c r="C44" s="1">
        <v>45843</v>
      </c>
      <c r="D44" t="s">
        <v>12</v>
      </c>
      <c r="E44" s="20">
        <v>18185</v>
      </c>
      <c r="F44" s="6">
        <v>45</v>
      </c>
      <c r="G44" t="s">
        <v>17</v>
      </c>
      <c r="H44" t="s">
        <v>23</v>
      </c>
      <c r="I44" s="20">
        <f>Origen!$F44*Origen!$E44</f>
        <v>818325</v>
      </c>
      <c r="J44" s="6">
        <f>VLOOKUP(A:A,Anexos!A:B,2,0)</f>
        <v>2025</v>
      </c>
      <c r="K44" s="6">
        <f>_xlfn.XLOOKUP(A:A,Anexos!A:A,Anexos!C:C,"No se encuentra",0)</f>
        <v>7</v>
      </c>
      <c r="L44" s="21" t="str">
        <f>VLOOKUP(A:A,Anexos!A:E,5,0)</f>
        <v>sábado</v>
      </c>
      <c r="M44" s="21" t="str">
        <f>VLOOKUP(A:A,Anexos!A:F,6,0)</f>
        <v>julio</v>
      </c>
    </row>
    <row r="45" spans="1:13" x14ac:dyDescent="0.3">
      <c r="A45" s="6">
        <v>44</v>
      </c>
      <c r="B45" s="6" t="s">
        <v>28</v>
      </c>
      <c r="C45" s="1">
        <v>45307</v>
      </c>
      <c r="D45" t="s">
        <v>13</v>
      </c>
      <c r="E45" s="20">
        <v>15045</v>
      </c>
      <c r="F45" s="6">
        <v>83</v>
      </c>
      <c r="G45" t="s">
        <v>18</v>
      </c>
      <c r="H45" t="s">
        <v>24</v>
      </c>
      <c r="I45" s="20">
        <f>Origen!$F45*Origen!$E45</f>
        <v>1248735</v>
      </c>
      <c r="J45" s="6">
        <f>VLOOKUP(A:A,Anexos!A:B,2,0)</f>
        <v>2024</v>
      </c>
      <c r="K45" s="6">
        <f>_xlfn.XLOOKUP(A:A,Anexos!A:A,Anexos!C:C,"No se encuentra",0)</f>
        <v>1</v>
      </c>
      <c r="L45" s="21" t="str">
        <f>VLOOKUP(A:A,Anexos!A:E,5,0)</f>
        <v>martes</v>
      </c>
      <c r="M45" s="21" t="str">
        <f>VLOOKUP(A:A,Anexos!A:F,6,0)</f>
        <v>enero</v>
      </c>
    </row>
    <row r="46" spans="1:13" x14ac:dyDescent="0.3">
      <c r="A46" s="6">
        <v>45</v>
      </c>
      <c r="B46" s="6" t="s">
        <v>29</v>
      </c>
      <c r="C46" s="1">
        <v>45702</v>
      </c>
      <c r="D46" t="s">
        <v>14</v>
      </c>
      <c r="E46" s="20">
        <v>14271</v>
      </c>
      <c r="F46" s="6">
        <v>91</v>
      </c>
      <c r="G46" t="s">
        <v>19</v>
      </c>
      <c r="H46" t="s">
        <v>21</v>
      </c>
      <c r="I46" s="20">
        <f>Origen!$F46*Origen!$E46</f>
        <v>1298661</v>
      </c>
      <c r="J46" s="6">
        <f>VLOOKUP(A:A,Anexos!A:B,2,0)</f>
        <v>2025</v>
      </c>
      <c r="K46" s="6">
        <f>_xlfn.XLOOKUP(A:A,Anexos!A:A,Anexos!C:C,"No se encuentra",0)</f>
        <v>2</v>
      </c>
      <c r="L46" s="21" t="str">
        <f>VLOOKUP(A:A,Anexos!A:E,5,0)</f>
        <v>viernes</v>
      </c>
      <c r="M46" s="21" t="str">
        <f>VLOOKUP(A:A,Anexos!A:F,6,0)</f>
        <v>febrero</v>
      </c>
    </row>
    <row r="47" spans="1:13" x14ac:dyDescent="0.3">
      <c r="A47" s="6">
        <v>46</v>
      </c>
      <c r="B47" s="6" t="s">
        <v>27</v>
      </c>
      <c r="C47" s="1">
        <v>45893</v>
      </c>
      <c r="D47" t="s">
        <v>15</v>
      </c>
      <c r="E47" s="20">
        <v>12361</v>
      </c>
      <c r="F47" s="6">
        <v>63</v>
      </c>
      <c r="G47" t="s">
        <v>17</v>
      </c>
      <c r="H47" t="s">
        <v>22</v>
      </c>
      <c r="I47" s="20">
        <f>Origen!$F47*Origen!$E47</f>
        <v>778743</v>
      </c>
      <c r="J47" s="6">
        <f>VLOOKUP(A:A,Anexos!A:B,2,0)</f>
        <v>2025</v>
      </c>
      <c r="K47" s="6">
        <f>_xlfn.XLOOKUP(A:A,Anexos!A:A,Anexos!C:C,"No se encuentra",0)</f>
        <v>8</v>
      </c>
      <c r="L47" s="21" t="str">
        <f>VLOOKUP(A:A,Anexos!A:E,5,0)</f>
        <v>domingo</v>
      </c>
      <c r="M47" s="21" t="str">
        <f>VLOOKUP(A:A,Anexos!A:F,6,0)</f>
        <v>agosto</v>
      </c>
    </row>
    <row r="48" spans="1:13" x14ac:dyDescent="0.3">
      <c r="A48" s="6">
        <v>47</v>
      </c>
      <c r="B48" s="6" t="s">
        <v>28</v>
      </c>
      <c r="C48" s="1">
        <v>45829</v>
      </c>
      <c r="D48" t="s">
        <v>16</v>
      </c>
      <c r="E48" s="20">
        <v>14933</v>
      </c>
      <c r="F48" s="6">
        <v>33</v>
      </c>
      <c r="G48" t="s">
        <v>18</v>
      </c>
      <c r="H48" t="s">
        <v>23</v>
      </c>
      <c r="I48" s="20">
        <f>Origen!$F48*Origen!$E48</f>
        <v>492789</v>
      </c>
      <c r="J48" s="6">
        <f>VLOOKUP(A:A,Anexos!A:B,2,0)</f>
        <v>2025</v>
      </c>
      <c r="K48" s="6">
        <f>_xlfn.XLOOKUP(A:A,Anexos!A:A,Anexos!C:C,"No se encuentra",0)</f>
        <v>6</v>
      </c>
      <c r="L48" s="21" t="str">
        <f>VLOOKUP(A:A,Anexos!A:E,5,0)</f>
        <v>sábado</v>
      </c>
      <c r="M48" s="21" t="str">
        <f>VLOOKUP(A:A,Anexos!A:F,6,0)</f>
        <v>junio</v>
      </c>
    </row>
    <row r="49" spans="1:13" x14ac:dyDescent="0.3">
      <c r="A49" s="6">
        <v>48</v>
      </c>
      <c r="B49" s="6" t="s">
        <v>29</v>
      </c>
      <c r="C49" s="1">
        <v>45151</v>
      </c>
      <c r="D49" t="s">
        <v>6</v>
      </c>
      <c r="E49" s="20">
        <v>15482</v>
      </c>
      <c r="F49" s="6">
        <v>61</v>
      </c>
      <c r="G49" t="s">
        <v>19</v>
      </c>
      <c r="H49" t="s">
        <v>24</v>
      </c>
      <c r="I49" s="20">
        <f>Origen!$F49*Origen!$E49</f>
        <v>944402</v>
      </c>
      <c r="J49" s="6">
        <f>VLOOKUP(A:A,Anexos!A:B,2,0)</f>
        <v>2023</v>
      </c>
      <c r="K49" s="6">
        <f>_xlfn.XLOOKUP(A:A,Anexos!A:A,Anexos!C:C,"No se encuentra",0)</f>
        <v>8</v>
      </c>
      <c r="L49" s="21" t="str">
        <f>VLOOKUP(A:A,Anexos!A:E,5,0)</f>
        <v>domingo</v>
      </c>
      <c r="M49" s="21" t="str">
        <f>VLOOKUP(A:A,Anexos!A:F,6,0)</f>
        <v>agosto</v>
      </c>
    </row>
    <row r="50" spans="1:13" x14ac:dyDescent="0.3">
      <c r="A50" s="6">
        <v>49</v>
      </c>
      <c r="B50" s="6" t="s">
        <v>27</v>
      </c>
      <c r="C50" s="1">
        <v>45522</v>
      </c>
      <c r="D50" t="s">
        <v>7</v>
      </c>
      <c r="E50" s="20">
        <v>19159</v>
      </c>
      <c r="F50" s="6">
        <v>70</v>
      </c>
      <c r="G50" t="s">
        <v>20</v>
      </c>
      <c r="H50" t="s">
        <v>21</v>
      </c>
      <c r="I50" s="20">
        <f>Origen!$F50*Origen!$E50</f>
        <v>1341130</v>
      </c>
      <c r="J50" s="6">
        <f>VLOOKUP(A:A,Anexos!A:B,2,0)</f>
        <v>2024</v>
      </c>
      <c r="K50" s="6">
        <f>_xlfn.XLOOKUP(A:A,Anexos!A:A,Anexos!C:C,"No se encuentra",0)</f>
        <v>8</v>
      </c>
      <c r="L50" s="21" t="str">
        <f>VLOOKUP(A:A,Anexos!A:E,5,0)</f>
        <v>domingo</v>
      </c>
      <c r="M50" s="21" t="str">
        <f>VLOOKUP(A:A,Anexos!A:F,6,0)</f>
        <v>agosto</v>
      </c>
    </row>
    <row r="51" spans="1:13" x14ac:dyDescent="0.3">
      <c r="A51" s="6">
        <v>50</v>
      </c>
      <c r="B51" s="6" t="s">
        <v>28</v>
      </c>
      <c r="C51" s="1">
        <v>45335</v>
      </c>
      <c r="D51" t="s">
        <v>8</v>
      </c>
      <c r="E51" s="20">
        <v>17523</v>
      </c>
      <c r="F51" s="6">
        <v>15</v>
      </c>
      <c r="G51" t="s">
        <v>17</v>
      </c>
      <c r="H51" t="s">
        <v>22</v>
      </c>
      <c r="I51" s="20">
        <f>Origen!$F51*Origen!$E51</f>
        <v>262845</v>
      </c>
      <c r="J51" s="6">
        <f>VLOOKUP(A:A,Anexos!A:B,2,0)</f>
        <v>2024</v>
      </c>
      <c r="K51" s="6">
        <f>_xlfn.XLOOKUP(A:A,Anexos!A:A,Anexos!C:C,"No se encuentra",0)</f>
        <v>2</v>
      </c>
      <c r="L51" s="21" t="str">
        <f>VLOOKUP(A:A,Anexos!A:E,5,0)</f>
        <v>martes</v>
      </c>
      <c r="M51" s="21" t="str">
        <f>VLOOKUP(A:A,Anexos!A:F,6,0)</f>
        <v>febrero</v>
      </c>
    </row>
    <row r="52" spans="1:13" x14ac:dyDescent="0.3">
      <c r="A52" s="6">
        <v>51</v>
      </c>
      <c r="B52" s="6" t="s">
        <v>29</v>
      </c>
      <c r="C52" s="1">
        <v>45670</v>
      </c>
      <c r="D52" t="s">
        <v>9</v>
      </c>
      <c r="E52" s="20">
        <v>19473</v>
      </c>
      <c r="F52" s="6">
        <v>16</v>
      </c>
      <c r="G52" t="s">
        <v>18</v>
      </c>
      <c r="H52" t="s">
        <v>23</v>
      </c>
      <c r="I52" s="20">
        <f>Origen!$F52*Origen!$E52</f>
        <v>311568</v>
      </c>
      <c r="J52" s="6">
        <f>VLOOKUP(A:A,Anexos!A:B,2,0)</f>
        <v>2025</v>
      </c>
      <c r="K52" s="6">
        <f>_xlfn.XLOOKUP(A:A,Anexos!A:A,Anexos!C:C,"No se encuentra",0)</f>
        <v>1</v>
      </c>
      <c r="L52" s="21" t="str">
        <f>VLOOKUP(A:A,Anexos!A:E,5,0)</f>
        <v>lunes</v>
      </c>
      <c r="M52" s="21" t="str">
        <f>VLOOKUP(A:A,Anexos!A:F,6,0)</f>
        <v>enero</v>
      </c>
    </row>
    <row r="53" spans="1:13" x14ac:dyDescent="0.3">
      <c r="A53" s="6">
        <v>52</v>
      </c>
      <c r="B53" s="6" t="s">
        <v>27</v>
      </c>
      <c r="C53" s="1">
        <v>45137</v>
      </c>
      <c r="D53" t="s">
        <v>10</v>
      </c>
      <c r="E53" s="20">
        <v>18811</v>
      </c>
      <c r="F53" s="6">
        <v>33</v>
      </c>
      <c r="G53" t="s">
        <v>19</v>
      </c>
      <c r="H53" t="s">
        <v>24</v>
      </c>
      <c r="I53" s="20">
        <f>Origen!$F53*Origen!$E53</f>
        <v>620763</v>
      </c>
      <c r="J53" s="6">
        <f>VLOOKUP(A:A,Anexos!A:B,2,0)</f>
        <v>2023</v>
      </c>
      <c r="K53" s="6">
        <f>_xlfn.XLOOKUP(A:A,Anexos!A:A,Anexos!C:C,"No se encuentra",0)</f>
        <v>7</v>
      </c>
      <c r="L53" s="21" t="str">
        <f>VLOOKUP(A:A,Anexos!A:E,5,0)</f>
        <v>domingo</v>
      </c>
      <c r="M53" s="21" t="str">
        <f>VLOOKUP(A:A,Anexos!A:F,6,0)</f>
        <v>julio</v>
      </c>
    </row>
    <row r="54" spans="1:13" x14ac:dyDescent="0.3">
      <c r="A54" s="6">
        <v>53</v>
      </c>
      <c r="B54" s="6" t="s">
        <v>28</v>
      </c>
      <c r="C54" s="1">
        <v>45446</v>
      </c>
      <c r="D54" t="s">
        <v>11</v>
      </c>
      <c r="E54" s="20">
        <v>19176</v>
      </c>
      <c r="F54" s="6">
        <v>73</v>
      </c>
      <c r="G54" t="s">
        <v>20</v>
      </c>
      <c r="H54" t="s">
        <v>21</v>
      </c>
      <c r="I54" s="20">
        <f>Origen!$F54*Origen!$E54</f>
        <v>1399848</v>
      </c>
      <c r="J54" s="6">
        <f>VLOOKUP(A:A,Anexos!A:B,2,0)</f>
        <v>2024</v>
      </c>
      <c r="K54" s="6">
        <f>_xlfn.XLOOKUP(A:A,Anexos!A:A,Anexos!C:C,"No se encuentra",0)</f>
        <v>6</v>
      </c>
      <c r="L54" s="21" t="str">
        <f>VLOOKUP(A:A,Anexos!A:E,5,0)</f>
        <v>lunes</v>
      </c>
      <c r="M54" s="21" t="str">
        <f>VLOOKUP(A:A,Anexos!A:F,6,0)</f>
        <v>junio</v>
      </c>
    </row>
    <row r="55" spans="1:13" x14ac:dyDescent="0.3">
      <c r="A55" s="6">
        <v>54</v>
      </c>
      <c r="B55" s="6" t="s">
        <v>29</v>
      </c>
      <c r="C55" s="1">
        <v>45754</v>
      </c>
      <c r="D55" t="s">
        <v>12</v>
      </c>
      <c r="E55" s="20">
        <v>18185</v>
      </c>
      <c r="F55" s="6">
        <v>39</v>
      </c>
      <c r="G55" t="s">
        <v>17</v>
      </c>
      <c r="H55" t="s">
        <v>22</v>
      </c>
      <c r="I55" s="20">
        <f>Origen!$F55*Origen!$E55</f>
        <v>709215</v>
      </c>
      <c r="J55" s="6">
        <f>VLOOKUP(A:A,Anexos!A:B,2,0)</f>
        <v>2025</v>
      </c>
      <c r="K55" s="6">
        <f>_xlfn.XLOOKUP(A:A,Anexos!A:A,Anexos!C:C,"No se encuentra",0)</f>
        <v>4</v>
      </c>
      <c r="L55" s="21" t="str">
        <f>VLOOKUP(A:A,Anexos!A:E,5,0)</f>
        <v>lunes</v>
      </c>
      <c r="M55" s="21" t="str">
        <f>VLOOKUP(A:A,Anexos!A:F,6,0)</f>
        <v>abril</v>
      </c>
    </row>
    <row r="56" spans="1:13" x14ac:dyDescent="0.3">
      <c r="A56" s="6">
        <v>55</v>
      </c>
      <c r="B56" s="6" t="s">
        <v>27</v>
      </c>
      <c r="C56" s="1">
        <v>45711</v>
      </c>
      <c r="D56" t="s">
        <v>13</v>
      </c>
      <c r="E56" s="20">
        <v>15045</v>
      </c>
      <c r="F56" s="6">
        <v>88</v>
      </c>
      <c r="G56" t="s">
        <v>18</v>
      </c>
      <c r="H56" t="s">
        <v>23</v>
      </c>
      <c r="I56" s="20">
        <f>Origen!$F56*Origen!$E56</f>
        <v>1323960</v>
      </c>
      <c r="J56" s="6">
        <f>VLOOKUP(A:A,Anexos!A:B,2,0)</f>
        <v>2025</v>
      </c>
      <c r="K56" s="6">
        <f>_xlfn.XLOOKUP(A:A,Anexos!A:A,Anexos!C:C,"No se encuentra",0)</f>
        <v>2</v>
      </c>
      <c r="L56" s="21" t="str">
        <f>VLOOKUP(A:A,Anexos!A:E,5,0)</f>
        <v>domingo</v>
      </c>
      <c r="M56" s="21" t="str">
        <f>VLOOKUP(A:A,Anexos!A:F,6,0)</f>
        <v>febrero</v>
      </c>
    </row>
    <row r="57" spans="1:13" x14ac:dyDescent="0.3">
      <c r="A57" s="6">
        <v>56</v>
      </c>
      <c r="B57" s="6" t="s">
        <v>28</v>
      </c>
      <c r="C57" s="1">
        <v>45818</v>
      </c>
      <c r="D57" t="s">
        <v>14</v>
      </c>
      <c r="E57" s="20">
        <v>14271</v>
      </c>
      <c r="F57" s="6">
        <v>51</v>
      </c>
      <c r="G57" t="s">
        <v>19</v>
      </c>
      <c r="H57" t="s">
        <v>24</v>
      </c>
      <c r="I57" s="20">
        <f>Origen!$F57*Origen!$E57</f>
        <v>727821</v>
      </c>
      <c r="J57" s="6">
        <f>VLOOKUP(A:A,Anexos!A:B,2,0)</f>
        <v>2025</v>
      </c>
      <c r="K57" s="6">
        <f>_xlfn.XLOOKUP(A:A,Anexos!A:A,Anexos!C:C,"No se encuentra",0)</f>
        <v>6</v>
      </c>
      <c r="L57" s="21" t="str">
        <f>VLOOKUP(A:A,Anexos!A:E,5,0)</f>
        <v>martes</v>
      </c>
      <c r="M57" s="21" t="str">
        <f>VLOOKUP(A:A,Anexos!A:F,6,0)</f>
        <v>junio</v>
      </c>
    </row>
    <row r="58" spans="1:13" x14ac:dyDescent="0.3">
      <c r="A58" s="6">
        <v>57</v>
      </c>
      <c r="B58" s="6" t="s">
        <v>29</v>
      </c>
      <c r="C58" s="1">
        <v>45419</v>
      </c>
      <c r="D58" t="s">
        <v>15</v>
      </c>
      <c r="E58" s="20">
        <v>12361</v>
      </c>
      <c r="F58" s="6">
        <v>97</v>
      </c>
      <c r="G58" t="s">
        <v>20</v>
      </c>
      <c r="H58" t="s">
        <v>21</v>
      </c>
      <c r="I58" s="20">
        <f>Origen!$F58*Origen!$E58</f>
        <v>1199017</v>
      </c>
      <c r="J58" s="6">
        <f>VLOOKUP(A:A,Anexos!A:B,2,0)</f>
        <v>2024</v>
      </c>
      <c r="K58" s="6">
        <f>_xlfn.XLOOKUP(A:A,Anexos!A:A,Anexos!C:C,"No se encuentra",0)</f>
        <v>5</v>
      </c>
      <c r="L58" s="21" t="str">
        <f>VLOOKUP(A:A,Anexos!A:E,5,0)</f>
        <v>martes</v>
      </c>
      <c r="M58" s="21" t="str">
        <f>VLOOKUP(A:A,Anexos!A:F,6,0)</f>
        <v>mayo</v>
      </c>
    </row>
    <row r="59" spans="1:13" x14ac:dyDescent="0.3">
      <c r="A59" s="6">
        <v>58</v>
      </c>
      <c r="B59" s="6" t="s">
        <v>27</v>
      </c>
      <c r="C59" s="1">
        <v>45187</v>
      </c>
      <c r="D59" t="s">
        <v>16</v>
      </c>
      <c r="E59" s="20">
        <v>14933</v>
      </c>
      <c r="F59" s="6">
        <v>15</v>
      </c>
      <c r="G59" t="s">
        <v>17</v>
      </c>
      <c r="H59" t="s">
        <v>22</v>
      </c>
      <c r="I59" s="20">
        <f>Origen!$F59*Origen!$E59</f>
        <v>223995</v>
      </c>
      <c r="J59" s="6">
        <f>VLOOKUP(A:A,Anexos!A:B,2,0)</f>
        <v>2023</v>
      </c>
      <c r="K59" s="6">
        <f>_xlfn.XLOOKUP(A:A,Anexos!A:A,Anexos!C:C,"No se encuentra",0)</f>
        <v>9</v>
      </c>
      <c r="L59" s="21" t="str">
        <f>VLOOKUP(A:A,Anexos!A:E,5,0)</f>
        <v>lunes</v>
      </c>
      <c r="M59" s="21" t="str">
        <f>VLOOKUP(A:A,Anexos!A:F,6,0)</f>
        <v>septiembre</v>
      </c>
    </row>
    <row r="60" spans="1:13" x14ac:dyDescent="0.3">
      <c r="A60" s="6">
        <v>59</v>
      </c>
      <c r="B60" s="6" t="s">
        <v>28</v>
      </c>
      <c r="C60" s="1">
        <v>45926</v>
      </c>
      <c r="D60" t="s">
        <v>11</v>
      </c>
      <c r="E60" s="20">
        <v>19176</v>
      </c>
      <c r="F60" s="6">
        <v>66</v>
      </c>
      <c r="G60" t="s">
        <v>18</v>
      </c>
      <c r="H60" t="s">
        <v>23</v>
      </c>
      <c r="I60" s="20">
        <f>Origen!$F60*Origen!$E60</f>
        <v>1265616</v>
      </c>
      <c r="J60" s="6">
        <f>VLOOKUP(A:A,Anexos!A:B,2,0)</f>
        <v>2025</v>
      </c>
      <c r="K60" s="6">
        <f>_xlfn.XLOOKUP(A:A,Anexos!A:A,Anexos!C:C,"No se encuentra",0)</f>
        <v>9</v>
      </c>
      <c r="L60" s="21" t="str">
        <f>VLOOKUP(A:A,Anexos!A:E,5,0)</f>
        <v>viernes</v>
      </c>
      <c r="M60" s="21" t="str">
        <f>VLOOKUP(A:A,Anexos!A:F,6,0)</f>
        <v>septiembre</v>
      </c>
    </row>
    <row r="61" spans="1:13" x14ac:dyDescent="0.3">
      <c r="A61" s="6">
        <v>60</v>
      </c>
      <c r="B61" s="6" t="s">
        <v>29</v>
      </c>
      <c r="C61" s="1">
        <v>45826</v>
      </c>
      <c r="D61" t="s">
        <v>12</v>
      </c>
      <c r="E61" s="20">
        <v>18185</v>
      </c>
      <c r="F61" s="6">
        <v>82</v>
      </c>
      <c r="G61" t="s">
        <v>19</v>
      </c>
      <c r="H61" t="s">
        <v>24</v>
      </c>
      <c r="I61" s="20">
        <f>Origen!$F61*Origen!$E61</f>
        <v>1491170</v>
      </c>
      <c r="J61" s="6">
        <f>VLOOKUP(A:A,Anexos!A:B,2,0)</f>
        <v>2025</v>
      </c>
      <c r="K61" s="6">
        <f>_xlfn.XLOOKUP(A:A,Anexos!A:A,Anexos!C:C,"No se encuentra",0)</f>
        <v>6</v>
      </c>
      <c r="L61" s="21" t="str">
        <f>VLOOKUP(A:A,Anexos!A:E,5,0)</f>
        <v>miércoles</v>
      </c>
      <c r="M61" s="21" t="str">
        <f>VLOOKUP(A:A,Anexos!A:F,6,0)</f>
        <v>junio</v>
      </c>
    </row>
    <row r="62" spans="1:13" x14ac:dyDescent="0.3">
      <c r="A62" s="6">
        <v>61</v>
      </c>
      <c r="B62" s="6" t="s">
        <v>27</v>
      </c>
      <c r="C62" s="1">
        <v>45635</v>
      </c>
      <c r="D62" t="s">
        <v>13</v>
      </c>
      <c r="E62" s="20">
        <v>15045</v>
      </c>
      <c r="F62" s="6">
        <v>19</v>
      </c>
      <c r="G62" t="s">
        <v>17</v>
      </c>
      <c r="H62" t="s">
        <v>21</v>
      </c>
      <c r="I62" s="20">
        <f>Origen!$F62*Origen!$E62</f>
        <v>285855</v>
      </c>
      <c r="J62" s="6">
        <f>VLOOKUP(A:A,Anexos!A:B,2,0)</f>
        <v>2024</v>
      </c>
      <c r="K62" s="6">
        <f>_xlfn.XLOOKUP(A:A,Anexos!A:A,Anexos!C:C,"No se encuentra",0)</f>
        <v>12</v>
      </c>
      <c r="L62" s="21" t="str">
        <f>VLOOKUP(A:A,Anexos!A:E,5,0)</f>
        <v>lunes</v>
      </c>
      <c r="M62" s="21" t="str">
        <f>VLOOKUP(A:A,Anexos!A:F,6,0)</f>
        <v>diciembre</v>
      </c>
    </row>
    <row r="63" spans="1:13" x14ac:dyDescent="0.3">
      <c r="A63" s="6">
        <v>62</v>
      </c>
      <c r="B63" s="6" t="s">
        <v>28</v>
      </c>
      <c r="C63" s="1">
        <v>45691</v>
      </c>
      <c r="D63" t="s">
        <v>14</v>
      </c>
      <c r="E63" s="20">
        <v>14271</v>
      </c>
      <c r="F63" s="6">
        <v>83</v>
      </c>
      <c r="G63" t="s">
        <v>18</v>
      </c>
      <c r="H63" t="s">
        <v>22</v>
      </c>
      <c r="I63" s="20">
        <f>Origen!$F63*Origen!$E63</f>
        <v>1184493</v>
      </c>
      <c r="J63" s="6">
        <f>VLOOKUP(A:A,Anexos!A:B,2,0)</f>
        <v>2025</v>
      </c>
      <c r="K63" s="6">
        <f>_xlfn.XLOOKUP(A:A,Anexos!A:A,Anexos!C:C,"No se encuentra",0)</f>
        <v>2</v>
      </c>
      <c r="L63" s="21" t="str">
        <f>VLOOKUP(A:A,Anexos!A:E,5,0)</f>
        <v>lunes</v>
      </c>
      <c r="M63" s="21" t="str">
        <f>VLOOKUP(A:A,Anexos!A:F,6,0)</f>
        <v>febrero</v>
      </c>
    </row>
    <row r="64" spans="1:13" x14ac:dyDescent="0.3">
      <c r="A64" s="6">
        <v>63</v>
      </c>
      <c r="B64" s="6" t="s">
        <v>29</v>
      </c>
      <c r="C64" s="1">
        <v>45373</v>
      </c>
      <c r="D64" t="s">
        <v>15</v>
      </c>
      <c r="E64" s="20">
        <v>12361</v>
      </c>
      <c r="F64" s="6">
        <v>57</v>
      </c>
      <c r="G64" t="s">
        <v>19</v>
      </c>
      <c r="H64" t="s">
        <v>23</v>
      </c>
      <c r="I64" s="20">
        <f>Origen!$F64*Origen!$E64</f>
        <v>704577</v>
      </c>
      <c r="J64" s="6">
        <f>VLOOKUP(A:A,Anexos!A:B,2,0)</f>
        <v>2024</v>
      </c>
      <c r="K64" s="6">
        <f>_xlfn.XLOOKUP(A:A,Anexos!A:A,Anexos!C:C,"No se encuentra",0)</f>
        <v>3</v>
      </c>
      <c r="L64" s="21" t="str">
        <f>VLOOKUP(A:A,Anexos!A:E,5,0)</f>
        <v>viernes</v>
      </c>
      <c r="M64" s="21" t="str">
        <f>VLOOKUP(A:A,Anexos!A:F,6,0)</f>
        <v>marzo</v>
      </c>
    </row>
    <row r="65" spans="1:13" x14ac:dyDescent="0.3">
      <c r="A65" s="6">
        <v>64</v>
      </c>
      <c r="B65" s="6" t="s">
        <v>27</v>
      </c>
      <c r="C65" s="1">
        <v>44961</v>
      </c>
      <c r="D65" t="s">
        <v>16</v>
      </c>
      <c r="E65" s="20">
        <v>14933</v>
      </c>
      <c r="F65" s="6">
        <v>54</v>
      </c>
      <c r="G65" t="s">
        <v>20</v>
      </c>
      <c r="H65" t="s">
        <v>24</v>
      </c>
      <c r="I65" s="20">
        <f>Origen!$F65*Origen!$E65</f>
        <v>806382</v>
      </c>
      <c r="J65" s="6">
        <f>VLOOKUP(A:A,Anexos!A:B,2,0)</f>
        <v>2023</v>
      </c>
      <c r="K65" s="6">
        <f>_xlfn.XLOOKUP(A:A,Anexos!A:A,Anexos!C:C,"No se encuentra",0)</f>
        <v>2</v>
      </c>
      <c r="L65" s="21" t="str">
        <f>VLOOKUP(A:A,Anexos!A:E,5,0)</f>
        <v>sábado</v>
      </c>
      <c r="M65" s="21" t="str">
        <f>VLOOKUP(A:A,Anexos!A:F,6,0)</f>
        <v>febrero</v>
      </c>
    </row>
    <row r="66" spans="1:13" x14ac:dyDescent="0.3">
      <c r="A66" s="6">
        <v>65</v>
      </c>
      <c r="B66" s="6" t="s">
        <v>28</v>
      </c>
      <c r="C66" s="1">
        <v>45622</v>
      </c>
      <c r="D66" t="s">
        <v>6</v>
      </c>
      <c r="E66" s="20">
        <v>15482</v>
      </c>
      <c r="F66" s="6">
        <v>25</v>
      </c>
      <c r="G66" t="s">
        <v>17</v>
      </c>
      <c r="H66" t="s">
        <v>21</v>
      </c>
      <c r="I66" s="20">
        <f>Origen!$F66*Origen!$E66</f>
        <v>387050</v>
      </c>
      <c r="J66" s="6">
        <f>VLOOKUP(A:A,Anexos!A:B,2,0)</f>
        <v>2024</v>
      </c>
      <c r="K66" s="6">
        <f>_xlfn.XLOOKUP(A:A,Anexos!A:A,Anexos!C:C,"No se encuentra",0)</f>
        <v>11</v>
      </c>
      <c r="L66" s="21" t="str">
        <f>VLOOKUP(A:A,Anexos!A:E,5,0)</f>
        <v>martes</v>
      </c>
      <c r="M66" s="21" t="str">
        <f>VLOOKUP(A:A,Anexos!A:F,6,0)</f>
        <v>noviembre</v>
      </c>
    </row>
    <row r="67" spans="1:13" x14ac:dyDescent="0.3">
      <c r="A67" s="6">
        <v>66</v>
      </c>
      <c r="B67" s="6" t="s">
        <v>29</v>
      </c>
      <c r="C67" s="1">
        <v>45503</v>
      </c>
      <c r="D67" t="s">
        <v>7</v>
      </c>
      <c r="E67" s="20">
        <v>19159</v>
      </c>
      <c r="F67" s="6">
        <v>69</v>
      </c>
      <c r="G67" t="s">
        <v>18</v>
      </c>
      <c r="H67" t="s">
        <v>22</v>
      </c>
      <c r="I67" s="20">
        <f>Origen!$F67*Origen!$E67</f>
        <v>1321971</v>
      </c>
      <c r="J67" s="6">
        <f>VLOOKUP(A:A,Anexos!A:B,2,0)</f>
        <v>2024</v>
      </c>
      <c r="K67" s="6">
        <f>_xlfn.XLOOKUP(A:A,Anexos!A:A,Anexos!C:C,"No se encuentra",0)</f>
        <v>7</v>
      </c>
      <c r="L67" s="21" t="str">
        <f>VLOOKUP(A:A,Anexos!A:E,5,0)</f>
        <v>martes</v>
      </c>
      <c r="M67" s="21" t="str">
        <f>VLOOKUP(A:A,Anexos!A:F,6,0)</f>
        <v>julio</v>
      </c>
    </row>
    <row r="68" spans="1:13" x14ac:dyDescent="0.3">
      <c r="A68" s="6">
        <v>67</v>
      </c>
      <c r="B68" s="6" t="s">
        <v>27</v>
      </c>
      <c r="C68" s="1">
        <v>46014</v>
      </c>
      <c r="D68" t="s">
        <v>8</v>
      </c>
      <c r="E68" s="20">
        <v>17523</v>
      </c>
      <c r="F68" s="6">
        <v>77</v>
      </c>
      <c r="G68" t="s">
        <v>19</v>
      </c>
      <c r="H68" t="s">
        <v>23</v>
      </c>
      <c r="I68" s="20">
        <f>Origen!$F68*Origen!$E68</f>
        <v>1349271</v>
      </c>
      <c r="J68" s="6">
        <f>VLOOKUP(A:A,Anexos!A:B,2,0)</f>
        <v>2025</v>
      </c>
      <c r="K68" s="6">
        <f>_xlfn.XLOOKUP(A:A,Anexos!A:A,Anexos!C:C,"No se encuentra",0)</f>
        <v>12</v>
      </c>
      <c r="L68" s="21" t="str">
        <f>VLOOKUP(A:A,Anexos!A:E,5,0)</f>
        <v>martes</v>
      </c>
      <c r="M68" s="21" t="str">
        <f>VLOOKUP(A:A,Anexos!A:F,6,0)</f>
        <v>diciembre</v>
      </c>
    </row>
    <row r="69" spans="1:13" x14ac:dyDescent="0.3">
      <c r="A69" s="6">
        <v>68</v>
      </c>
      <c r="B69" s="6" t="s">
        <v>28</v>
      </c>
      <c r="C69" s="1">
        <v>45852</v>
      </c>
      <c r="D69" t="s">
        <v>9</v>
      </c>
      <c r="E69" s="20">
        <v>19473</v>
      </c>
      <c r="F69" s="6">
        <v>42</v>
      </c>
      <c r="G69" t="s">
        <v>20</v>
      </c>
      <c r="H69" t="s">
        <v>24</v>
      </c>
      <c r="I69" s="20">
        <f>Origen!$F69*Origen!$E69</f>
        <v>817866</v>
      </c>
      <c r="J69" s="6">
        <f>VLOOKUP(A:A,Anexos!A:B,2,0)</f>
        <v>2025</v>
      </c>
      <c r="K69" s="6">
        <f>_xlfn.XLOOKUP(A:A,Anexos!A:A,Anexos!C:C,"No se encuentra",0)</f>
        <v>7</v>
      </c>
      <c r="L69" s="21" t="str">
        <f>VLOOKUP(A:A,Anexos!A:E,5,0)</f>
        <v>lunes</v>
      </c>
      <c r="M69" s="21" t="str">
        <f>VLOOKUP(A:A,Anexos!A:F,6,0)</f>
        <v>julio</v>
      </c>
    </row>
    <row r="70" spans="1:13" x14ac:dyDescent="0.3">
      <c r="A70" s="6">
        <v>69</v>
      </c>
      <c r="B70" s="6" t="s">
        <v>29</v>
      </c>
      <c r="C70" s="1">
        <v>45462</v>
      </c>
      <c r="D70" t="s">
        <v>10</v>
      </c>
      <c r="E70" s="20">
        <v>18811</v>
      </c>
      <c r="F70" s="6">
        <v>80</v>
      </c>
      <c r="G70" t="s">
        <v>17</v>
      </c>
      <c r="H70" t="s">
        <v>21</v>
      </c>
      <c r="I70" s="20">
        <f>Origen!$F70*Origen!$E70</f>
        <v>1504880</v>
      </c>
      <c r="J70" s="6">
        <f>VLOOKUP(A:A,Anexos!A:B,2,0)</f>
        <v>2024</v>
      </c>
      <c r="K70" s="6">
        <f>_xlfn.XLOOKUP(A:A,Anexos!A:A,Anexos!C:C,"No se encuentra",0)</f>
        <v>6</v>
      </c>
      <c r="L70" s="21" t="str">
        <f>VLOOKUP(A:A,Anexos!A:E,5,0)</f>
        <v>miércoles</v>
      </c>
      <c r="M70" s="21" t="str">
        <f>VLOOKUP(A:A,Anexos!A:F,6,0)</f>
        <v>junio</v>
      </c>
    </row>
    <row r="71" spans="1:13" x14ac:dyDescent="0.3">
      <c r="A71" s="6">
        <v>70</v>
      </c>
      <c r="B71" s="6" t="s">
        <v>27</v>
      </c>
      <c r="C71" s="1">
        <v>45487</v>
      </c>
      <c r="D71" t="s">
        <v>11</v>
      </c>
      <c r="E71" s="20">
        <v>19176</v>
      </c>
      <c r="F71" s="6">
        <v>36</v>
      </c>
      <c r="G71" t="s">
        <v>18</v>
      </c>
      <c r="H71" t="s">
        <v>22</v>
      </c>
      <c r="I71" s="20">
        <f>Origen!$F71*Origen!$E71</f>
        <v>690336</v>
      </c>
      <c r="J71" s="6">
        <f>VLOOKUP(A:A,Anexos!A:B,2,0)</f>
        <v>2024</v>
      </c>
      <c r="K71" s="6">
        <f>_xlfn.XLOOKUP(A:A,Anexos!A:A,Anexos!C:C,"No se encuentra",0)</f>
        <v>7</v>
      </c>
      <c r="L71" s="21" t="str">
        <f>VLOOKUP(A:A,Anexos!A:E,5,0)</f>
        <v>domingo</v>
      </c>
      <c r="M71" s="21" t="str">
        <f>VLOOKUP(A:A,Anexos!A:F,6,0)</f>
        <v>julio</v>
      </c>
    </row>
    <row r="72" spans="1:13" x14ac:dyDescent="0.3">
      <c r="A72" s="6">
        <v>71</v>
      </c>
      <c r="B72" s="6" t="s">
        <v>28</v>
      </c>
      <c r="C72" s="1">
        <v>45882</v>
      </c>
      <c r="D72" t="s">
        <v>12</v>
      </c>
      <c r="E72" s="20">
        <v>18185</v>
      </c>
      <c r="F72" s="6">
        <v>11</v>
      </c>
      <c r="G72" t="s">
        <v>19</v>
      </c>
      <c r="H72" t="s">
        <v>23</v>
      </c>
      <c r="I72" s="20">
        <f>Origen!$F72*Origen!$E72</f>
        <v>200035</v>
      </c>
      <c r="J72" s="6">
        <f>VLOOKUP(A:A,Anexos!A:B,2,0)</f>
        <v>2025</v>
      </c>
      <c r="K72" s="6">
        <f>_xlfn.XLOOKUP(A:A,Anexos!A:A,Anexos!C:C,"No se encuentra",0)</f>
        <v>8</v>
      </c>
      <c r="L72" s="21" t="str">
        <f>VLOOKUP(A:A,Anexos!A:E,5,0)</f>
        <v>miércoles</v>
      </c>
      <c r="M72" s="21" t="str">
        <f>VLOOKUP(A:A,Anexos!A:F,6,0)</f>
        <v>agosto</v>
      </c>
    </row>
    <row r="73" spans="1:13" x14ac:dyDescent="0.3">
      <c r="A73" s="6">
        <v>72</v>
      </c>
      <c r="B73" s="6" t="s">
        <v>29</v>
      </c>
      <c r="C73" s="1">
        <v>45699</v>
      </c>
      <c r="D73" t="s">
        <v>13</v>
      </c>
      <c r="E73" s="20">
        <v>15045</v>
      </c>
      <c r="F73" s="6">
        <v>14</v>
      </c>
      <c r="G73" t="s">
        <v>17</v>
      </c>
      <c r="H73" t="s">
        <v>24</v>
      </c>
      <c r="I73" s="20">
        <f>Origen!$F73*Origen!$E73</f>
        <v>210630</v>
      </c>
      <c r="J73" s="6">
        <f>VLOOKUP(A:A,Anexos!A:B,2,0)</f>
        <v>2025</v>
      </c>
      <c r="K73" s="6">
        <f>_xlfn.XLOOKUP(A:A,Anexos!A:A,Anexos!C:C,"No se encuentra",0)</f>
        <v>2</v>
      </c>
      <c r="L73" s="21" t="str">
        <f>VLOOKUP(A:A,Anexos!A:E,5,0)</f>
        <v>martes</v>
      </c>
      <c r="M73" s="21" t="str">
        <f>VLOOKUP(A:A,Anexos!A:F,6,0)</f>
        <v>febrero</v>
      </c>
    </row>
    <row r="74" spans="1:13" x14ac:dyDescent="0.3">
      <c r="A74" s="6">
        <v>73</v>
      </c>
      <c r="B74" s="6" t="s">
        <v>27</v>
      </c>
      <c r="C74" s="1">
        <v>45942</v>
      </c>
      <c r="D74" t="s">
        <v>12</v>
      </c>
      <c r="E74" s="20">
        <v>18185</v>
      </c>
      <c r="F74" s="6">
        <v>46</v>
      </c>
      <c r="G74" t="s">
        <v>18</v>
      </c>
      <c r="H74" t="s">
        <v>21</v>
      </c>
      <c r="I74" s="20">
        <f>Origen!$F74*Origen!$E74</f>
        <v>836510</v>
      </c>
      <c r="J74" s="6">
        <f>VLOOKUP(A:A,Anexos!A:B,2,0)</f>
        <v>2025</v>
      </c>
      <c r="K74" s="6">
        <f>_xlfn.XLOOKUP(A:A,Anexos!A:A,Anexos!C:C,"No se encuentra",0)</f>
        <v>10</v>
      </c>
      <c r="L74" s="21" t="str">
        <f>VLOOKUP(A:A,Anexos!A:E,5,0)</f>
        <v>domingo</v>
      </c>
      <c r="M74" s="21" t="str">
        <f>VLOOKUP(A:A,Anexos!A:F,6,0)</f>
        <v>octubre</v>
      </c>
    </row>
    <row r="75" spans="1:13" x14ac:dyDescent="0.3">
      <c r="A75" s="6">
        <v>74</v>
      </c>
      <c r="B75" s="6" t="s">
        <v>28</v>
      </c>
      <c r="C75" s="1">
        <v>45990</v>
      </c>
      <c r="D75" t="s">
        <v>13</v>
      </c>
      <c r="E75" s="20">
        <v>15045</v>
      </c>
      <c r="F75" s="6">
        <v>37</v>
      </c>
      <c r="G75" t="s">
        <v>19</v>
      </c>
      <c r="H75" t="s">
        <v>22</v>
      </c>
      <c r="I75" s="20">
        <f>Origen!$F75*Origen!$E75</f>
        <v>556665</v>
      </c>
      <c r="J75" s="6">
        <f>VLOOKUP(A:A,Anexos!A:B,2,0)</f>
        <v>2025</v>
      </c>
      <c r="K75" s="6">
        <f>_xlfn.XLOOKUP(A:A,Anexos!A:A,Anexos!C:C,"No se encuentra",0)</f>
        <v>11</v>
      </c>
      <c r="L75" s="21" t="str">
        <f>VLOOKUP(A:A,Anexos!A:E,5,0)</f>
        <v>sábado</v>
      </c>
      <c r="M75" s="21" t="str">
        <f>VLOOKUP(A:A,Anexos!A:F,6,0)</f>
        <v>noviembre</v>
      </c>
    </row>
    <row r="76" spans="1:13" x14ac:dyDescent="0.3">
      <c r="A76" s="6">
        <v>75</v>
      </c>
      <c r="B76" s="6" t="s">
        <v>29</v>
      </c>
      <c r="C76" s="1">
        <v>45694</v>
      </c>
      <c r="D76" t="s">
        <v>14</v>
      </c>
      <c r="E76" s="20">
        <v>14271</v>
      </c>
      <c r="F76" s="6">
        <v>95</v>
      </c>
      <c r="G76" t="s">
        <v>20</v>
      </c>
      <c r="H76" t="s">
        <v>23</v>
      </c>
      <c r="I76" s="20">
        <f>Origen!$F76*Origen!$E76</f>
        <v>1355745</v>
      </c>
      <c r="J76" s="6">
        <f>VLOOKUP(A:A,Anexos!A:B,2,0)</f>
        <v>2025</v>
      </c>
      <c r="K76" s="6">
        <f>_xlfn.XLOOKUP(A:A,Anexos!A:A,Anexos!C:C,"No se encuentra",0)</f>
        <v>2</v>
      </c>
      <c r="L76" s="21" t="str">
        <f>VLOOKUP(A:A,Anexos!A:E,5,0)</f>
        <v>jueves</v>
      </c>
      <c r="M76" s="21" t="str">
        <f>VLOOKUP(A:A,Anexos!A:F,6,0)</f>
        <v>febrero</v>
      </c>
    </row>
    <row r="77" spans="1:13" x14ac:dyDescent="0.3">
      <c r="A77" s="6">
        <v>76</v>
      </c>
      <c r="B77" s="6" t="s">
        <v>27</v>
      </c>
      <c r="C77" s="1">
        <v>45872</v>
      </c>
      <c r="D77" t="s">
        <v>15</v>
      </c>
      <c r="E77" s="20">
        <v>12361</v>
      </c>
      <c r="F77" s="6">
        <v>16</v>
      </c>
      <c r="G77" t="s">
        <v>17</v>
      </c>
      <c r="H77" t="s">
        <v>24</v>
      </c>
      <c r="I77" s="20">
        <f>Origen!$F77*Origen!$E77</f>
        <v>197776</v>
      </c>
      <c r="J77" s="6">
        <f>VLOOKUP(A:A,Anexos!A:B,2,0)</f>
        <v>2025</v>
      </c>
      <c r="K77" s="6">
        <f>_xlfn.XLOOKUP(A:A,Anexos!A:A,Anexos!C:C,"No se encuentra",0)</f>
        <v>8</v>
      </c>
      <c r="L77" s="21" t="str">
        <f>VLOOKUP(A:A,Anexos!A:E,5,0)</f>
        <v>domingo</v>
      </c>
      <c r="M77" s="21" t="str">
        <f>VLOOKUP(A:A,Anexos!A:F,6,0)</f>
        <v>agosto</v>
      </c>
    </row>
    <row r="78" spans="1:13" x14ac:dyDescent="0.3">
      <c r="A78" s="6">
        <v>77</v>
      </c>
      <c r="B78" s="6" t="s">
        <v>28</v>
      </c>
      <c r="C78" s="1">
        <v>45830</v>
      </c>
      <c r="D78" t="s">
        <v>16</v>
      </c>
      <c r="E78" s="20">
        <v>14933</v>
      </c>
      <c r="F78" s="6">
        <v>75</v>
      </c>
      <c r="G78" t="s">
        <v>18</v>
      </c>
      <c r="H78" t="s">
        <v>21</v>
      </c>
      <c r="I78" s="20">
        <f>Origen!$F78*Origen!$E78</f>
        <v>1119975</v>
      </c>
      <c r="J78" s="6">
        <f>VLOOKUP(A:A,Anexos!A:B,2,0)</f>
        <v>2025</v>
      </c>
      <c r="K78" s="6">
        <f>_xlfn.XLOOKUP(A:A,Anexos!A:A,Anexos!C:C,"No se encuentra",0)</f>
        <v>6</v>
      </c>
      <c r="L78" s="21" t="str">
        <f>VLOOKUP(A:A,Anexos!A:E,5,0)</f>
        <v>domingo</v>
      </c>
      <c r="M78" s="21" t="str">
        <f>VLOOKUP(A:A,Anexos!A:F,6,0)</f>
        <v>junio</v>
      </c>
    </row>
    <row r="79" spans="1:13" x14ac:dyDescent="0.3">
      <c r="A79" s="6">
        <v>78</v>
      </c>
      <c r="B79" s="6" t="s">
        <v>29</v>
      </c>
      <c r="C79" s="1">
        <v>45981</v>
      </c>
      <c r="D79" t="s">
        <v>11</v>
      </c>
      <c r="E79" s="20">
        <v>19176</v>
      </c>
      <c r="F79" s="6">
        <v>65</v>
      </c>
      <c r="G79" t="s">
        <v>19</v>
      </c>
      <c r="H79" t="s">
        <v>22</v>
      </c>
      <c r="I79" s="20">
        <f>Origen!$F79*Origen!$E79</f>
        <v>1246440</v>
      </c>
      <c r="J79" s="6">
        <f>VLOOKUP(A:A,Anexos!A:B,2,0)</f>
        <v>2025</v>
      </c>
      <c r="K79" s="6">
        <f>_xlfn.XLOOKUP(A:A,Anexos!A:A,Anexos!C:C,"No se encuentra",0)</f>
        <v>11</v>
      </c>
      <c r="L79" s="21" t="str">
        <f>VLOOKUP(A:A,Anexos!A:E,5,0)</f>
        <v>jueves</v>
      </c>
      <c r="M79" s="21" t="str">
        <f>VLOOKUP(A:A,Anexos!A:F,6,0)</f>
        <v>noviembre</v>
      </c>
    </row>
    <row r="80" spans="1:13" x14ac:dyDescent="0.3">
      <c r="A80" s="6">
        <v>79</v>
      </c>
      <c r="B80" s="6" t="s">
        <v>27</v>
      </c>
      <c r="C80" s="1">
        <v>45904</v>
      </c>
      <c r="D80" t="s">
        <v>12</v>
      </c>
      <c r="E80" s="20">
        <v>18185</v>
      </c>
      <c r="F80" s="6">
        <v>70</v>
      </c>
      <c r="G80" t="s">
        <v>20</v>
      </c>
      <c r="H80" t="s">
        <v>23</v>
      </c>
      <c r="I80" s="20">
        <f>Origen!$F80*Origen!$E80</f>
        <v>1272950</v>
      </c>
      <c r="J80" s="6">
        <f>VLOOKUP(A:A,Anexos!A:B,2,0)</f>
        <v>2025</v>
      </c>
      <c r="K80" s="6">
        <f>_xlfn.XLOOKUP(A:A,Anexos!A:A,Anexos!C:C,"No se encuentra",0)</f>
        <v>9</v>
      </c>
      <c r="L80" s="21" t="str">
        <f>VLOOKUP(A:A,Anexos!A:E,5,0)</f>
        <v>jueves</v>
      </c>
      <c r="M80" s="21" t="str">
        <f>VLOOKUP(A:A,Anexos!A:F,6,0)</f>
        <v>septiembre</v>
      </c>
    </row>
    <row r="81" spans="1:13" x14ac:dyDescent="0.3">
      <c r="A81" s="6">
        <v>80</v>
      </c>
      <c r="B81" s="6" t="s">
        <v>28</v>
      </c>
      <c r="C81" s="1">
        <v>45160</v>
      </c>
      <c r="D81" t="s">
        <v>13</v>
      </c>
      <c r="E81" s="20">
        <v>15045</v>
      </c>
      <c r="F81" s="6">
        <v>92</v>
      </c>
      <c r="G81" t="s">
        <v>17</v>
      </c>
      <c r="H81" t="s">
        <v>24</v>
      </c>
      <c r="I81" s="20">
        <f>Origen!$F81*Origen!$E81</f>
        <v>1384140</v>
      </c>
      <c r="J81" s="6">
        <f>VLOOKUP(A:A,Anexos!A:B,2,0)</f>
        <v>2023</v>
      </c>
      <c r="K81" s="6">
        <f>_xlfn.XLOOKUP(A:A,Anexos!A:A,Anexos!C:C,"No se encuentra",0)</f>
        <v>8</v>
      </c>
      <c r="L81" s="21" t="str">
        <f>VLOOKUP(A:A,Anexos!A:E,5,0)</f>
        <v>martes</v>
      </c>
      <c r="M81" s="21" t="str">
        <f>VLOOKUP(A:A,Anexos!A:F,6,0)</f>
        <v>agosto</v>
      </c>
    </row>
    <row r="82" spans="1:13" x14ac:dyDescent="0.3">
      <c r="A82" s="6">
        <v>81</v>
      </c>
      <c r="B82" s="6" t="s">
        <v>29</v>
      </c>
      <c r="C82" s="1">
        <v>45479</v>
      </c>
      <c r="D82" t="s">
        <v>14</v>
      </c>
      <c r="E82" s="20">
        <v>14271</v>
      </c>
      <c r="F82" s="6">
        <v>44</v>
      </c>
      <c r="G82" t="s">
        <v>18</v>
      </c>
      <c r="H82" t="s">
        <v>21</v>
      </c>
      <c r="I82" s="20">
        <f>Origen!$F82*Origen!$E82</f>
        <v>627924</v>
      </c>
      <c r="J82" s="6">
        <f>VLOOKUP(A:A,Anexos!A:B,2,0)</f>
        <v>2024</v>
      </c>
      <c r="K82" s="6">
        <f>_xlfn.XLOOKUP(A:A,Anexos!A:A,Anexos!C:C,"No se encuentra",0)</f>
        <v>7</v>
      </c>
      <c r="L82" s="21" t="str">
        <f>VLOOKUP(A:A,Anexos!A:E,5,0)</f>
        <v>sábado</v>
      </c>
      <c r="M82" s="21" t="str">
        <f>VLOOKUP(A:A,Anexos!A:F,6,0)</f>
        <v>julio</v>
      </c>
    </row>
    <row r="83" spans="1:13" x14ac:dyDescent="0.3">
      <c r="A83" s="6">
        <v>82</v>
      </c>
      <c r="B83" s="6" t="s">
        <v>27</v>
      </c>
      <c r="C83" s="1">
        <v>46005</v>
      </c>
      <c r="D83" t="s">
        <v>15</v>
      </c>
      <c r="E83" s="20">
        <v>12361</v>
      </c>
      <c r="F83" s="6">
        <v>32</v>
      </c>
      <c r="G83" t="s">
        <v>19</v>
      </c>
      <c r="H83" t="s">
        <v>22</v>
      </c>
      <c r="I83" s="20">
        <f>Origen!$F83*Origen!$E83</f>
        <v>395552</v>
      </c>
      <c r="J83" s="6">
        <f>VLOOKUP(A:A,Anexos!A:B,2,0)</f>
        <v>2025</v>
      </c>
      <c r="K83" s="6">
        <f>_xlfn.XLOOKUP(A:A,Anexos!A:A,Anexos!C:C,"No se encuentra",0)</f>
        <v>12</v>
      </c>
      <c r="L83" s="21" t="str">
        <f>VLOOKUP(A:A,Anexos!A:E,5,0)</f>
        <v>domingo</v>
      </c>
      <c r="M83" s="21" t="str">
        <f>VLOOKUP(A:A,Anexos!A:F,6,0)</f>
        <v>diciembre</v>
      </c>
    </row>
    <row r="84" spans="1:13" x14ac:dyDescent="0.3">
      <c r="A84" s="6">
        <v>83</v>
      </c>
      <c r="B84" s="6" t="s">
        <v>28</v>
      </c>
      <c r="C84" s="1">
        <v>45050</v>
      </c>
      <c r="D84" t="s">
        <v>16</v>
      </c>
      <c r="E84" s="20">
        <v>14933</v>
      </c>
      <c r="F84" s="6">
        <v>94</v>
      </c>
      <c r="G84" t="s">
        <v>20</v>
      </c>
      <c r="H84" t="s">
        <v>23</v>
      </c>
      <c r="I84" s="20">
        <f>Origen!$F84*Origen!$E84</f>
        <v>1403702</v>
      </c>
      <c r="J84" s="6">
        <f>VLOOKUP(A:A,Anexos!A:B,2,0)</f>
        <v>2023</v>
      </c>
      <c r="K84" s="6">
        <f>_xlfn.XLOOKUP(A:A,Anexos!A:A,Anexos!C:C,"No se encuentra",0)</f>
        <v>5</v>
      </c>
      <c r="L84" s="21" t="str">
        <f>VLOOKUP(A:A,Anexos!A:E,5,0)</f>
        <v>jueves</v>
      </c>
      <c r="M84" s="21" t="str">
        <f>VLOOKUP(A:A,Anexos!A:F,6,0)</f>
        <v>mayo</v>
      </c>
    </row>
    <row r="85" spans="1:13" x14ac:dyDescent="0.3">
      <c r="A85" s="6">
        <v>84</v>
      </c>
      <c r="B85" s="6" t="s">
        <v>29</v>
      </c>
      <c r="C85" s="1">
        <v>45854</v>
      </c>
      <c r="D85" t="s">
        <v>6</v>
      </c>
      <c r="E85" s="20">
        <v>15482</v>
      </c>
      <c r="F85" s="6">
        <v>18</v>
      </c>
      <c r="G85" t="s">
        <v>17</v>
      </c>
      <c r="H85" t="s">
        <v>24</v>
      </c>
      <c r="I85" s="20">
        <f>Origen!$F85*Origen!$E85</f>
        <v>278676</v>
      </c>
      <c r="J85" s="6">
        <f>VLOOKUP(A:A,Anexos!A:B,2,0)</f>
        <v>2025</v>
      </c>
      <c r="K85" s="6">
        <f>_xlfn.XLOOKUP(A:A,Anexos!A:A,Anexos!C:C,"No se encuentra",0)</f>
        <v>7</v>
      </c>
      <c r="L85" s="21" t="str">
        <f>VLOOKUP(A:A,Anexos!A:E,5,0)</f>
        <v>miércoles</v>
      </c>
      <c r="M85" s="21" t="str">
        <f>VLOOKUP(A:A,Anexos!A:F,6,0)</f>
        <v>julio</v>
      </c>
    </row>
    <row r="86" spans="1:13" x14ac:dyDescent="0.3">
      <c r="A86" s="6">
        <v>85</v>
      </c>
      <c r="B86" s="6" t="s">
        <v>27</v>
      </c>
      <c r="C86" s="1">
        <v>45827</v>
      </c>
      <c r="D86" t="s">
        <v>7</v>
      </c>
      <c r="E86" s="20">
        <v>19159</v>
      </c>
      <c r="F86" s="6">
        <v>14</v>
      </c>
      <c r="G86" t="s">
        <v>18</v>
      </c>
      <c r="H86" t="s">
        <v>21</v>
      </c>
      <c r="I86" s="20">
        <f>Origen!$F86*Origen!$E86</f>
        <v>268226</v>
      </c>
      <c r="J86" s="6">
        <f>VLOOKUP(A:A,Anexos!A:B,2,0)</f>
        <v>2025</v>
      </c>
      <c r="K86" s="6">
        <f>_xlfn.XLOOKUP(A:A,Anexos!A:A,Anexos!C:C,"No se encuentra",0)</f>
        <v>6</v>
      </c>
      <c r="L86" s="21" t="str">
        <f>VLOOKUP(A:A,Anexos!A:E,5,0)</f>
        <v>jueves</v>
      </c>
      <c r="M86" s="21" t="str">
        <f>VLOOKUP(A:A,Anexos!A:F,6,0)</f>
        <v>junio</v>
      </c>
    </row>
    <row r="87" spans="1:13" x14ac:dyDescent="0.3">
      <c r="A87" s="6">
        <v>86</v>
      </c>
      <c r="B87" s="6" t="s">
        <v>28</v>
      </c>
      <c r="C87" s="1">
        <v>45962</v>
      </c>
      <c r="D87" t="s">
        <v>8</v>
      </c>
      <c r="E87" s="20">
        <v>17523</v>
      </c>
      <c r="F87" s="6">
        <v>14</v>
      </c>
      <c r="G87" t="s">
        <v>19</v>
      </c>
      <c r="H87" t="s">
        <v>22</v>
      </c>
      <c r="I87" s="20">
        <f>Origen!$F87*Origen!$E87</f>
        <v>245322</v>
      </c>
      <c r="J87" s="6">
        <f>VLOOKUP(A:A,Anexos!A:B,2,0)</f>
        <v>2025</v>
      </c>
      <c r="K87" s="6">
        <f>_xlfn.XLOOKUP(A:A,Anexos!A:A,Anexos!C:C,"No se encuentra",0)</f>
        <v>11</v>
      </c>
      <c r="L87" s="21" t="str">
        <f>VLOOKUP(A:A,Anexos!A:E,5,0)</f>
        <v>sábado</v>
      </c>
      <c r="M87" s="21" t="str">
        <f>VLOOKUP(A:A,Anexos!A:F,6,0)</f>
        <v>noviembre</v>
      </c>
    </row>
    <row r="88" spans="1:13" x14ac:dyDescent="0.3">
      <c r="A88" s="6">
        <v>87</v>
      </c>
      <c r="B88" s="6" t="s">
        <v>29</v>
      </c>
      <c r="C88" s="1">
        <v>45724</v>
      </c>
      <c r="D88" t="s">
        <v>9</v>
      </c>
      <c r="E88" s="20">
        <v>19473</v>
      </c>
      <c r="F88" s="6">
        <v>79</v>
      </c>
      <c r="G88" t="s">
        <v>17</v>
      </c>
      <c r="H88" t="s">
        <v>23</v>
      </c>
      <c r="I88" s="20">
        <f>Origen!$F88*Origen!$E88</f>
        <v>1538367</v>
      </c>
      <c r="J88" s="6">
        <f>VLOOKUP(A:A,Anexos!A:B,2,0)</f>
        <v>2025</v>
      </c>
      <c r="K88" s="6">
        <f>_xlfn.XLOOKUP(A:A,Anexos!A:A,Anexos!C:C,"No se encuentra",0)</f>
        <v>3</v>
      </c>
      <c r="L88" s="21" t="str">
        <f>VLOOKUP(A:A,Anexos!A:E,5,0)</f>
        <v>sábado</v>
      </c>
      <c r="M88" s="21" t="str">
        <f>VLOOKUP(A:A,Anexos!A:F,6,0)</f>
        <v>marzo</v>
      </c>
    </row>
    <row r="89" spans="1:13" x14ac:dyDescent="0.3">
      <c r="A89" s="6">
        <v>88</v>
      </c>
      <c r="B89" s="6" t="s">
        <v>27</v>
      </c>
      <c r="C89" s="1">
        <v>45817</v>
      </c>
      <c r="D89" t="s">
        <v>10</v>
      </c>
      <c r="E89" s="20">
        <v>18811</v>
      </c>
      <c r="F89" s="6">
        <v>27</v>
      </c>
      <c r="G89" t="s">
        <v>18</v>
      </c>
      <c r="H89" t="s">
        <v>24</v>
      </c>
      <c r="I89" s="20">
        <f>Origen!$F89*Origen!$E89</f>
        <v>507897</v>
      </c>
      <c r="J89" s="6">
        <f>VLOOKUP(A:A,Anexos!A:B,2,0)</f>
        <v>2025</v>
      </c>
      <c r="K89" s="6">
        <f>_xlfn.XLOOKUP(A:A,Anexos!A:A,Anexos!C:C,"No se encuentra",0)</f>
        <v>6</v>
      </c>
      <c r="L89" s="21" t="str">
        <f>VLOOKUP(A:A,Anexos!A:E,5,0)</f>
        <v>lunes</v>
      </c>
      <c r="M89" s="21" t="str">
        <f>VLOOKUP(A:A,Anexos!A:F,6,0)</f>
        <v>junio</v>
      </c>
    </row>
    <row r="90" spans="1:13" x14ac:dyDescent="0.3">
      <c r="A90" s="6">
        <v>89</v>
      </c>
      <c r="B90" s="6" t="s">
        <v>28</v>
      </c>
      <c r="C90" s="1">
        <v>45904</v>
      </c>
      <c r="D90" t="s">
        <v>11</v>
      </c>
      <c r="E90" s="20">
        <v>19176</v>
      </c>
      <c r="F90" s="6">
        <v>64</v>
      </c>
      <c r="G90" t="s">
        <v>19</v>
      </c>
      <c r="H90" t="s">
        <v>21</v>
      </c>
      <c r="I90" s="20">
        <f>Origen!$F90*Origen!$E90</f>
        <v>1227264</v>
      </c>
      <c r="J90" s="6">
        <f>VLOOKUP(A:A,Anexos!A:B,2,0)</f>
        <v>2025</v>
      </c>
      <c r="K90" s="6">
        <f>_xlfn.XLOOKUP(A:A,Anexos!A:A,Anexos!C:C,"No se encuentra",0)</f>
        <v>9</v>
      </c>
      <c r="L90" s="21" t="str">
        <f>VLOOKUP(A:A,Anexos!A:E,5,0)</f>
        <v>jueves</v>
      </c>
      <c r="M90" s="21" t="str">
        <f>VLOOKUP(A:A,Anexos!A:F,6,0)</f>
        <v>septiembre</v>
      </c>
    </row>
    <row r="91" spans="1:13" x14ac:dyDescent="0.3">
      <c r="A91" s="6">
        <v>90</v>
      </c>
      <c r="B91" s="6" t="s">
        <v>29</v>
      </c>
      <c r="C91" s="1">
        <v>45760</v>
      </c>
      <c r="D91" t="s">
        <v>12</v>
      </c>
      <c r="E91" s="20">
        <v>18185</v>
      </c>
      <c r="F91" s="6">
        <v>27</v>
      </c>
      <c r="G91" t="s">
        <v>20</v>
      </c>
      <c r="H91" t="s">
        <v>22</v>
      </c>
      <c r="I91" s="20">
        <f>Origen!$F91*Origen!$E91</f>
        <v>490995</v>
      </c>
      <c r="J91" s="6">
        <f>VLOOKUP(A:A,Anexos!A:B,2,0)</f>
        <v>2025</v>
      </c>
      <c r="K91" s="6">
        <f>_xlfn.XLOOKUP(A:A,Anexos!A:A,Anexos!C:C,"No se encuentra",0)</f>
        <v>4</v>
      </c>
      <c r="L91" s="21" t="str">
        <f>VLOOKUP(A:A,Anexos!A:E,5,0)</f>
        <v>domingo</v>
      </c>
      <c r="M91" s="21" t="str">
        <f>VLOOKUP(A:A,Anexos!A:F,6,0)</f>
        <v>abril</v>
      </c>
    </row>
    <row r="92" spans="1:13" x14ac:dyDescent="0.3">
      <c r="A92" s="6">
        <v>91</v>
      </c>
      <c r="B92" s="6" t="s">
        <v>27</v>
      </c>
      <c r="C92" s="1">
        <v>45067</v>
      </c>
      <c r="D92" t="s">
        <v>13</v>
      </c>
      <c r="E92" s="20">
        <v>15045</v>
      </c>
      <c r="F92" s="6">
        <v>60</v>
      </c>
      <c r="G92" t="s">
        <v>17</v>
      </c>
      <c r="H92" t="s">
        <v>23</v>
      </c>
      <c r="I92" s="20">
        <f>Origen!$F92*Origen!$E92</f>
        <v>902700</v>
      </c>
      <c r="J92" s="6">
        <f>VLOOKUP(A:A,Anexos!A:B,2,0)</f>
        <v>2023</v>
      </c>
      <c r="K92" s="6">
        <f>_xlfn.XLOOKUP(A:A,Anexos!A:A,Anexos!C:C,"No se encuentra",0)</f>
        <v>5</v>
      </c>
      <c r="L92" s="21" t="str">
        <f>VLOOKUP(A:A,Anexos!A:E,5,0)</f>
        <v>domingo</v>
      </c>
      <c r="M92" s="21" t="str">
        <f>VLOOKUP(A:A,Anexos!A:F,6,0)</f>
        <v>mayo</v>
      </c>
    </row>
    <row r="93" spans="1:13" x14ac:dyDescent="0.3">
      <c r="A93" s="6">
        <v>92</v>
      </c>
      <c r="B93" s="6" t="s">
        <v>28</v>
      </c>
      <c r="C93" s="1">
        <v>45830</v>
      </c>
      <c r="D93" t="s">
        <v>6</v>
      </c>
      <c r="E93" s="20">
        <v>15482</v>
      </c>
      <c r="F93" s="6">
        <v>53</v>
      </c>
      <c r="G93" t="s">
        <v>18</v>
      </c>
      <c r="H93" t="s">
        <v>24</v>
      </c>
      <c r="I93" s="20">
        <f>Origen!$F93*Origen!$E93</f>
        <v>820546</v>
      </c>
      <c r="J93" s="6">
        <f>VLOOKUP(A:A,Anexos!A:B,2,0)</f>
        <v>2025</v>
      </c>
      <c r="K93" s="6">
        <f>_xlfn.XLOOKUP(A:A,Anexos!A:A,Anexos!C:C,"No se encuentra",0)</f>
        <v>6</v>
      </c>
      <c r="L93" s="21" t="str">
        <f>VLOOKUP(A:A,Anexos!A:E,5,0)</f>
        <v>domingo</v>
      </c>
      <c r="M93" s="21" t="str">
        <f>VLOOKUP(A:A,Anexos!A:F,6,0)</f>
        <v>junio</v>
      </c>
    </row>
    <row r="94" spans="1:13" x14ac:dyDescent="0.3">
      <c r="A94" s="6">
        <v>93</v>
      </c>
      <c r="B94" s="6" t="s">
        <v>29</v>
      </c>
      <c r="C94" s="1">
        <v>44984</v>
      </c>
      <c r="D94" t="s">
        <v>7</v>
      </c>
      <c r="E94" s="20">
        <v>19159</v>
      </c>
      <c r="F94" s="6">
        <v>49</v>
      </c>
      <c r="G94" t="s">
        <v>19</v>
      </c>
      <c r="H94" t="s">
        <v>21</v>
      </c>
      <c r="I94" s="20">
        <f>Origen!$F94*Origen!$E94</f>
        <v>938791</v>
      </c>
      <c r="J94" s="6">
        <f>VLOOKUP(A:A,Anexos!A:B,2,0)</f>
        <v>2023</v>
      </c>
      <c r="K94" s="6">
        <f>_xlfn.XLOOKUP(A:A,Anexos!A:A,Anexos!C:C,"No se encuentra",0)</f>
        <v>2</v>
      </c>
      <c r="L94" s="21" t="str">
        <f>VLOOKUP(A:A,Anexos!A:E,5,0)</f>
        <v>lunes</v>
      </c>
      <c r="M94" s="21" t="str">
        <f>VLOOKUP(A:A,Anexos!A:F,6,0)</f>
        <v>febrero</v>
      </c>
    </row>
    <row r="95" spans="1:13" x14ac:dyDescent="0.3">
      <c r="A95" s="6">
        <v>94</v>
      </c>
      <c r="B95" s="6" t="s">
        <v>27</v>
      </c>
      <c r="C95" s="1">
        <v>45955</v>
      </c>
      <c r="D95" t="s">
        <v>6</v>
      </c>
      <c r="E95" s="20">
        <v>15482</v>
      </c>
      <c r="F95" s="6">
        <v>44</v>
      </c>
      <c r="G95" t="s">
        <v>20</v>
      </c>
      <c r="H95" t="s">
        <v>22</v>
      </c>
      <c r="I95" s="20">
        <f>Origen!$F95*Origen!$E95</f>
        <v>681208</v>
      </c>
      <c r="J95" s="6">
        <f>VLOOKUP(A:A,Anexos!A:B,2,0)</f>
        <v>2025</v>
      </c>
      <c r="K95" s="6">
        <f>_xlfn.XLOOKUP(A:A,Anexos!A:A,Anexos!C:C,"No se encuentra",0)</f>
        <v>10</v>
      </c>
      <c r="L95" s="21" t="str">
        <f>VLOOKUP(A:A,Anexos!A:E,5,0)</f>
        <v>sábado</v>
      </c>
      <c r="M95" s="21" t="str">
        <f>VLOOKUP(A:A,Anexos!A:F,6,0)</f>
        <v>octubre</v>
      </c>
    </row>
    <row r="96" spans="1:13" x14ac:dyDescent="0.3">
      <c r="A96" s="6">
        <v>95</v>
      </c>
      <c r="B96" s="6" t="s">
        <v>28</v>
      </c>
      <c r="C96" s="1">
        <v>45670</v>
      </c>
      <c r="D96" t="s">
        <v>7</v>
      </c>
      <c r="E96" s="20">
        <v>19159</v>
      </c>
      <c r="F96" s="6">
        <v>56</v>
      </c>
      <c r="G96" t="s">
        <v>17</v>
      </c>
      <c r="H96" t="s">
        <v>23</v>
      </c>
      <c r="I96" s="20">
        <f>Origen!$F96*Origen!$E96</f>
        <v>1072904</v>
      </c>
      <c r="J96" s="6">
        <f>VLOOKUP(A:A,Anexos!A:B,2,0)</f>
        <v>2025</v>
      </c>
      <c r="K96" s="6">
        <f>_xlfn.XLOOKUP(A:A,Anexos!A:A,Anexos!C:C,"No se encuentra",0)</f>
        <v>1</v>
      </c>
      <c r="L96" s="21" t="str">
        <f>VLOOKUP(A:A,Anexos!A:E,5,0)</f>
        <v>lunes</v>
      </c>
      <c r="M96" s="21" t="str">
        <f>VLOOKUP(A:A,Anexos!A:F,6,0)</f>
        <v>enero</v>
      </c>
    </row>
    <row r="97" spans="1:13" x14ac:dyDescent="0.3">
      <c r="A97" s="6">
        <v>96</v>
      </c>
      <c r="B97" s="6" t="s">
        <v>29</v>
      </c>
      <c r="C97" s="1">
        <v>45963</v>
      </c>
      <c r="D97" t="s">
        <v>8</v>
      </c>
      <c r="E97" s="20">
        <v>17523</v>
      </c>
      <c r="F97" s="6">
        <v>94</v>
      </c>
      <c r="G97" t="s">
        <v>18</v>
      </c>
      <c r="H97" t="s">
        <v>24</v>
      </c>
      <c r="I97" s="20">
        <f>Origen!$F97*Origen!$E97</f>
        <v>1647162</v>
      </c>
      <c r="J97" s="6">
        <f>VLOOKUP(A:A,Anexos!A:B,2,0)</f>
        <v>2025</v>
      </c>
      <c r="K97" s="6">
        <f>_xlfn.XLOOKUP(A:A,Anexos!A:A,Anexos!C:C,"No se encuentra",0)</f>
        <v>11</v>
      </c>
      <c r="L97" s="21" t="str">
        <f>VLOOKUP(A:A,Anexos!A:E,5,0)</f>
        <v>domingo</v>
      </c>
      <c r="M97" s="21" t="str">
        <f>VLOOKUP(A:A,Anexos!A:F,6,0)</f>
        <v>noviembre</v>
      </c>
    </row>
    <row r="98" spans="1:13" x14ac:dyDescent="0.3">
      <c r="A98" s="6">
        <v>97</v>
      </c>
      <c r="B98" s="6" t="s">
        <v>27</v>
      </c>
      <c r="C98" s="1">
        <v>45714</v>
      </c>
      <c r="D98" t="s">
        <v>9</v>
      </c>
      <c r="E98" s="20">
        <v>19473</v>
      </c>
      <c r="F98" s="6">
        <v>50</v>
      </c>
      <c r="G98" t="s">
        <v>19</v>
      </c>
      <c r="H98" t="s">
        <v>21</v>
      </c>
      <c r="I98" s="20">
        <f>Origen!$F98*Origen!$E98</f>
        <v>973650</v>
      </c>
      <c r="J98" s="6">
        <f>VLOOKUP(A:A,Anexos!A:B,2,0)</f>
        <v>2025</v>
      </c>
      <c r="K98" s="6">
        <f>_xlfn.XLOOKUP(A:A,Anexos!A:A,Anexos!C:C,"No se encuentra",0)</f>
        <v>2</v>
      </c>
      <c r="L98" s="21" t="str">
        <f>VLOOKUP(A:A,Anexos!A:E,5,0)</f>
        <v>miércoles</v>
      </c>
      <c r="M98" s="21" t="str">
        <f>VLOOKUP(A:A,Anexos!A:F,6,0)</f>
        <v>febrero</v>
      </c>
    </row>
    <row r="99" spans="1:13" x14ac:dyDescent="0.3">
      <c r="A99" s="6">
        <v>98</v>
      </c>
      <c r="B99" s="6" t="s">
        <v>28</v>
      </c>
      <c r="C99" s="1">
        <v>45394</v>
      </c>
      <c r="D99" t="s">
        <v>10</v>
      </c>
      <c r="E99" s="20">
        <v>18811</v>
      </c>
      <c r="F99" s="6">
        <v>36</v>
      </c>
      <c r="G99" t="s">
        <v>20</v>
      </c>
      <c r="H99" t="s">
        <v>22</v>
      </c>
      <c r="I99" s="20">
        <f>Origen!$F99*Origen!$E99</f>
        <v>677196</v>
      </c>
      <c r="J99" s="6">
        <f>VLOOKUP(A:A,Anexos!A:B,2,0)</f>
        <v>2024</v>
      </c>
      <c r="K99" s="6">
        <f>_xlfn.XLOOKUP(A:A,Anexos!A:A,Anexos!C:C,"No se encuentra",0)</f>
        <v>4</v>
      </c>
      <c r="L99" s="21" t="str">
        <f>VLOOKUP(A:A,Anexos!A:E,5,0)</f>
        <v>viernes</v>
      </c>
      <c r="M99" s="21" t="str">
        <f>VLOOKUP(A:A,Anexos!A:F,6,0)</f>
        <v>abril</v>
      </c>
    </row>
    <row r="100" spans="1:13" x14ac:dyDescent="0.3">
      <c r="A100" s="6">
        <v>99</v>
      </c>
      <c r="B100" s="6" t="s">
        <v>29</v>
      </c>
      <c r="C100" s="1">
        <v>44961</v>
      </c>
      <c r="D100" t="s">
        <v>11</v>
      </c>
      <c r="E100" s="20">
        <v>19176</v>
      </c>
      <c r="F100" s="6">
        <v>42</v>
      </c>
      <c r="G100" t="s">
        <v>17</v>
      </c>
      <c r="H100" t="s">
        <v>23</v>
      </c>
      <c r="I100" s="20">
        <f>Origen!$F100*Origen!$E100</f>
        <v>805392</v>
      </c>
      <c r="J100" s="6">
        <f>VLOOKUP(A:A,Anexos!A:B,2,0)</f>
        <v>2023</v>
      </c>
      <c r="K100" s="6">
        <f>_xlfn.XLOOKUP(A:A,Anexos!A:A,Anexos!C:C,"No se encuentra",0)</f>
        <v>2</v>
      </c>
      <c r="L100" s="21" t="str">
        <f>VLOOKUP(A:A,Anexos!A:E,5,0)</f>
        <v>sábado</v>
      </c>
      <c r="M100" s="21" t="str">
        <f>VLOOKUP(A:A,Anexos!A:F,6,0)</f>
        <v>febrero</v>
      </c>
    </row>
    <row r="101" spans="1:13" x14ac:dyDescent="0.3">
      <c r="A101" s="6">
        <v>100</v>
      </c>
      <c r="B101" s="6" t="s">
        <v>27</v>
      </c>
      <c r="C101" s="1">
        <v>45802</v>
      </c>
      <c r="D101" t="s">
        <v>12</v>
      </c>
      <c r="E101" s="20">
        <v>18185</v>
      </c>
      <c r="F101" s="6">
        <v>65</v>
      </c>
      <c r="G101" t="s">
        <v>18</v>
      </c>
      <c r="H101" t="s">
        <v>24</v>
      </c>
      <c r="I101" s="20">
        <f>Origen!$F101*Origen!$E101</f>
        <v>1182025</v>
      </c>
      <c r="J101" s="6">
        <f>VLOOKUP(A:A,Anexos!A:B,2,0)</f>
        <v>2025</v>
      </c>
      <c r="K101" s="6">
        <f>_xlfn.XLOOKUP(A:A,Anexos!A:A,Anexos!C:C,"No se encuentra",0)</f>
        <v>5</v>
      </c>
      <c r="L101" s="21" t="str">
        <f>VLOOKUP(A:A,Anexos!A:E,5,0)</f>
        <v>domingo</v>
      </c>
      <c r="M101" s="21" t="str">
        <f>VLOOKUP(A:A,Anexos!A:F,6,0)</f>
        <v>mayo</v>
      </c>
    </row>
    <row r="102" spans="1:13" x14ac:dyDescent="0.3">
      <c r="A102" s="6">
        <v>101</v>
      </c>
      <c r="B102" s="6" t="s">
        <v>28</v>
      </c>
      <c r="C102" s="1">
        <v>45222</v>
      </c>
      <c r="D102" t="s">
        <v>13</v>
      </c>
      <c r="E102" s="20">
        <v>15045</v>
      </c>
      <c r="F102" s="6">
        <v>100</v>
      </c>
      <c r="G102" t="s">
        <v>19</v>
      </c>
      <c r="H102" t="s">
        <v>21</v>
      </c>
      <c r="I102" s="20">
        <f>Origen!$F102*Origen!$E102</f>
        <v>1504500</v>
      </c>
      <c r="J102" s="6">
        <f>VLOOKUP(A:A,Anexos!A:B,2,0)</f>
        <v>2023</v>
      </c>
      <c r="K102" s="6">
        <f>_xlfn.XLOOKUP(A:A,Anexos!A:A,Anexos!C:C,"No se encuentra",0)</f>
        <v>10</v>
      </c>
      <c r="L102" s="21" t="str">
        <f>VLOOKUP(A:A,Anexos!A:E,5,0)</f>
        <v>lunes</v>
      </c>
      <c r="M102" s="21" t="str">
        <f>VLOOKUP(A:A,Anexos!A:F,6,0)</f>
        <v>octubre</v>
      </c>
    </row>
    <row r="103" spans="1:13" x14ac:dyDescent="0.3">
      <c r="A103" s="6">
        <v>102</v>
      </c>
      <c r="B103" s="6" t="s">
        <v>29</v>
      </c>
      <c r="C103" s="1">
        <v>45881</v>
      </c>
      <c r="D103" t="s">
        <v>14</v>
      </c>
      <c r="E103" s="20">
        <v>14271</v>
      </c>
      <c r="F103" s="6">
        <v>56</v>
      </c>
      <c r="G103" t="s">
        <v>17</v>
      </c>
      <c r="H103" t="s">
        <v>22</v>
      </c>
      <c r="I103" s="20">
        <f>Origen!$F103*Origen!$E103</f>
        <v>799176</v>
      </c>
      <c r="J103" s="6">
        <f>VLOOKUP(A:A,Anexos!A:B,2,0)</f>
        <v>2025</v>
      </c>
      <c r="K103" s="6">
        <f>_xlfn.XLOOKUP(A:A,Anexos!A:A,Anexos!C:C,"No se encuentra",0)</f>
        <v>8</v>
      </c>
      <c r="L103" s="21" t="str">
        <f>VLOOKUP(A:A,Anexos!A:E,5,0)</f>
        <v>martes</v>
      </c>
      <c r="M103" s="21" t="str">
        <f>VLOOKUP(A:A,Anexos!A:F,6,0)</f>
        <v>agosto</v>
      </c>
    </row>
    <row r="104" spans="1:13" x14ac:dyDescent="0.3">
      <c r="A104" s="6">
        <v>103</v>
      </c>
      <c r="B104" s="6" t="s">
        <v>27</v>
      </c>
      <c r="C104" s="1">
        <v>45658</v>
      </c>
      <c r="D104" t="s">
        <v>15</v>
      </c>
      <c r="E104" s="20">
        <v>12361</v>
      </c>
      <c r="F104" s="6">
        <v>36</v>
      </c>
      <c r="G104" t="s">
        <v>18</v>
      </c>
      <c r="H104" t="s">
        <v>23</v>
      </c>
      <c r="I104" s="20">
        <f>Origen!$F104*Origen!$E104</f>
        <v>444996</v>
      </c>
      <c r="J104" s="6">
        <f>VLOOKUP(A:A,Anexos!A:B,2,0)</f>
        <v>2025</v>
      </c>
      <c r="K104" s="6">
        <f>_xlfn.XLOOKUP(A:A,Anexos!A:A,Anexos!C:C,"No se encuentra",0)</f>
        <v>1</v>
      </c>
      <c r="L104" s="21" t="str">
        <f>VLOOKUP(A:A,Anexos!A:E,5,0)</f>
        <v>miércoles</v>
      </c>
      <c r="M104" s="21" t="str">
        <f>VLOOKUP(A:A,Anexos!A:F,6,0)</f>
        <v>enero</v>
      </c>
    </row>
    <row r="105" spans="1:13" x14ac:dyDescent="0.3">
      <c r="A105" s="6">
        <v>104</v>
      </c>
      <c r="B105" s="6" t="s">
        <v>28</v>
      </c>
      <c r="C105" s="1">
        <v>45483</v>
      </c>
      <c r="D105" t="s">
        <v>16</v>
      </c>
      <c r="E105" s="20">
        <v>14933</v>
      </c>
      <c r="F105" s="6">
        <v>67</v>
      </c>
      <c r="G105" t="s">
        <v>19</v>
      </c>
      <c r="H105" t="s">
        <v>24</v>
      </c>
      <c r="I105" s="20">
        <f>Origen!$F105*Origen!$E105</f>
        <v>1000511</v>
      </c>
      <c r="J105" s="6">
        <f>VLOOKUP(A:A,Anexos!A:B,2,0)</f>
        <v>2024</v>
      </c>
      <c r="K105" s="6">
        <f>_xlfn.XLOOKUP(A:A,Anexos!A:A,Anexos!C:C,"No se encuentra",0)</f>
        <v>7</v>
      </c>
      <c r="L105" s="21" t="str">
        <f>VLOOKUP(A:A,Anexos!A:E,5,0)</f>
        <v>miércoles</v>
      </c>
      <c r="M105" s="21" t="str">
        <f>VLOOKUP(A:A,Anexos!A:F,6,0)</f>
        <v>julio</v>
      </c>
    </row>
    <row r="106" spans="1:13" x14ac:dyDescent="0.3">
      <c r="A106" s="6">
        <v>105</v>
      </c>
      <c r="B106" s="6" t="s">
        <v>29</v>
      </c>
      <c r="C106" s="1">
        <v>45378</v>
      </c>
      <c r="D106" t="s">
        <v>6</v>
      </c>
      <c r="E106" s="20">
        <v>15482</v>
      </c>
      <c r="F106" s="6">
        <v>24</v>
      </c>
      <c r="G106" t="s">
        <v>20</v>
      </c>
      <c r="H106" t="s">
        <v>21</v>
      </c>
      <c r="I106" s="20">
        <f>Origen!$F106*Origen!$E106</f>
        <v>371568</v>
      </c>
      <c r="J106" s="6">
        <f>VLOOKUP(A:A,Anexos!A:B,2,0)</f>
        <v>2024</v>
      </c>
      <c r="K106" s="6">
        <f>_xlfn.XLOOKUP(A:A,Anexos!A:A,Anexos!C:C,"No se encuentra",0)</f>
        <v>3</v>
      </c>
      <c r="L106" s="21" t="str">
        <f>VLOOKUP(A:A,Anexos!A:E,5,0)</f>
        <v>miércoles</v>
      </c>
      <c r="M106" s="21" t="str">
        <f>VLOOKUP(A:A,Anexos!A:F,6,0)</f>
        <v>marzo</v>
      </c>
    </row>
    <row r="107" spans="1:13" x14ac:dyDescent="0.3">
      <c r="A107" s="6">
        <v>106</v>
      </c>
      <c r="B107" s="6" t="s">
        <v>27</v>
      </c>
      <c r="C107" s="1">
        <v>45932</v>
      </c>
      <c r="D107" t="s">
        <v>7</v>
      </c>
      <c r="E107" s="20">
        <v>19159</v>
      </c>
      <c r="F107" s="6">
        <v>23</v>
      </c>
      <c r="G107" t="s">
        <v>17</v>
      </c>
      <c r="H107" t="s">
        <v>22</v>
      </c>
      <c r="I107" s="20">
        <f>Origen!$F107*Origen!$E107</f>
        <v>440657</v>
      </c>
      <c r="J107" s="6">
        <f>VLOOKUP(A:A,Anexos!A:B,2,0)</f>
        <v>2025</v>
      </c>
      <c r="K107" s="6">
        <f>_xlfn.XLOOKUP(A:A,Anexos!A:A,Anexos!C:C,"No se encuentra",0)</f>
        <v>10</v>
      </c>
      <c r="L107" s="21" t="str">
        <f>VLOOKUP(A:A,Anexos!A:E,5,0)</f>
        <v>jueves</v>
      </c>
      <c r="M107" s="21" t="str">
        <f>VLOOKUP(A:A,Anexos!A:F,6,0)</f>
        <v>octubre</v>
      </c>
    </row>
    <row r="108" spans="1:13" x14ac:dyDescent="0.3">
      <c r="A108" s="6">
        <v>107</v>
      </c>
      <c r="B108" s="6" t="s">
        <v>28</v>
      </c>
      <c r="C108" s="1">
        <v>45685</v>
      </c>
      <c r="D108" t="s">
        <v>8</v>
      </c>
      <c r="E108" s="20">
        <v>17523</v>
      </c>
      <c r="F108" s="6">
        <v>66</v>
      </c>
      <c r="G108" t="s">
        <v>18</v>
      </c>
      <c r="H108" t="s">
        <v>23</v>
      </c>
      <c r="I108" s="20">
        <f>Origen!$F108*Origen!$E108</f>
        <v>1156518</v>
      </c>
      <c r="J108" s="6">
        <f>VLOOKUP(A:A,Anexos!A:B,2,0)</f>
        <v>2025</v>
      </c>
      <c r="K108" s="6">
        <f>_xlfn.XLOOKUP(A:A,Anexos!A:A,Anexos!C:C,"No se encuentra",0)</f>
        <v>1</v>
      </c>
      <c r="L108" s="21" t="str">
        <f>VLOOKUP(A:A,Anexos!A:E,5,0)</f>
        <v>martes</v>
      </c>
      <c r="M108" s="21" t="str">
        <f>VLOOKUP(A:A,Anexos!A:F,6,0)</f>
        <v>enero</v>
      </c>
    </row>
    <row r="109" spans="1:13" x14ac:dyDescent="0.3">
      <c r="A109" s="6">
        <v>108</v>
      </c>
      <c r="B109" s="6" t="s">
        <v>29</v>
      </c>
      <c r="C109" s="1">
        <v>45691</v>
      </c>
      <c r="D109" t="s">
        <v>9</v>
      </c>
      <c r="E109" s="20">
        <v>19473</v>
      </c>
      <c r="F109" s="6">
        <v>84</v>
      </c>
      <c r="G109" t="s">
        <v>19</v>
      </c>
      <c r="H109" t="s">
        <v>24</v>
      </c>
      <c r="I109" s="20">
        <f>Origen!$F109*Origen!$E109</f>
        <v>1635732</v>
      </c>
      <c r="J109" s="6">
        <f>VLOOKUP(A:A,Anexos!A:B,2,0)</f>
        <v>2025</v>
      </c>
      <c r="K109" s="6">
        <f>_xlfn.XLOOKUP(A:A,Anexos!A:A,Anexos!C:C,"No se encuentra",0)</f>
        <v>2</v>
      </c>
      <c r="L109" s="21" t="str">
        <f>VLOOKUP(A:A,Anexos!A:E,5,0)</f>
        <v>lunes</v>
      </c>
      <c r="M109" s="21" t="str">
        <f>VLOOKUP(A:A,Anexos!A:F,6,0)</f>
        <v>febrero</v>
      </c>
    </row>
    <row r="110" spans="1:13" x14ac:dyDescent="0.3">
      <c r="A110" s="6">
        <v>109</v>
      </c>
      <c r="B110" s="6" t="s">
        <v>27</v>
      </c>
      <c r="C110" s="1">
        <v>45403</v>
      </c>
      <c r="D110" t="s">
        <v>10</v>
      </c>
      <c r="E110" s="20">
        <v>18811</v>
      </c>
      <c r="F110" s="6">
        <v>23</v>
      </c>
      <c r="G110" t="s">
        <v>20</v>
      </c>
      <c r="H110" t="s">
        <v>21</v>
      </c>
      <c r="I110" s="20">
        <f>Origen!$F110*Origen!$E110</f>
        <v>432653</v>
      </c>
      <c r="J110" s="6">
        <f>VLOOKUP(A:A,Anexos!A:B,2,0)</f>
        <v>2024</v>
      </c>
      <c r="K110" s="6">
        <f>_xlfn.XLOOKUP(A:A,Anexos!A:A,Anexos!C:C,"No se encuentra",0)</f>
        <v>4</v>
      </c>
      <c r="L110" s="21" t="str">
        <f>VLOOKUP(A:A,Anexos!A:E,5,0)</f>
        <v>domingo</v>
      </c>
      <c r="M110" s="21" t="str">
        <f>VLOOKUP(A:A,Anexos!A:F,6,0)</f>
        <v>abril</v>
      </c>
    </row>
    <row r="111" spans="1:13" x14ac:dyDescent="0.3">
      <c r="A111" s="6">
        <v>110</v>
      </c>
      <c r="B111" s="6" t="s">
        <v>28</v>
      </c>
      <c r="C111" s="1">
        <v>45890</v>
      </c>
      <c r="D111" t="s">
        <v>11</v>
      </c>
      <c r="E111" s="20">
        <v>19176</v>
      </c>
      <c r="F111" s="6">
        <v>22</v>
      </c>
      <c r="G111" t="s">
        <v>17</v>
      </c>
      <c r="H111" t="s">
        <v>22</v>
      </c>
      <c r="I111" s="20">
        <f>Origen!$F111*Origen!$E111</f>
        <v>421872</v>
      </c>
      <c r="J111" s="6">
        <f>VLOOKUP(A:A,Anexos!A:B,2,0)</f>
        <v>2025</v>
      </c>
      <c r="K111" s="6">
        <f>_xlfn.XLOOKUP(A:A,Anexos!A:A,Anexos!C:C,"No se encuentra",0)</f>
        <v>8</v>
      </c>
      <c r="L111" s="21" t="str">
        <f>VLOOKUP(A:A,Anexos!A:E,5,0)</f>
        <v>jueves</v>
      </c>
      <c r="M111" s="21" t="str">
        <f>VLOOKUP(A:A,Anexos!A:F,6,0)</f>
        <v>agosto</v>
      </c>
    </row>
    <row r="112" spans="1:13" x14ac:dyDescent="0.3">
      <c r="A112" s="6">
        <v>111</v>
      </c>
      <c r="B112" s="6" t="s">
        <v>29</v>
      </c>
      <c r="C112" s="1">
        <v>45941</v>
      </c>
      <c r="D112" t="s">
        <v>12</v>
      </c>
      <c r="E112" s="20">
        <v>18185</v>
      </c>
      <c r="F112" s="6">
        <v>13</v>
      </c>
      <c r="G112" t="s">
        <v>18</v>
      </c>
      <c r="H112" t="s">
        <v>23</v>
      </c>
      <c r="I112" s="20">
        <f>Origen!$F112*Origen!$E112</f>
        <v>236405</v>
      </c>
      <c r="J112" s="6">
        <f>VLOOKUP(A:A,Anexos!A:B,2,0)</f>
        <v>2025</v>
      </c>
      <c r="K112" s="6">
        <f>_xlfn.XLOOKUP(A:A,Anexos!A:A,Anexos!C:C,"No se encuentra",0)</f>
        <v>10</v>
      </c>
      <c r="L112" s="21" t="str">
        <f>VLOOKUP(A:A,Anexos!A:E,5,0)</f>
        <v>sábado</v>
      </c>
      <c r="M112" s="21" t="str">
        <f>VLOOKUP(A:A,Anexos!A:F,6,0)</f>
        <v>octubre</v>
      </c>
    </row>
    <row r="113" spans="1:13" x14ac:dyDescent="0.3">
      <c r="A113" s="6">
        <v>112</v>
      </c>
      <c r="B113" s="6" t="s">
        <v>27</v>
      </c>
      <c r="C113" s="1">
        <v>45644</v>
      </c>
      <c r="D113" t="s">
        <v>13</v>
      </c>
      <c r="E113" s="20">
        <v>15045</v>
      </c>
      <c r="F113" s="6">
        <v>52</v>
      </c>
      <c r="G113" t="s">
        <v>19</v>
      </c>
      <c r="H113" t="s">
        <v>24</v>
      </c>
      <c r="I113" s="20">
        <f>Origen!$F113*Origen!$E113</f>
        <v>782340</v>
      </c>
      <c r="J113" s="6">
        <f>VLOOKUP(A:A,Anexos!A:B,2,0)</f>
        <v>2024</v>
      </c>
      <c r="K113" s="6">
        <f>_xlfn.XLOOKUP(A:A,Anexos!A:A,Anexos!C:C,"No se encuentra",0)</f>
        <v>12</v>
      </c>
      <c r="L113" s="21" t="str">
        <f>VLOOKUP(A:A,Anexos!A:E,5,0)</f>
        <v>miércoles</v>
      </c>
      <c r="M113" s="21" t="str">
        <f>VLOOKUP(A:A,Anexos!A:F,6,0)</f>
        <v>diciembre</v>
      </c>
    </row>
    <row r="114" spans="1:13" x14ac:dyDescent="0.3">
      <c r="A114" s="6">
        <v>113</v>
      </c>
      <c r="B114" s="6" t="s">
        <v>28</v>
      </c>
      <c r="C114" s="1">
        <v>45825</v>
      </c>
      <c r="D114" t="s">
        <v>14</v>
      </c>
      <c r="E114" s="20">
        <v>14271</v>
      </c>
      <c r="F114" s="6">
        <v>34</v>
      </c>
      <c r="G114" t="s">
        <v>20</v>
      </c>
      <c r="H114" t="s">
        <v>21</v>
      </c>
      <c r="I114" s="20">
        <f>Origen!$F114*Origen!$E114</f>
        <v>485214</v>
      </c>
      <c r="J114" s="6">
        <f>VLOOKUP(A:A,Anexos!A:B,2,0)</f>
        <v>2025</v>
      </c>
      <c r="K114" s="6">
        <f>_xlfn.XLOOKUP(A:A,Anexos!A:A,Anexos!C:C,"No se encuentra",0)</f>
        <v>6</v>
      </c>
      <c r="L114" s="21" t="str">
        <f>VLOOKUP(A:A,Anexos!A:E,5,0)</f>
        <v>martes</v>
      </c>
      <c r="M114" s="21" t="str">
        <f>VLOOKUP(A:A,Anexos!A:F,6,0)</f>
        <v>junio</v>
      </c>
    </row>
    <row r="115" spans="1:13" x14ac:dyDescent="0.3">
      <c r="A115" s="6">
        <v>114</v>
      </c>
      <c r="B115" s="6" t="s">
        <v>29</v>
      </c>
      <c r="C115" s="1">
        <v>44947</v>
      </c>
      <c r="D115" t="s">
        <v>15</v>
      </c>
      <c r="E115" s="20">
        <v>12361</v>
      </c>
      <c r="F115" s="6">
        <v>41</v>
      </c>
      <c r="G115" t="s">
        <v>17</v>
      </c>
      <c r="H115" t="s">
        <v>22</v>
      </c>
      <c r="I115" s="20">
        <f>Origen!$F115*Origen!$E115</f>
        <v>506801</v>
      </c>
      <c r="J115" s="6">
        <f>VLOOKUP(A:A,Anexos!A:B,2,0)</f>
        <v>2023</v>
      </c>
      <c r="K115" s="6">
        <f>_xlfn.XLOOKUP(A:A,Anexos!A:A,Anexos!C:C,"No se encuentra",0)</f>
        <v>1</v>
      </c>
      <c r="L115" s="21" t="str">
        <f>VLOOKUP(A:A,Anexos!A:E,5,0)</f>
        <v>sábado</v>
      </c>
      <c r="M115" s="21" t="str">
        <f>VLOOKUP(A:A,Anexos!A:F,6,0)</f>
        <v>enero</v>
      </c>
    </row>
    <row r="116" spans="1:13" x14ac:dyDescent="0.3">
      <c r="A116" s="6">
        <v>115</v>
      </c>
      <c r="B116" s="6" t="s">
        <v>27</v>
      </c>
      <c r="C116" s="1">
        <v>45769</v>
      </c>
      <c r="D116" t="s">
        <v>16</v>
      </c>
      <c r="E116" s="20">
        <v>14933</v>
      </c>
      <c r="F116" s="6">
        <v>13</v>
      </c>
      <c r="G116" t="s">
        <v>18</v>
      </c>
      <c r="H116" t="s">
        <v>23</v>
      </c>
      <c r="I116" s="20">
        <f>Origen!$F116*Origen!$E116</f>
        <v>194129</v>
      </c>
      <c r="J116" s="6">
        <f>VLOOKUP(A:A,Anexos!A:B,2,0)</f>
        <v>2025</v>
      </c>
      <c r="K116" s="6">
        <f>_xlfn.XLOOKUP(A:A,Anexos!A:A,Anexos!C:C,"No se encuentra",0)</f>
        <v>4</v>
      </c>
      <c r="L116" s="21" t="str">
        <f>VLOOKUP(A:A,Anexos!A:E,5,0)</f>
        <v>martes</v>
      </c>
      <c r="M116" s="21" t="str">
        <f>VLOOKUP(A:A,Anexos!A:F,6,0)</f>
        <v>abril</v>
      </c>
    </row>
    <row r="117" spans="1:13" x14ac:dyDescent="0.3">
      <c r="A117" s="6">
        <v>116</v>
      </c>
      <c r="B117" s="6" t="s">
        <v>28</v>
      </c>
      <c r="C117" s="1">
        <v>45918</v>
      </c>
      <c r="D117" t="s">
        <v>11</v>
      </c>
      <c r="E117" s="20">
        <v>19176</v>
      </c>
      <c r="F117" s="6">
        <v>68</v>
      </c>
      <c r="G117" t="s">
        <v>19</v>
      </c>
      <c r="H117" t="s">
        <v>24</v>
      </c>
      <c r="I117" s="20">
        <f>Origen!$F117*Origen!$E117</f>
        <v>1303968</v>
      </c>
      <c r="J117" s="6">
        <f>VLOOKUP(A:A,Anexos!A:B,2,0)</f>
        <v>2025</v>
      </c>
      <c r="K117" s="6">
        <f>_xlfn.XLOOKUP(A:A,Anexos!A:A,Anexos!C:C,"No se encuentra",0)</f>
        <v>9</v>
      </c>
      <c r="L117" s="21" t="str">
        <f>VLOOKUP(A:A,Anexos!A:E,5,0)</f>
        <v>jueves</v>
      </c>
      <c r="M117" s="21" t="str">
        <f>VLOOKUP(A:A,Anexos!A:F,6,0)</f>
        <v>septiembre</v>
      </c>
    </row>
    <row r="118" spans="1:13" x14ac:dyDescent="0.3">
      <c r="A118" s="6">
        <v>117</v>
      </c>
      <c r="B118" s="6" t="s">
        <v>29</v>
      </c>
      <c r="C118" s="1">
        <v>45278</v>
      </c>
      <c r="D118" t="s">
        <v>12</v>
      </c>
      <c r="E118" s="20">
        <v>18185</v>
      </c>
      <c r="F118" s="6">
        <v>27</v>
      </c>
      <c r="G118" t="s">
        <v>17</v>
      </c>
      <c r="H118" t="s">
        <v>21</v>
      </c>
      <c r="I118" s="20">
        <f>Origen!$F118*Origen!$E118</f>
        <v>490995</v>
      </c>
      <c r="J118" s="6">
        <f>VLOOKUP(A:A,Anexos!A:B,2,0)</f>
        <v>2023</v>
      </c>
      <c r="K118" s="6">
        <f>_xlfn.XLOOKUP(A:A,Anexos!A:A,Anexos!C:C,"No se encuentra",0)</f>
        <v>12</v>
      </c>
      <c r="L118" s="21" t="str">
        <f>VLOOKUP(A:A,Anexos!A:E,5,0)</f>
        <v>lunes</v>
      </c>
      <c r="M118" s="21" t="str">
        <f>VLOOKUP(A:A,Anexos!A:F,6,0)</f>
        <v>diciembre</v>
      </c>
    </row>
    <row r="119" spans="1:13" x14ac:dyDescent="0.3">
      <c r="A119" s="6">
        <v>118</v>
      </c>
      <c r="B119" s="6" t="s">
        <v>27</v>
      </c>
      <c r="C119" s="1">
        <v>45025</v>
      </c>
      <c r="D119" t="s">
        <v>13</v>
      </c>
      <c r="E119" s="20">
        <v>15045</v>
      </c>
      <c r="F119" s="6">
        <v>98</v>
      </c>
      <c r="G119" t="s">
        <v>18</v>
      </c>
      <c r="H119" t="s">
        <v>22</v>
      </c>
      <c r="I119" s="20">
        <f>Origen!$F119*Origen!$E119</f>
        <v>1474410</v>
      </c>
      <c r="J119" s="6">
        <f>VLOOKUP(A:A,Anexos!A:B,2,0)</f>
        <v>2023</v>
      </c>
      <c r="K119" s="6">
        <f>_xlfn.XLOOKUP(A:A,Anexos!A:A,Anexos!C:C,"No se encuentra",0)</f>
        <v>4</v>
      </c>
      <c r="L119" s="21" t="str">
        <f>VLOOKUP(A:A,Anexos!A:E,5,0)</f>
        <v>domingo</v>
      </c>
      <c r="M119" s="21" t="str">
        <f>VLOOKUP(A:A,Anexos!A:F,6,0)</f>
        <v>abril</v>
      </c>
    </row>
    <row r="120" spans="1:13" x14ac:dyDescent="0.3">
      <c r="A120" s="6">
        <v>119</v>
      </c>
      <c r="B120" s="6" t="s">
        <v>28</v>
      </c>
      <c r="C120" s="1">
        <v>45474</v>
      </c>
      <c r="D120" t="s">
        <v>14</v>
      </c>
      <c r="E120" s="20">
        <v>14271</v>
      </c>
      <c r="F120" s="6">
        <v>82</v>
      </c>
      <c r="G120" t="s">
        <v>19</v>
      </c>
      <c r="H120" t="s">
        <v>23</v>
      </c>
      <c r="I120" s="20">
        <f>Origen!$F120*Origen!$E120</f>
        <v>1170222</v>
      </c>
      <c r="J120" s="6">
        <f>VLOOKUP(A:A,Anexos!A:B,2,0)</f>
        <v>2024</v>
      </c>
      <c r="K120" s="6">
        <f>_xlfn.XLOOKUP(A:A,Anexos!A:A,Anexos!C:C,"No se encuentra",0)</f>
        <v>7</v>
      </c>
      <c r="L120" s="21" t="str">
        <f>VLOOKUP(A:A,Anexos!A:E,5,0)</f>
        <v>lunes</v>
      </c>
      <c r="M120" s="21" t="str">
        <f>VLOOKUP(A:A,Anexos!A:F,6,0)</f>
        <v>julio</v>
      </c>
    </row>
    <row r="121" spans="1:13" x14ac:dyDescent="0.3">
      <c r="A121" s="6">
        <v>120</v>
      </c>
      <c r="B121" s="6" t="s">
        <v>29</v>
      </c>
      <c r="C121" s="1">
        <v>45725</v>
      </c>
      <c r="D121" t="s">
        <v>15</v>
      </c>
      <c r="E121" s="20">
        <v>12361</v>
      </c>
      <c r="F121" s="6">
        <v>19</v>
      </c>
      <c r="G121" t="s">
        <v>20</v>
      </c>
      <c r="H121" t="s">
        <v>24</v>
      </c>
      <c r="I121" s="20">
        <f>Origen!$F121*Origen!$E121</f>
        <v>234859</v>
      </c>
      <c r="J121" s="6">
        <f>VLOOKUP(A:A,Anexos!A:B,2,0)</f>
        <v>2025</v>
      </c>
      <c r="K121" s="6">
        <f>_xlfn.XLOOKUP(A:A,Anexos!A:A,Anexos!C:C,"No se encuentra",0)</f>
        <v>3</v>
      </c>
      <c r="L121" s="21" t="str">
        <f>VLOOKUP(A:A,Anexos!A:E,5,0)</f>
        <v>domingo</v>
      </c>
      <c r="M121" s="21" t="str">
        <f>VLOOKUP(A:A,Anexos!A:F,6,0)</f>
        <v>marzo</v>
      </c>
    </row>
    <row r="122" spans="1:13" x14ac:dyDescent="0.3">
      <c r="A122" s="6">
        <v>121</v>
      </c>
      <c r="B122" s="6" t="s">
        <v>27</v>
      </c>
      <c r="C122" s="1">
        <v>45767</v>
      </c>
      <c r="D122" t="s">
        <v>16</v>
      </c>
      <c r="E122" s="20">
        <v>14933</v>
      </c>
      <c r="F122" s="6">
        <v>83</v>
      </c>
      <c r="G122" t="s">
        <v>17</v>
      </c>
      <c r="H122" t="s">
        <v>21</v>
      </c>
      <c r="I122" s="20">
        <f>Origen!$F122*Origen!$E122</f>
        <v>1239439</v>
      </c>
      <c r="J122" s="6">
        <f>VLOOKUP(A:A,Anexos!A:B,2,0)</f>
        <v>2025</v>
      </c>
      <c r="K122" s="6">
        <f>_xlfn.XLOOKUP(A:A,Anexos!A:A,Anexos!C:C,"No se encuentra",0)</f>
        <v>4</v>
      </c>
      <c r="L122" s="21" t="str">
        <f>VLOOKUP(A:A,Anexos!A:E,5,0)</f>
        <v>domingo</v>
      </c>
      <c r="M122" s="21" t="str">
        <f>VLOOKUP(A:A,Anexos!A:F,6,0)</f>
        <v>abril</v>
      </c>
    </row>
    <row r="123" spans="1:13" x14ac:dyDescent="0.3">
      <c r="A123" s="6">
        <v>122</v>
      </c>
      <c r="B123" s="6" t="s">
        <v>28</v>
      </c>
      <c r="C123" s="1">
        <v>45050</v>
      </c>
      <c r="D123" t="s">
        <v>6</v>
      </c>
      <c r="E123" s="20">
        <v>15482</v>
      </c>
      <c r="F123" s="6">
        <v>26</v>
      </c>
      <c r="G123" t="s">
        <v>18</v>
      </c>
      <c r="H123" t="s">
        <v>22</v>
      </c>
      <c r="I123" s="20">
        <f>Origen!$F123*Origen!$E123</f>
        <v>402532</v>
      </c>
      <c r="J123" s="6">
        <f>VLOOKUP(A:A,Anexos!A:B,2,0)</f>
        <v>2023</v>
      </c>
      <c r="K123" s="6">
        <f>_xlfn.XLOOKUP(A:A,Anexos!A:A,Anexos!C:C,"No se encuentra",0)</f>
        <v>5</v>
      </c>
      <c r="L123" s="21" t="str">
        <f>VLOOKUP(A:A,Anexos!A:E,5,0)</f>
        <v>jueves</v>
      </c>
      <c r="M123" s="21" t="str">
        <f>VLOOKUP(A:A,Anexos!A:F,6,0)</f>
        <v>mayo</v>
      </c>
    </row>
    <row r="124" spans="1:13" x14ac:dyDescent="0.3">
      <c r="A124" s="6">
        <v>123</v>
      </c>
      <c r="B124" s="6" t="s">
        <v>29</v>
      </c>
      <c r="C124" s="1">
        <v>45780</v>
      </c>
      <c r="D124" t="s">
        <v>7</v>
      </c>
      <c r="E124" s="20">
        <v>19159</v>
      </c>
      <c r="F124" s="6">
        <v>42</v>
      </c>
      <c r="G124" t="s">
        <v>19</v>
      </c>
      <c r="H124" t="s">
        <v>23</v>
      </c>
      <c r="I124" s="20">
        <f>Origen!$F124*Origen!$E124</f>
        <v>804678</v>
      </c>
      <c r="J124" s="6">
        <f>VLOOKUP(A:A,Anexos!A:B,2,0)</f>
        <v>2025</v>
      </c>
      <c r="K124" s="6">
        <f>_xlfn.XLOOKUP(A:A,Anexos!A:A,Anexos!C:C,"No se encuentra",0)</f>
        <v>5</v>
      </c>
      <c r="L124" s="21" t="str">
        <f>VLOOKUP(A:A,Anexos!A:E,5,0)</f>
        <v>sábado</v>
      </c>
      <c r="M124" s="21" t="str">
        <f>VLOOKUP(A:A,Anexos!A:F,6,0)</f>
        <v>mayo</v>
      </c>
    </row>
    <row r="125" spans="1:13" x14ac:dyDescent="0.3">
      <c r="A125" s="6">
        <v>124</v>
      </c>
      <c r="B125" s="6" t="s">
        <v>27</v>
      </c>
      <c r="C125" s="1">
        <v>45290</v>
      </c>
      <c r="D125" t="s">
        <v>8</v>
      </c>
      <c r="E125" s="20">
        <v>17523</v>
      </c>
      <c r="F125" s="6">
        <v>68</v>
      </c>
      <c r="G125" t="s">
        <v>20</v>
      </c>
      <c r="H125" t="s">
        <v>24</v>
      </c>
      <c r="I125" s="20">
        <f>Origen!$F125*Origen!$E125</f>
        <v>1191564</v>
      </c>
      <c r="J125" s="6">
        <f>VLOOKUP(A:A,Anexos!A:B,2,0)</f>
        <v>2023</v>
      </c>
      <c r="K125" s="6">
        <f>_xlfn.XLOOKUP(A:A,Anexos!A:A,Anexos!C:C,"No se encuentra",0)</f>
        <v>12</v>
      </c>
      <c r="L125" s="21" t="str">
        <f>VLOOKUP(A:A,Anexos!A:E,5,0)</f>
        <v>sábado</v>
      </c>
      <c r="M125" s="21" t="str">
        <f>VLOOKUP(A:A,Anexos!A:F,6,0)</f>
        <v>diciembre</v>
      </c>
    </row>
    <row r="126" spans="1:13" x14ac:dyDescent="0.3">
      <c r="A126" s="6">
        <v>125</v>
      </c>
      <c r="B126" s="6" t="s">
        <v>28</v>
      </c>
      <c r="C126" s="1">
        <v>45430</v>
      </c>
      <c r="D126" t="s">
        <v>9</v>
      </c>
      <c r="E126" s="20">
        <v>19473</v>
      </c>
      <c r="F126" s="6">
        <v>65</v>
      </c>
      <c r="G126" t="s">
        <v>17</v>
      </c>
      <c r="H126" t="s">
        <v>21</v>
      </c>
      <c r="I126" s="20">
        <f>Origen!$F126*Origen!$E126</f>
        <v>1265745</v>
      </c>
      <c r="J126" s="6">
        <f>VLOOKUP(A:A,Anexos!A:B,2,0)</f>
        <v>2024</v>
      </c>
      <c r="K126" s="6">
        <f>_xlfn.XLOOKUP(A:A,Anexos!A:A,Anexos!C:C,"No se encuentra",0)</f>
        <v>5</v>
      </c>
      <c r="L126" s="21" t="str">
        <f>VLOOKUP(A:A,Anexos!A:E,5,0)</f>
        <v>sábado</v>
      </c>
      <c r="M126" s="21" t="str">
        <f>VLOOKUP(A:A,Anexos!A:F,6,0)</f>
        <v>mayo</v>
      </c>
    </row>
    <row r="127" spans="1:13" x14ac:dyDescent="0.3">
      <c r="A127" s="6">
        <v>126</v>
      </c>
      <c r="B127" s="6" t="s">
        <v>29</v>
      </c>
      <c r="C127" s="1">
        <v>45967</v>
      </c>
      <c r="D127" t="s">
        <v>10</v>
      </c>
      <c r="E127" s="20">
        <v>18811</v>
      </c>
      <c r="F127" s="6">
        <v>78</v>
      </c>
      <c r="G127" t="s">
        <v>18</v>
      </c>
      <c r="H127" t="s">
        <v>22</v>
      </c>
      <c r="I127" s="20">
        <f>Origen!$F127*Origen!$E127</f>
        <v>1467258</v>
      </c>
      <c r="J127" s="6">
        <f>VLOOKUP(A:A,Anexos!A:B,2,0)</f>
        <v>2025</v>
      </c>
      <c r="K127" s="6">
        <f>_xlfn.XLOOKUP(A:A,Anexos!A:A,Anexos!C:C,"No se encuentra",0)</f>
        <v>11</v>
      </c>
      <c r="L127" s="21" t="str">
        <f>VLOOKUP(A:A,Anexos!A:E,5,0)</f>
        <v>jueves</v>
      </c>
      <c r="M127" s="21" t="str">
        <f>VLOOKUP(A:A,Anexos!A:F,6,0)</f>
        <v>noviembre</v>
      </c>
    </row>
    <row r="128" spans="1:13" x14ac:dyDescent="0.3">
      <c r="A128" s="6">
        <v>127</v>
      </c>
      <c r="B128" s="6" t="s">
        <v>27</v>
      </c>
      <c r="C128" s="1">
        <v>45718</v>
      </c>
      <c r="D128" t="s">
        <v>11</v>
      </c>
      <c r="E128" s="20">
        <v>19176</v>
      </c>
      <c r="F128" s="6">
        <v>99</v>
      </c>
      <c r="G128" t="s">
        <v>19</v>
      </c>
      <c r="H128" t="s">
        <v>23</v>
      </c>
      <c r="I128" s="20">
        <f>Origen!$F128*Origen!$E128</f>
        <v>1898424</v>
      </c>
      <c r="J128" s="6">
        <f>VLOOKUP(A:A,Anexos!A:B,2,0)</f>
        <v>2025</v>
      </c>
      <c r="K128" s="6">
        <f>_xlfn.XLOOKUP(A:A,Anexos!A:A,Anexos!C:C,"No se encuentra",0)</f>
        <v>3</v>
      </c>
      <c r="L128" s="21" t="str">
        <f>VLOOKUP(A:A,Anexos!A:E,5,0)</f>
        <v>domingo</v>
      </c>
      <c r="M128" s="21" t="str">
        <f>VLOOKUP(A:A,Anexos!A:F,6,0)</f>
        <v>marzo</v>
      </c>
    </row>
    <row r="129" spans="1:13" x14ac:dyDescent="0.3">
      <c r="A129" s="6">
        <v>128</v>
      </c>
      <c r="B129" s="6" t="s">
        <v>28</v>
      </c>
      <c r="C129" s="1">
        <v>45124</v>
      </c>
      <c r="D129" t="s">
        <v>12</v>
      </c>
      <c r="E129" s="20">
        <v>18185</v>
      </c>
      <c r="F129" s="6">
        <v>11</v>
      </c>
      <c r="G129" t="s">
        <v>20</v>
      </c>
      <c r="H129" t="s">
        <v>24</v>
      </c>
      <c r="I129" s="20">
        <f>Origen!$F129*Origen!$E129</f>
        <v>200035</v>
      </c>
      <c r="J129" s="6">
        <f>VLOOKUP(A:A,Anexos!A:B,2,0)</f>
        <v>2023</v>
      </c>
      <c r="K129" s="6">
        <f>_xlfn.XLOOKUP(A:A,Anexos!A:A,Anexos!C:C,"No se encuentra",0)</f>
        <v>7</v>
      </c>
      <c r="L129" s="21" t="str">
        <f>VLOOKUP(A:A,Anexos!A:E,5,0)</f>
        <v>lunes</v>
      </c>
      <c r="M129" s="21" t="str">
        <f>VLOOKUP(A:A,Anexos!A:F,6,0)</f>
        <v>julio</v>
      </c>
    </row>
    <row r="130" spans="1:13" x14ac:dyDescent="0.3">
      <c r="A130" s="6">
        <v>129</v>
      </c>
      <c r="B130" s="6" t="s">
        <v>29</v>
      </c>
      <c r="C130" s="1">
        <v>45090</v>
      </c>
      <c r="D130" t="s">
        <v>13</v>
      </c>
      <c r="E130" s="20">
        <v>15045</v>
      </c>
      <c r="F130" s="6">
        <v>17</v>
      </c>
      <c r="G130" t="s">
        <v>17</v>
      </c>
      <c r="H130" t="s">
        <v>21</v>
      </c>
      <c r="I130" s="20">
        <f>Origen!$F130*Origen!$E130</f>
        <v>255765</v>
      </c>
      <c r="J130" s="6">
        <f>VLOOKUP(A:A,Anexos!A:B,2,0)</f>
        <v>2023</v>
      </c>
      <c r="K130" s="6">
        <f>_xlfn.XLOOKUP(A:A,Anexos!A:A,Anexos!C:C,"No se encuentra",0)</f>
        <v>6</v>
      </c>
      <c r="L130" s="21" t="str">
        <f>VLOOKUP(A:A,Anexos!A:E,5,0)</f>
        <v>martes</v>
      </c>
      <c r="M130" s="21" t="str">
        <f>VLOOKUP(A:A,Anexos!A:F,6,0)</f>
        <v>junio</v>
      </c>
    </row>
    <row r="131" spans="1:13" x14ac:dyDescent="0.3">
      <c r="A131" s="6">
        <v>130</v>
      </c>
      <c r="B131" s="6" t="s">
        <v>27</v>
      </c>
      <c r="C131" s="1">
        <v>45986</v>
      </c>
      <c r="D131" t="s">
        <v>6</v>
      </c>
      <c r="E131" s="20">
        <v>15482</v>
      </c>
      <c r="F131" s="6">
        <v>27</v>
      </c>
      <c r="G131" t="s">
        <v>18</v>
      </c>
      <c r="H131" t="s">
        <v>22</v>
      </c>
      <c r="I131" s="20">
        <f>Origen!$F131*Origen!$E131</f>
        <v>418014</v>
      </c>
      <c r="J131" s="6">
        <f>VLOOKUP(A:A,Anexos!A:B,2,0)</f>
        <v>2025</v>
      </c>
      <c r="K131" s="6">
        <f>_xlfn.XLOOKUP(A:A,Anexos!A:A,Anexos!C:C,"No se encuentra",0)</f>
        <v>11</v>
      </c>
      <c r="L131" s="21" t="str">
        <f>VLOOKUP(A:A,Anexos!A:E,5,0)</f>
        <v>martes</v>
      </c>
      <c r="M131" s="21" t="str">
        <f>VLOOKUP(A:A,Anexos!A:F,6,0)</f>
        <v>noviembre</v>
      </c>
    </row>
    <row r="132" spans="1:13" x14ac:dyDescent="0.3">
      <c r="A132" s="6">
        <v>131</v>
      </c>
      <c r="B132" s="6" t="s">
        <v>28</v>
      </c>
      <c r="C132" s="1">
        <v>45176</v>
      </c>
      <c r="D132" t="s">
        <v>7</v>
      </c>
      <c r="E132" s="20">
        <v>19159</v>
      </c>
      <c r="F132" s="6">
        <v>55</v>
      </c>
      <c r="G132" t="s">
        <v>19</v>
      </c>
      <c r="H132" t="s">
        <v>23</v>
      </c>
      <c r="I132" s="20">
        <f>Origen!$F132*Origen!$E132</f>
        <v>1053745</v>
      </c>
      <c r="J132" s="6">
        <f>VLOOKUP(A:A,Anexos!A:B,2,0)</f>
        <v>2023</v>
      </c>
      <c r="K132" s="6">
        <f>_xlfn.XLOOKUP(A:A,Anexos!A:A,Anexos!C:C,"No se encuentra",0)</f>
        <v>9</v>
      </c>
      <c r="L132" s="21" t="str">
        <f>VLOOKUP(A:A,Anexos!A:E,5,0)</f>
        <v>jueves</v>
      </c>
      <c r="M132" s="21" t="str">
        <f>VLOOKUP(A:A,Anexos!A:F,6,0)</f>
        <v>septiembre</v>
      </c>
    </row>
    <row r="133" spans="1:13" x14ac:dyDescent="0.3">
      <c r="A133" s="6">
        <v>132</v>
      </c>
      <c r="B133" s="6" t="s">
        <v>29</v>
      </c>
      <c r="C133" s="1">
        <v>45257</v>
      </c>
      <c r="D133" t="s">
        <v>8</v>
      </c>
      <c r="E133" s="20">
        <v>17523</v>
      </c>
      <c r="F133" s="6">
        <v>17</v>
      </c>
      <c r="G133" t="s">
        <v>17</v>
      </c>
      <c r="H133" t="s">
        <v>24</v>
      </c>
      <c r="I133" s="20">
        <f>Origen!$F133*Origen!$E133</f>
        <v>297891</v>
      </c>
      <c r="J133" s="6">
        <f>VLOOKUP(A:A,Anexos!A:B,2,0)</f>
        <v>2023</v>
      </c>
      <c r="K133" s="6">
        <f>_xlfn.XLOOKUP(A:A,Anexos!A:A,Anexos!C:C,"No se encuentra",0)</f>
        <v>11</v>
      </c>
      <c r="L133" s="21" t="str">
        <f>VLOOKUP(A:A,Anexos!A:E,5,0)</f>
        <v>lunes</v>
      </c>
      <c r="M133" s="21" t="str">
        <f>VLOOKUP(A:A,Anexos!A:F,6,0)</f>
        <v>noviembre</v>
      </c>
    </row>
    <row r="134" spans="1:13" x14ac:dyDescent="0.3">
      <c r="A134" s="6">
        <v>133</v>
      </c>
      <c r="B134" s="6" t="s">
        <v>27</v>
      </c>
      <c r="C134" s="1">
        <v>45982</v>
      </c>
      <c r="D134" t="s">
        <v>9</v>
      </c>
      <c r="E134" s="20">
        <v>19473</v>
      </c>
      <c r="F134" s="6">
        <v>44</v>
      </c>
      <c r="G134" t="s">
        <v>18</v>
      </c>
      <c r="H134" t="s">
        <v>21</v>
      </c>
      <c r="I134" s="20">
        <f>Origen!$F134*Origen!$E134</f>
        <v>856812</v>
      </c>
      <c r="J134" s="6">
        <f>VLOOKUP(A:A,Anexos!A:B,2,0)</f>
        <v>2025</v>
      </c>
      <c r="K134" s="6">
        <f>_xlfn.XLOOKUP(A:A,Anexos!A:A,Anexos!C:C,"No se encuentra",0)</f>
        <v>11</v>
      </c>
      <c r="L134" s="21" t="str">
        <f>VLOOKUP(A:A,Anexos!A:E,5,0)</f>
        <v>viernes</v>
      </c>
      <c r="M134" s="21" t="str">
        <f>VLOOKUP(A:A,Anexos!A:F,6,0)</f>
        <v>noviembre</v>
      </c>
    </row>
    <row r="135" spans="1:13" x14ac:dyDescent="0.3">
      <c r="A135" s="6">
        <v>134</v>
      </c>
      <c r="B135" s="6" t="s">
        <v>28</v>
      </c>
      <c r="C135" s="1">
        <v>45290</v>
      </c>
      <c r="D135" t="s">
        <v>10</v>
      </c>
      <c r="E135" s="20">
        <v>18811</v>
      </c>
      <c r="F135" s="6">
        <v>22</v>
      </c>
      <c r="G135" t="s">
        <v>19</v>
      </c>
      <c r="H135" t="s">
        <v>22</v>
      </c>
      <c r="I135" s="20">
        <f>Origen!$F135*Origen!$E135</f>
        <v>413842</v>
      </c>
      <c r="J135" s="6">
        <f>VLOOKUP(A:A,Anexos!A:B,2,0)</f>
        <v>2023</v>
      </c>
      <c r="K135" s="6">
        <f>_xlfn.XLOOKUP(A:A,Anexos!A:A,Anexos!C:C,"No se encuentra",0)</f>
        <v>12</v>
      </c>
      <c r="L135" s="21" t="str">
        <f>VLOOKUP(A:A,Anexos!A:E,5,0)</f>
        <v>sábado</v>
      </c>
      <c r="M135" s="21" t="str">
        <f>VLOOKUP(A:A,Anexos!A:F,6,0)</f>
        <v>diciembre</v>
      </c>
    </row>
    <row r="136" spans="1:13" x14ac:dyDescent="0.3">
      <c r="A136" s="6">
        <v>135</v>
      </c>
      <c r="B136" s="6" t="s">
        <v>29</v>
      </c>
      <c r="C136" s="1">
        <v>45802</v>
      </c>
      <c r="D136" t="s">
        <v>11</v>
      </c>
      <c r="E136" s="20">
        <v>19176</v>
      </c>
      <c r="F136" s="6">
        <v>63</v>
      </c>
      <c r="G136" t="s">
        <v>20</v>
      </c>
      <c r="H136" t="s">
        <v>23</v>
      </c>
      <c r="I136" s="20">
        <f>Origen!$F136*Origen!$E136</f>
        <v>1208088</v>
      </c>
      <c r="J136" s="6">
        <f>VLOOKUP(A:A,Anexos!A:B,2,0)</f>
        <v>2025</v>
      </c>
      <c r="K136" s="6">
        <f>_xlfn.XLOOKUP(A:A,Anexos!A:A,Anexos!C:C,"No se encuentra",0)</f>
        <v>5</v>
      </c>
      <c r="L136" s="21" t="str">
        <f>VLOOKUP(A:A,Anexos!A:E,5,0)</f>
        <v>domingo</v>
      </c>
      <c r="M136" s="21" t="str">
        <f>VLOOKUP(A:A,Anexos!A:F,6,0)</f>
        <v>mayo</v>
      </c>
    </row>
    <row r="137" spans="1:13" x14ac:dyDescent="0.3">
      <c r="A137" s="6">
        <v>136</v>
      </c>
      <c r="B137" s="6" t="s">
        <v>27</v>
      </c>
      <c r="C137" s="1">
        <v>45376</v>
      </c>
      <c r="D137" t="s">
        <v>12</v>
      </c>
      <c r="E137" s="20">
        <v>18185</v>
      </c>
      <c r="F137" s="6">
        <v>56</v>
      </c>
      <c r="G137" t="s">
        <v>17</v>
      </c>
      <c r="H137" t="s">
        <v>24</v>
      </c>
      <c r="I137" s="20">
        <f>Origen!$F137*Origen!$E137</f>
        <v>1018360</v>
      </c>
      <c r="J137" s="6">
        <f>VLOOKUP(A:A,Anexos!A:B,2,0)</f>
        <v>2024</v>
      </c>
      <c r="K137" s="6">
        <f>_xlfn.XLOOKUP(A:A,Anexos!A:A,Anexos!C:C,"No se encuentra",0)</f>
        <v>3</v>
      </c>
      <c r="L137" s="21" t="str">
        <f>VLOOKUP(A:A,Anexos!A:E,5,0)</f>
        <v>lunes</v>
      </c>
      <c r="M137" s="21" t="str">
        <f>VLOOKUP(A:A,Anexos!A:F,6,0)</f>
        <v>marzo</v>
      </c>
    </row>
    <row r="138" spans="1:13" x14ac:dyDescent="0.3">
      <c r="A138" s="6">
        <v>137</v>
      </c>
      <c r="B138" s="6" t="s">
        <v>28</v>
      </c>
      <c r="C138" s="1">
        <v>44953</v>
      </c>
      <c r="D138" t="s">
        <v>13</v>
      </c>
      <c r="E138" s="20">
        <v>15045</v>
      </c>
      <c r="F138" s="6">
        <v>82</v>
      </c>
      <c r="G138" t="s">
        <v>18</v>
      </c>
      <c r="H138" t="s">
        <v>21</v>
      </c>
      <c r="I138" s="20">
        <f>Origen!$F138*Origen!$E138</f>
        <v>1233690</v>
      </c>
      <c r="J138" s="6">
        <f>VLOOKUP(A:A,Anexos!A:B,2,0)</f>
        <v>2023</v>
      </c>
      <c r="K138" s="6">
        <f>_xlfn.XLOOKUP(A:A,Anexos!A:A,Anexos!C:C,"No se encuentra",0)</f>
        <v>1</v>
      </c>
      <c r="L138" s="21" t="str">
        <f>VLOOKUP(A:A,Anexos!A:E,5,0)</f>
        <v>viernes</v>
      </c>
      <c r="M138" s="21" t="str">
        <f>VLOOKUP(A:A,Anexos!A:F,6,0)</f>
        <v>enero</v>
      </c>
    </row>
    <row r="139" spans="1:13" x14ac:dyDescent="0.3">
      <c r="A139" s="6">
        <v>138</v>
      </c>
      <c r="B139" s="6" t="s">
        <v>29</v>
      </c>
      <c r="C139" s="1">
        <v>45624</v>
      </c>
      <c r="D139" t="s">
        <v>14</v>
      </c>
      <c r="E139" s="20">
        <v>14271</v>
      </c>
      <c r="F139" s="6">
        <v>25</v>
      </c>
      <c r="G139" t="s">
        <v>19</v>
      </c>
      <c r="H139" t="s">
        <v>22</v>
      </c>
      <c r="I139" s="20">
        <f>Origen!$F139*Origen!$E139</f>
        <v>356775</v>
      </c>
      <c r="J139" s="6">
        <f>VLOOKUP(A:A,Anexos!A:B,2,0)</f>
        <v>2024</v>
      </c>
      <c r="K139" s="6">
        <f>_xlfn.XLOOKUP(A:A,Anexos!A:A,Anexos!C:C,"No se encuentra",0)</f>
        <v>11</v>
      </c>
      <c r="L139" s="21" t="str">
        <f>VLOOKUP(A:A,Anexos!A:E,5,0)</f>
        <v>jueves</v>
      </c>
      <c r="M139" s="21" t="str">
        <f>VLOOKUP(A:A,Anexos!A:F,6,0)</f>
        <v>noviembre</v>
      </c>
    </row>
    <row r="140" spans="1:13" x14ac:dyDescent="0.3">
      <c r="A140" s="6">
        <v>139</v>
      </c>
      <c r="B140" s="6" t="s">
        <v>27</v>
      </c>
      <c r="C140" s="1">
        <v>45716</v>
      </c>
      <c r="D140" t="s">
        <v>15</v>
      </c>
      <c r="E140" s="20">
        <v>12361</v>
      </c>
      <c r="F140" s="6">
        <v>59</v>
      </c>
      <c r="G140" t="s">
        <v>20</v>
      </c>
      <c r="H140" t="s">
        <v>23</v>
      </c>
      <c r="I140" s="20">
        <f>Origen!$F140*Origen!$E140</f>
        <v>729299</v>
      </c>
      <c r="J140" s="6">
        <f>VLOOKUP(A:A,Anexos!A:B,2,0)</f>
        <v>2025</v>
      </c>
      <c r="K140" s="6">
        <f>_xlfn.XLOOKUP(A:A,Anexos!A:A,Anexos!C:C,"No se encuentra",0)</f>
        <v>2</v>
      </c>
      <c r="L140" s="21" t="str">
        <f>VLOOKUP(A:A,Anexos!A:E,5,0)</f>
        <v>viernes</v>
      </c>
      <c r="M140" s="21" t="str">
        <f>VLOOKUP(A:A,Anexos!A:F,6,0)</f>
        <v>febrero</v>
      </c>
    </row>
    <row r="141" spans="1:13" x14ac:dyDescent="0.3">
      <c r="A141" s="6">
        <v>140</v>
      </c>
      <c r="B141" s="6" t="s">
        <v>28</v>
      </c>
      <c r="C141" s="1">
        <v>45024</v>
      </c>
      <c r="D141" t="s">
        <v>16</v>
      </c>
      <c r="E141" s="20">
        <v>14933</v>
      </c>
      <c r="F141" s="6">
        <v>57</v>
      </c>
      <c r="G141" t="s">
        <v>17</v>
      </c>
      <c r="H141" t="s">
        <v>24</v>
      </c>
      <c r="I141" s="20">
        <f>Origen!$F141*Origen!$E141</f>
        <v>851181</v>
      </c>
      <c r="J141" s="6">
        <f>VLOOKUP(A:A,Anexos!A:B,2,0)</f>
        <v>2023</v>
      </c>
      <c r="K141" s="6">
        <f>_xlfn.XLOOKUP(A:A,Anexos!A:A,Anexos!C:C,"No se encuentra",0)</f>
        <v>4</v>
      </c>
      <c r="L141" s="21" t="str">
        <f>VLOOKUP(A:A,Anexos!A:E,5,0)</f>
        <v>sábado</v>
      </c>
      <c r="M141" s="21" t="str">
        <f>VLOOKUP(A:A,Anexos!A:F,6,0)</f>
        <v>abril</v>
      </c>
    </row>
    <row r="142" spans="1:13" x14ac:dyDescent="0.3">
      <c r="A142" s="6">
        <v>141</v>
      </c>
      <c r="B142" s="6" t="s">
        <v>29</v>
      </c>
      <c r="C142" s="1">
        <v>45674</v>
      </c>
      <c r="D142" t="s">
        <v>6</v>
      </c>
      <c r="E142" s="20">
        <v>15482</v>
      </c>
      <c r="F142" s="6">
        <v>91</v>
      </c>
      <c r="G142" t="s">
        <v>18</v>
      </c>
      <c r="H142" t="s">
        <v>21</v>
      </c>
      <c r="I142" s="20">
        <f>Origen!$F142*Origen!$E142</f>
        <v>1408862</v>
      </c>
      <c r="J142" s="6">
        <f>VLOOKUP(A:A,Anexos!A:B,2,0)</f>
        <v>2025</v>
      </c>
      <c r="K142" s="6">
        <f>_xlfn.XLOOKUP(A:A,Anexos!A:A,Anexos!C:C,"No se encuentra",0)</f>
        <v>1</v>
      </c>
      <c r="L142" s="21" t="str">
        <f>VLOOKUP(A:A,Anexos!A:E,5,0)</f>
        <v>viernes</v>
      </c>
      <c r="M142" s="21" t="str">
        <f>VLOOKUP(A:A,Anexos!A:F,6,0)</f>
        <v>enero</v>
      </c>
    </row>
    <row r="143" spans="1:13" x14ac:dyDescent="0.3">
      <c r="A143" s="6">
        <v>142</v>
      </c>
      <c r="B143" s="6" t="s">
        <v>27</v>
      </c>
      <c r="C143" s="1">
        <v>45692</v>
      </c>
      <c r="D143" t="s">
        <v>7</v>
      </c>
      <c r="E143" s="20">
        <v>19159</v>
      </c>
      <c r="F143" s="6">
        <v>12</v>
      </c>
      <c r="G143" t="s">
        <v>19</v>
      </c>
      <c r="H143" t="s">
        <v>22</v>
      </c>
      <c r="I143" s="20">
        <f>Origen!$F143*Origen!$E143</f>
        <v>229908</v>
      </c>
      <c r="J143" s="6">
        <f>VLOOKUP(A:A,Anexos!A:B,2,0)</f>
        <v>2025</v>
      </c>
      <c r="K143" s="6">
        <f>_xlfn.XLOOKUP(A:A,Anexos!A:A,Anexos!C:C,"No se encuentra",0)</f>
        <v>2</v>
      </c>
      <c r="L143" s="21" t="str">
        <f>VLOOKUP(A:A,Anexos!A:E,5,0)</f>
        <v>martes</v>
      </c>
      <c r="M143" s="21" t="str">
        <f>VLOOKUP(A:A,Anexos!A:F,6,0)</f>
        <v>febrero</v>
      </c>
    </row>
    <row r="144" spans="1:13" x14ac:dyDescent="0.3">
      <c r="A144" s="6">
        <v>143</v>
      </c>
      <c r="B144" s="6" t="s">
        <v>28</v>
      </c>
      <c r="C144" s="1">
        <v>45094</v>
      </c>
      <c r="D144" t="s">
        <v>8</v>
      </c>
      <c r="E144" s="20">
        <v>17523</v>
      </c>
      <c r="F144" s="6">
        <v>56</v>
      </c>
      <c r="G144" t="s">
        <v>20</v>
      </c>
      <c r="H144" t="s">
        <v>23</v>
      </c>
      <c r="I144" s="20">
        <f>Origen!$F144*Origen!$E144</f>
        <v>981288</v>
      </c>
      <c r="J144" s="6">
        <f>VLOOKUP(A:A,Anexos!A:B,2,0)</f>
        <v>2023</v>
      </c>
      <c r="K144" s="6">
        <f>_xlfn.XLOOKUP(A:A,Anexos!A:A,Anexos!C:C,"No se encuentra",0)</f>
        <v>6</v>
      </c>
      <c r="L144" s="21" t="str">
        <f>VLOOKUP(A:A,Anexos!A:E,5,0)</f>
        <v>sábado</v>
      </c>
      <c r="M144" s="21" t="str">
        <f>VLOOKUP(A:A,Anexos!A:F,6,0)</f>
        <v>junio</v>
      </c>
    </row>
    <row r="145" spans="1:13" x14ac:dyDescent="0.3">
      <c r="A145" s="6">
        <v>144</v>
      </c>
      <c r="B145" s="6" t="s">
        <v>29</v>
      </c>
      <c r="C145" s="1">
        <v>45396</v>
      </c>
      <c r="D145" t="s">
        <v>9</v>
      </c>
      <c r="E145" s="20">
        <v>19473</v>
      </c>
      <c r="F145" s="6">
        <v>47</v>
      </c>
      <c r="G145" t="s">
        <v>17</v>
      </c>
      <c r="H145" t="s">
        <v>24</v>
      </c>
      <c r="I145" s="20">
        <f>Origen!$F145*Origen!$E145</f>
        <v>915231</v>
      </c>
      <c r="J145" s="6">
        <f>VLOOKUP(A:A,Anexos!A:B,2,0)</f>
        <v>2024</v>
      </c>
      <c r="K145" s="6">
        <f>_xlfn.XLOOKUP(A:A,Anexos!A:A,Anexos!C:C,"No se encuentra",0)</f>
        <v>4</v>
      </c>
      <c r="L145" s="21" t="str">
        <f>VLOOKUP(A:A,Anexos!A:E,5,0)</f>
        <v>domingo</v>
      </c>
      <c r="M145" s="21" t="str">
        <f>VLOOKUP(A:A,Anexos!A:F,6,0)</f>
        <v>abril</v>
      </c>
    </row>
    <row r="146" spans="1:13" x14ac:dyDescent="0.3">
      <c r="A146" s="6">
        <v>145</v>
      </c>
      <c r="B146" s="6" t="s">
        <v>27</v>
      </c>
      <c r="C146" s="1">
        <v>45842</v>
      </c>
      <c r="D146" t="s">
        <v>10</v>
      </c>
      <c r="E146" s="20">
        <v>18811</v>
      </c>
      <c r="F146" s="6">
        <v>30</v>
      </c>
      <c r="G146" t="s">
        <v>18</v>
      </c>
      <c r="H146" t="s">
        <v>21</v>
      </c>
      <c r="I146" s="20">
        <f>Origen!$F146*Origen!$E146</f>
        <v>564330</v>
      </c>
      <c r="J146" s="6">
        <f>VLOOKUP(A:A,Anexos!A:B,2,0)</f>
        <v>2025</v>
      </c>
      <c r="K146" s="6">
        <f>_xlfn.XLOOKUP(A:A,Anexos!A:A,Anexos!C:C,"No se encuentra",0)</f>
        <v>7</v>
      </c>
      <c r="L146" s="21" t="str">
        <f>VLOOKUP(A:A,Anexos!A:E,5,0)</f>
        <v>viernes</v>
      </c>
      <c r="M146" s="21" t="str">
        <f>VLOOKUP(A:A,Anexos!A:F,6,0)</f>
        <v>julio</v>
      </c>
    </row>
    <row r="147" spans="1:13" x14ac:dyDescent="0.3">
      <c r="A147" s="6">
        <v>146</v>
      </c>
      <c r="B147" s="6" t="s">
        <v>28</v>
      </c>
      <c r="C147" s="1">
        <v>45494</v>
      </c>
      <c r="D147" t="s">
        <v>11</v>
      </c>
      <c r="E147" s="20">
        <v>19176</v>
      </c>
      <c r="F147" s="6">
        <v>83</v>
      </c>
      <c r="G147" t="s">
        <v>19</v>
      </c>
      <c r="H147" t="s">
        <v>22</v>
      </c>
      <c r="I147" s="20">
        <f>Origen!$F147*Origen!$E147</f>
        <v>1591608</v>
      </c>
      <c r="J147" s="6">
        <f>VLOOKUP(A:A,Anexos!A:B,2,0)</f>
        <v>2024</v>
      </c>
      <c r="K147" s="6">
        <f>_xlfn.XLOOKUP(A:A,Anexos!A:A,Anexos!C:C,"No se encuentra",0)</f>
        <v>7</v>
      </c>
      <c r="L147" s="21" t="str">
        <f>VLOOKUP(A:A,Anexos!A:E,5,0)</f>
        <v>domingo</v>
      </c>
      <c r="M147" s="21" t="str">
        <f>VLOOKUP(A:A,Anexos!A:F,6,0)</f>
        <v>julio</v>
      </c>
    </row>
    <row r="148" spans="1:13" x14ac:dyDescent="0.3">
      <c r="A148" s="6">
        <v>147</v>
      </c>
      <c r="B148" s="6" t="s">
        <v>29</v>
      </c>
      <c r="C148" s="1">
        <v>45612</v>
      </c>
      <c r="D148" t="s">
        <v>12</v>
      </c>
      <c r="E148" s="20">
        <v>18185</v>
      </c>
      <c r="F148" s="6">
        <v>99</v>
      </c>
      <c r="G148" t="s">
        <v>17</v>
      </c>
      <c r="H148" t="s">
        <v>23</v>
      </c>
      <c r="I148" s="20">
        <f>Origen!$F148*Origen!$E148</f>
        <v>1800315</v>
      </c>
      <c r="J148" s="6">
        <f>VLOOKUP(A:A,Anexos!A:B,2,0)</f>
        <v>2024</v>
      </c>
      <c r="K148" s="6">
        <f>_xlfn.XLOOKUP(A:A,Anexos!A:A,Anexos!C:C,"No se encuentra",0)</f>
        <v>11</v>
      </c>
      <c r="L148" s="21" t="str">
        <f>VLOOKUP(A:A,Anexos!A:E,5,0)</f>
        <v>sábado</v>
      </c>
      <c r="M148" s="21" t="str">
        <f>VLOOKUP(A:A,Anexos!A:F,6,0)</f>
        <v>noviembre</v>
      </c>
    </row>
    <row r="149" spans="1:13" x14ac:dyDescent="0.3">
      <c r="A149" s="6">
        <v>148</v>
      </c>
      <c r="B149" s="6" t="s">
        <v>27</v>
      </c>
      <c r="C149" s="1">
        <v>45735</v>
      </c>
      <c r="D149" t="s">
        <v>13</v>
      </c>
      <c r="E149" s="20">
        <v>15045</v>
      </c>
      <c r="F149" s="6">
        <v>83</v>
      </c>
      <c r="G149" t="s">
        <v>18</v>
      </c>
      <c r="H149" t="s">
        <v>24</v>
      </c>
      <c r="I149" s="20">
        <f>Origen!$F149*Origen!$E149</f>
        <v>1248735</v>
      </c>
      <c r="J149" s="6">
        <f>VLOOKUP(A:A,Anexos!A:B,2,0)</f>
        <v>2025</v>
      </c>
      <c r="K149" s="6">
        <f>_xlfn.XLOOKUP(A:A,Anexos!A:A,Anexos!C:C,"No se encuentra",0)</f>
        <v>3</v>
      </c>
      <c r="L149" s="21" t="str">
        <f>VLOOKUP(A:A,Anexos!A:E,5,0)</f>
        <v>miércoles</v>
      </c>
      <c r="M149" s="21" t="str">
        <f>VLOOKUP(A:A,Anexos!A:F,6,0)</f>
        <v>marzo</v>
      </c>
    </row>
    <row r="150" spans="1:13" x14ac:dyDescent="0.3">
      <c r="A150" s="6">
        <v>149</v>
      </c>
      <c r="B150" s="6" t="s">
        <v>28</v>
      </c>
      <c r="C150" s="1">
        <v>45287</v>
      </c>
      <c r="D150" t="s">
        <v>14</v>
      </c>
      <c r="E150" s="20">
        <v>14271</v>
      </c>
      <c r="F150" s="6">
        <v>46</v>
      </c>
      <c r="G150" t="s">
        <v>19</v>
      </c>
      <c r="H150" t="s">
        <v>21</v>
      </c>
      <c r="I150" s="20">
        <f>Origen!$F150*Origen!$E150</f>
        <v>656466</v>
      </c>
      <c r="J150" s="6">
        <f>VLOOKUP(A:A,Anexos!A:B,2,0)</f>
        <v>2023</v>
      </c>
      <c r="K150" s="6">
        <f>_xlfn.XLOOKUP(A:A,Anexos!A:A,Anexos!C:C,"No se encuentra",0)</f>
        <v>12</v>
      </c>
      <c r="L150" s="21" t="str">
        <f>VLOOKUP(A:A,Anexos!A:E,5,0)</f>
        <v>miércoles</v>
      </c>
      <c r="M150" s="21" t="str">
        <f>VLOOKUP(A:A,Anexos!A:F,6,0)</f>
        <v>diciembre</v>
      </c>
    </row>
    <row r="151" spans="1:13" x14ac:dyDescent="0.3">
      <c r="A151" s="6">
        <v>150</v>
      </c>
      <c r="B151" s="6" t="s">
        <v>29</v>
      </c>
      <c r="C151" s="1">
        <v>45867</v>
      </c>
      <c r="D151" t="s">
        <v>15</v>
      </c>
      <c r="E151" s="20">
        <v>12361</v>
      </c>
      <c r="F151" s="6">
        <v>78</v>
      </c>
      <c r="G151" t="s">
        <v>20</v>
      </c>
      <c r="H151" t="s">
        <v>22</v>
      </c>
      <c r="I151" s="20">
        <f>Origen!$F151*Origen!$E151</f>
        <v>964158</v>
      </c>
      <c r="J151" s="6">
        <f>VLOOKUP(A:A,Anexos!A:B,2,0)</f>
        <v>2025</v>
      </c>
      <c r="K151" s="6">
        <f>_xlfn.XLOOKUP(A:A,Anexos!A:A,Anexos!C:C,"No se encuentra",0)</f>
        <v>7</v>
      </c>
      <c r="L151" s="21" t="str">
        <f>VLOOKUP(A:A,Anexos!A:E,5,0)</f>
        <v>martes</v>
      </c>
      <c r="M151" s="21" t="str">
        <f>VLOOKUP(A:A,Anexos!A:F,6,0)</f>
        <v>julio</v>
      </c>
    </row>
    <row r="152" spans="1:13" x14ac:dyDescent="0.3">
      <c r="A152" s="6">
        <v>151</v>
      </c>
      <c r="B152" s="6" t="s">
        <v>27</v>
      </c>
      <c r="C152" s="1">
        <v>45144</v>
      </c>
      <c r="D152" t="s">
        <v>16</v>
      </c>
      <c r="E152" s="20">
        <v>14933</v>
      </c>
      <c r="F152" s="6">
        <v>19</v>
      </c>
      <c r="G152" t="s">
        <v>17</v>
      </c>
      <c r="H152" t="s">
        <v>23</v>
      </c>
      <c r="I152" s="20">
        <f>Origen!$F152*Origen!$E152</f>
        <v>283727</v>
      </c>
      <c r="J152" s="6">
        <f>VLOOKUP(A:A,Anexos!A:B,2,0)</f>
        <v>2023</v>
      </c>
      <c r="K152" s="6">
        <f>_xlfn.XLOOKUP(A:A,Anexos!A:A,Anexos!C:C,"No se encuentra",0)</f>
        <v>8</v>
      </c>
      <c r="L152" s="21" t="str">
        <f>VLOOKUP(A:A,Anexos!A:E,5,0)</f>
        <v>domingo</v>
      </c>
      <c r="M152" s="21" t="str">
        <f>VLOOKUP(A:A,Anexos!A:F,6,0)</f>
        <v>agosto</v>
      </c>
    </row>
    <row r="153" spans="1:13" x14ac:dyDescent="0.3">
      <c r="A153" s="6">
        <v>152</v>
      </c>
      <c r="B153" s="6" t="s">
        <v>28</v>
      </c>
      <c r="C153" s="1">
        <v>45145</v>
      </c>
      <c r="D153" t="s">
        <v>11</v>
      </c>
      <c r="E153" s="20">
        <v>19176</v>
      </c>
      <c r="F153" s="6">
        <v>82</v>
      </c>
      <c r="G153" t="s">
        <v>18</v>
      </c>
      <c r="H153" t="s">
        <v>24</v>
      </c>
      <c r="I153" s="20">
        <f>Origen!$F153*Origen!$E153</f>
        <v>1572432</v>
      </c>
      <c r="J153" s="6">
        <f>VLOOKUP(A:A,Anexos!A:B,2,0)</f>
        <v>2023</v>
      </c>
      <c r="K153" s="6">
        <f>_xlfn.XLOOKUP(A:A,Anexos!A:A,Anexos!C:C,"No se encuentra",0)</f>
        <v>8</v>
      </c>
      <c r="L153" s="21" t="str">
        <f>VLOOKUP(A:A,Anexos!A:E,5,0)</f>
        <v>lunes</v>
      </c>
      <c r="M153" s="21" t="str">
        <f>VLOOKUP(A:A,Anexos!A:F,6,0)</f>
        <v>agosto</v>
      </c>
    </row>
    <row r="154" spans="1:13" x14ac:dyDescent="0.3">
      <c r="A154" s="6">
        <v>153</v>
      </c>
      <c r="B154" s="6" t="s">
        <v>29</v>
      </c>
      <c r="C154" s="1">
        <v>45346</v>
      </c>
      <c r="D154" t="s">
        <v>12</v>
      </c>
      <c r="E154" s="20">
        <v>18185</v>
      </c>
      <c r="F154" s="6">
        <v>18</v>
      </c>
      <c r="G154" t="s">
        <v>19</v>
      </c>
      <c r="H154" t="s">
        <v>21</v>
      </c>
      <c r="I154" s="20">
        <f>Origen!$F154*Origen!$E154</f>
        <v>327330</v>
      </c>
      <c r="J154" s="6">
        <f>VLOOKUP(A:A,Anexos!A:B,2,0)</f>
        <v>2024</v>
      </c>
      <c r="K154" s="6">
        <f>_xlfn.XLOOKUP(A:A,Anexos!A:A,Anexos!C:C,"No se encuentra",0)</f>
        <v>2</v>
      </c>
      <c r="L154" s="21" t="str">
        <f>VLOOKUP(A:A,Anexos!A:E,5,0)</f>
        <v>sábado</v>
      </c>
      <c r="M154" s="21" t="str">
        <f>VLOOKUP(A:A,Anexos!A:F,6,0)</f>
        <v>febrero</v>
      </c>
    </row>
    <row r="155" spans="1:13" x14ac:dyDescent="0.3">
      <c r="A155" s="6">
        <v>154</v>
      </c>
      <c r="B155" s="6" t="s">
        <v>27</v>
      </c>
      <c r="C155" s="1">
        <v>45372</v>
      </c>
      <c r="D155" t="s">
        <v>13</v>
      </c>
      <c r="E155" s="20">
        <v>15045</v>
      </c>
      <c r="F155" s="6">
        <v>46</v>
      </c>
      <c r="G155" t="s">
        <v>20</v>
      </c>
      <c r="H155" t="s">
        <v>22</v>
      </c>
      <c r="I155" s="20">
        <f>Origen!$F155*Origen!$E155</f>
        <v>692070</v>
      </c>
      <c r="J155" s="6">
        <f>VLOOKUP(A:A,Anexos!A:B,2,0)</f>
        <v>2024</v>
      </c>
      <c r="K155" s="6">
        <f>_xlfn.XLOOKUP(A:A,Anexos!A:A,Anexos!C:C,"No se encuentra",0)</f>
        <v>3</v>
      </c>
      <c r="L155" s="21" t="str">
        <f>VLOOKUP(A:A,Anexos!A:E,5,0)</f>
        <v>jueves</v>
      </c>
      <c r="M155" s="21" t="str">
        <f>VLOOKUP(A:A,Anexos!A:F,6,0)</f>
        <v>marzo</v>
      </c>
    </row>
    <row r="156" spans="1:13" x14ac:dyDescent="0.3">
      <c r="A156" s="6">
        <v>155</v>
      </c>
      <c r="B156" s="6" t="s">
        <v>28</v>
      </c>
      <c r="C156" s="1">
        <v>45036</v>
      </c>
      <c r="D156" t="s">
        <v>14</v>
      </c>
      <c r="E156" s="20">
        <v>14271</v>
      </c>
      <c r="F156" s="6">
        <v>70</v>
      </c>
      <c r="G156" t="s">
        <v>17</v>
      </c>
      <c r="H156" t="s">
        <v>23</v>
      </c>
      <c r="I156" s="20">
        <f>Origen!$F156*Origen!$E156</f>
        <v>998970</v>
      </c>
      <c r="J156" s="6">
        <f>VLOOKUP(A:A,Anexos!A:B,2,0)</f>
        <v>2023</v>
      </c>
      <c r="K156" s="6">
        <f>_xlfn.XLOOKUP(A:A,Anexos!A:A,Anexos!C:C,"No se encuentra",0)</f>
        <v>4</v>
      </c>
      <c r="L156" s="21" t="str">
        <f>VLOOKUP(A:A,Anexos!A:E,5,0)</f>
        <v>jueves</v>
      </c>
      <c r="M156" s="21" t="str">
        <f>VLOOKUP(A:A,Anexos!A:F,6,0)</f>
        <v>abril</v>
      </c>
    </row>
    <row r="157" spans="1:13" x14ac:dyDescent="0.3">
      <c r="A157" s="6">
        <v>156</v>
      </c>
      <c r="B157" s="6" t="s">
        <v>29</v>
      </c>
      <c r="C157" s="1">
        <v>45932</v>
      </c>
      <c r="D157" t="s">
        <v>15</v>
      </c>
      <c r="E157" s="20">
        <v>12361</v>
      </c>
      <c r="F157" s="6">
        <v>53</v>
      </c>
      <c r="G157" t="s">
        <v>18</v>
      </c>
      <c r="H157" t="s">
        <v>24</v>
      </c>
      <c r="I157" s="20">
        <f>Origen!$F157*Origen!$E157</f>
        <v>655133</v>
      </c>
      <c r="J157" s="6">
        <f>VLOOKUP(A:A,Anexos!A:B,2,0)</f>
        <v>2025</v>
      </c>
      <c r="K157" s="6">
        <f>_xlfn.XLOOKUP(A:A,Anexos!A:A,Anexos!C:C,"No se encuentra",0)</f>
        <v>10</v>
      </c>
      <c r="L157" s="21" t="str">
        <f>VLOOKUP(A:A,Anexos!A:E,5,0)</f>
        <v>jueves</v>
      </c>
      <c r="M157" s="21" t="str">
        <f>VLOOKUP(A:A,Anexos!A:F,6,0)</f>
        <v>octubre</v>
      </c>
    </row>
    <row r="158" spans="1:13" x14ac:dyDescent="0.3">
      <c r="A158" s="6">
        <v>157</v>
      </c>
      <c r="B158" s="6" t="s">
        <v>27</v>
      </c>
      <c r="C158" s="1">
        <v>45302</v>
      </c>
      <c r="D158" t="s">
        <v>16</v>
      </c>
      <c r="E158" s="20">
        <v>14933</v>
      </c>
      <c r="F158" s="6">
        <v>86</v>
      </c>
      <c r="G158" t="s">
        <v>19</v>
      </c>
      <c r="H158" t="s">
        <v>21</v>
      </c>
      <c r="I158" s="20">
        <f>Origen!$F158*Origen!$E158</f>
        <v>1284238</v>
      </c>
      <c r="J158" s="6">
        <f>VLOOKUP(A:A,Anexos!A:B,2,0)</f>
        <v>2024</v>
      </c>
      <c r="K158" s="6">
        <f>_xlfn.XLOOKUP(A:A,Anexos!A:A,Anexos!C:C,"No se encuentra",0)</f>
        <v>1</v>
      </c>
      <c r="L158" s="21" t="str">
        <f>VLOOKUP(A:A,Anexos!A:E,5,0)</f>
        <v>jueves</v>
      </c>
      <c r="M158" s="21" t="str">
        <f>VLOOKUP(A:A,Anexos!A:F,6,0)</f>
        <v>enero</v>
      </c>
    </row>
    <row r="159" spans="1:13" x14ac:dyDescent="0.3">
      <c r="A159" s="6">
        <v>158</v>
      </c>
      <c r="B159" s="6" t="s">
        <v>28</v>
      </c>
      <c r="C159" s="1">
        <v>44928</v>
      </c>
      <c r="D159" t="s">
        <v>6</v>
      </c>
      <c r="E159" s="20">
        <v>15482</v>
      </c>
      <c r="F159" s="6">
        <v>55</v>
      </c>
      <c r="G159" t="s">
        <v>20</v>
      </c>
      <c r="H159" t="s">
        <v>22</v>
      </c>
      <c r="I159" s="20">
        <f>Origen!$F159*Origen!$E159</f>
        <v>851510</v>
      </c>
      <c r="J159" s="6">
        <f>VLOOKUP(A:A,Anexos!A:B,2,0)</f>
        <v>2023</v>
      </c>
      <c r="K159" s="6">
        <f>_xlfn.XLOOKUP(A:A,Anexos!A:A,Anexos!C:C,"No se encuentra",0)</f>
        <v>1</v>
      </c>
      <c r="L159" s="21" t="str">
        <f>VLOOKUP(A:A,Anexos!A:E,5,0)</f>
        <v>lunes</v>
      </c>
      <c r="M159" s="21" t="str">
        <f>VLOOKUP(A:A,Anexos!A:F,6,0)</f>
        <v>enero</v>
      </c>
    </row>
    <row r="160" spans="1:13" x14ac:dyDescent="0.3">
      <c r="A160" s="6">
        <v>159</v>
      </c>
      <c r="B160" s="6" t="s">
        <v>29</v>
      </c>
      <c r="C160" s="1">
        <v>45623</v>
      </c>
      <c r="D160" t="s">
        <v>7</v>
      </c>
      <c r="E160" s="20">
        <v>19159</v>
      </c>
      <c r="F160" s="6">
        <v>38</v>
      </c>
      <c r="G160" t="s">
        <v>17</v>
      </c>
      <c r="H160" t="s">
        <v>23</v>
      </c>
      <c r="I160" s="20">
        <f>Origen!$F160*Origen!$E160</f>
        <v>728042</v>
      </c>
      <c r="J160" s="6">
        <f>VLOOKUP(A:A,Anexos!A:B,2,0)</f>
        <v>2024</v>
      </c>
      <c r="K160" s="6">
        <f>_xlfn.XLOOKUP(A:A,Anexos!A:A,Anexos!C:C,"No se encuentra",0)</f>
        <v>11</v>
      </c>
      <c r="L160" s="21" t="str">
        <f>VLOOKUP(A:A,Anexos!A:E,5,0)</f>
        <v>miércoles</v>
      </c>
      <c r="M160" s="21" t="str">
        <f>VLOOKUP(A:A,Anexos!A:F,6,0)</f>
        <v>noviembre</v>
      </c>
    </row>
    <row r="161" spans="1:13" x14ac:dyDescent="0.3">
      <c r="A161" s="6">
        <v>160</v>
      </c>
      <c r="B161" s="6" t="s">
        <v>27</v>
      </c>
      <c r="C161" s="1">
        <v>45625</v>
      </c>
      <c r="D161" t="s">
        <v>8</v>
      </c>
      <c r="E161" s="20">
        <v>17523</v>
      </c>
      <c r="F161" s="6">
        <v>51</v>
      </c>
      <c r="G161" t="s">
        <v>18</v>
      </c>
      <c r="H161" t="s">
        <v>24</v>
      </c>
      <c r="I161" s="20">
        <f>Origen!$F161*Origen!$E161</f>
        <v>893673</v>
      </c>
      <c r="J161" s="6">
        <f>VLOOKUP(A:A,Anexos!A:B,2,0)</f>
        <v>2024</v>
      </c>
      <c r="K161" s="6">
        <f>_xlfn.XLOOKUP(A:A,Anexos!A:A,Anexos!C:C,"No se encuentra",0)</f>
        <v>11</v>
      </c>
      <c r="L161" s="21" t="str">
        <f>VLOOKUP(A:A,Anexos!A:E,5,0)</f>
        <v>viernes</v>
      </c>
      <c r="M161" s="21" t="str">
        <f>VLOOKUP(A:A,Anexos!A:F,6,0)</f>
        <v>noviembre</v>
      </c>
    </row>
    <row r="162" spans="1:13" x14ac:dyDescent="0.3">
      <c r="A162" s="6">
        <v>161</v>
      </c>
      <c r="B162" s="6" t="s">
        <v>28</v>
      </c>
      <c r="C162" s="1">
        <v>45153</v>
      </c>
      <c r="D162" t="s">
        <v>9</v>
      </c>
      <c r="E162" s="20">
        <v>19473</v>
      </c>
      <c r="F162" s="6">
        <v>96</v>
      </c>
      <c r="G162" t="s">
        <v>19</v>
      </c>
      <c r="H162" t="s">
        <v>21</v>
      </c>
      <c r="I162" s="20">
        <f>Origen!$F162*Origen!$E162</f>
        <v>1869408</v>
      </c>
      <c r="J162" s="6">
        <f>VLOOKUP(A:A,Anexos!A:B,2,0)</f>
        <v>2023</v>
      </c>
      <c r="K162" s="6">
        <f>_xlfn.XLOOKUP(A:A,Anexos!A:A,Anexos!C:C,"No se encuentra",0)</f>
        <v>8</v>
      </c>
      <c r="L162" s="21" t="str">
        <f>VLOOKUP(A:A,Anexos!A:E,5,0)</f>
        <v>martes</v>
      </c>
      <c r="M162" s="21" t="str">
        <f>VLOOKUP(A:A,Anexos!A:F,6,0)</f>
        <v>agosto</v>
      </c>
    </row>
    <row r="163" spans="1:13" x14ac:dyDescent="0.3">
      <c r="A163" s="6">
        <v>162</v>
      </c>
      <c r="B163" s="6" t="s">
        <v>29</v>
      </c>
      <c r="C163" s="1">
        <v>45783</v>
      </c>
      <c r="D163" t="s">
        <v>10</v>
      </c>
      <c r="E163" s="20">
        <v>18811</v>
      </c>
      <c r="F163" s="6">
        <v>41</v>
      </c>
      <c r="G163" t="s">
        <v>17</v>
      </c>
      <c r="H163" t="s">
        <v>22</v>
      </c>
      <c r="I163" s="20">
        <f>Origen!$F163*Origen!$E163</f>
        <v>771251</v>
      </c>
      <c r="J163" s="6">
        <f>VLOOKUP(A:A,Anexos!A:B,2,0)</f>
        <v>2025</v>
      </c>
      <c r="K163" s="6">
        <f>_xlfn.XLOOKUP(A:A,Anexos!A:A,Anexos!C:C,"No se encuentra",0)</f>
        <v>5</v>
      </c>
      <c r="L163" s="21" t="str">
        <f>VLOOKUP(A:A,Anexos!A:E,5,0)</f>
        <v>martes</v>
      </c>
      <c r="M163" s="21" t="str">
        <f>VLOOKUP(A:A,Anexos!A:F,6,0)</f>
        <v>mayo</v>
      </c>
    </row>
    <row r="164" spans="1:13" x14ac:dyDescent="0.3">
      <c r="A164" s="6">
        <v>163</v>
      </c>
      <c r="B164" s="6" t="s">
        <v>27</v>
      </c>
      <c r="C164" s="1">
        <v>45250</v>
      </c>
      <c r="D164" t="s">
        <v>11</v>
      </c>
      <c r="E164" s="20">
        <v>19176</v>
      </c>
      <c r="F164" s="6">
        <v>34</v>
      </c>
      <c r="G164" t="s">
        <v>18</v>
      </c>
      <c r="H164" t="s">
        <v>23</v>
      </c>
      <c r="I164" s="20">
        <f>Origen!$F164*Origen!$E164</f>
        <v>651984</v>
      </c>
      <c r="J164" s="6">
        <f>VLOOKUP(A:A,Anexos!A:B,2,0)</f>
        <v>2023</v>
      </c>
      <c r="K164" s="6">
        <f>_xlfn.XLOOKUP(A:A,Anexos!A:A,Anexos!C:C,"No se encuentra",0)</f>
        <v>11</v>
      </c>
      <c r="L164" s="21" t="str">
        <f>VLOOKUP(A:A,Anexos!A:E,5,0)</f>
        <v>lunes</v>
      </c>
      <c r="M164" s="21" t="str">
        <f>VLOOKUP(A:A,Anexos!A:F,6,0)</f>
        <v>noviembre</v>
      </c>
    </row>
    <row r="165" spans="1:13" x14ac:dyDescent="0.3">
      <c r="A165" s="6">
        <v>164</v>
      </c>
      <c r="B165" s="6" t="s">
        <v>28</v>
      </c>
      <c r="C165" s="1">
        <v>45451</v>
      </c>
      <c r="D165" t="s">
        <v>12</v>
      </c>
      <c r="E165" s="20">
        <v>18185</v>
      </c>
      <c r="F165" s="6">
        <v>56</v>
      </c>
      <c r="G165" t="s">
        <v>19</v>
      </c>
      <c r="H165" t="s">
        <v>24</v>
      </c>
      <c r="I165" s="20">
        <f>Origen!$F165*Origen!$E165</f>
        <v>1018360</v>
      </c>
      <c r="J165" s="6">
        <f>VLOOKUP(A:A,Anexos!A:B,2,0)</f>
        <v>2024</v>
      </c>
      <c r="K165" s="6">
        <f>_xlfn.XLOOKUP(A:A,Anexos!A:A,Anexos!C:C,"No se encuentra",0)</f>
        <v>6</v>
      </c>
      <c r="L165" s="21" t="str">
        <f>VLOOKUP(A:A,Anexos!A:E,5,0)</f>
        <v>sábado</v>
      </c>
      <c r="M165" s="21" t="str">
        <f>VLOOKUP(A:A,Anexos!A:F,6,0)</f>
        <v>junio</v>
      </c>
    </row>
    <row r="166" spans="1:13" x14ac:dyDescent="0.3">
      <c r="A166" s="6">
        <v>165</v>
      </c>
      <c r="B166" s="6" t="s">
        <v>29</v>
      </c>
      <c r="C166" s="1">
        <v>45800</v>
      </c>
      <c r="D166" t="s">
        <v>13</v>
      </c>
      <c r="E166" s="20">
        <v>15045</v>
      </c>
      <c r="F166" s="6">
        <v>11</v>
      </c>
      <c r="G166" t="s">
        <v>20</v>
      </c>
      <c r="H166" t="s">
        <v>21</v>
      </c>
      <c r="I166" s="20">
        <f>Origen!$F166*Origen!$E166</f>
        <v>165495</v>
      </c>
      <c r="J166" s="6">
        <f>VLOOKUP(A:A,Anexos!A:B,2,0)</f>
        <v>2025</v>
      </c>
      <c r="K166" s="6">
        <f>_xlfn.XLOOKUP(A:A,Anexos!A:A,Anexos!C:C,"No se encuentra",0)</f>
        <v>5</v>
      </c>
      <c r="L166" s="21" t="str">
        <f>VLOOKUP(A:A,Anexos!A:E,5,0)</f>
        <v>viernes</v>
      </c>
      <c r="M166" s="21" t="str">
        <f>VLOOKUP(A:A,Anexos!A:F,6,0)</f>
        <v>mayo</v>
      </c>
    </row>
    <row r="167" spans="1:13" x14ac:dyDescent="0.3">
      <c r="A167" s="6">
        <v>166</v>
      </c>
      <c r="B167" s="6" t="s">
        <v>27</v>
      </c>
      <c r="C167" s="1">
        <v>45403</v>
      </c>
      <c r="D167" t="s">
        <v>12</v>
      </c>
      <c r="E167" s="20">
        <v>18185</v>
      </c>
      <c r="F167" s="6">
        <v>52</v>
      </c>
      <c r="G167" t="s">
        <v>17</v>
      </c>
      <c r="H167" t="s">
        <v>22</v>
      </c>
      <c r="I167" s="20">
        <f>Origen!$F167*Origen!$E167</f>
        <v>945620</v>
      </c>
      <c r="J167" s="6">
        <f>VLOOKUP(A:A,Anexos!A:B,2,0)</f>
        <v>2024</v>
      </c>
      <c r="K167" s="6">
        <f>_xlfn.XLOOKUP(A:A,Anexos!A:A,Anexos!C:C,"No se encuentra",0)</f>
        <v>4</v>
      </c>
      <c r="L167" s="21" t="str">
        <f>VLOOKUP(A:A,Anexos!A:E,5,0)</f>
        <v>domingo</v>
      </c>
      <c r="M167" s="21" t="str">
        <f>VLOOKUP(A:A,Anexos!A:F,6,0)</f>
        <v>abril</v>
      </c>
    </row>
    <row r="168" spans="1:13" x14ac:dyDescent="0.3">
      <c r="A168" s="6">
        <v>167</v>
      </c>
      <c r="B168" s="6" t="s">
        <v>28</v>
      </c>
      <c r="C168" s="1">
        <v>45509</v>
      </c>
      <c r="D168" t="s">
        <v>13</v>
      </c>
      <c r="E168" s="20">
        <v>15045</v>
      </c>
      <c r="F168" s="6">
        <v>28</v>
      </c>
      <c r="G168" t="s">
        <v>18</v>
      </c>
      <c r="H168" t="s">
        <v>23</v>
      </c>
      <c r="I168" s="20">
        <f>Origen!$F168*Origen!$E168</f>
        <v>421260</v>
      </c>
      <c r="J168" s="6">
        <f>VLOOKUP(A:A,Anexos!A:B,2,0)</f>
        <v>2024</v>
      </c>
      <c r="K168" s="6">
        <f>_xlfn.XLOOKUP(A:A,Anexos!A:A,Anexos!C:C,"No se encuentra",0)</f>
        <v>8</v>
      </c>
      <c r="L168" s="21" t="str">
        <f>VLOOKUP(A:A,Anexos!A:E,5,0)</f>
        <v>lunes</v>
      </c>
      <c r="M168" s="21" t="str">
        <f>VLOOKUP(A:A,Anexos!A:F,6,0)</f>
        <v>agosto</v>
      </c>
    </row>
    <row r="169" spans="1:13" x14ac:dyDescent="0.3">
      <c r="A169" s="6">
        <v>168</v>
      </c>
      <c r="B169" s="6" t="s">
        <v>29</v>
      </c>
      <c r="C169" s="1">
        <v>45746</v>
      </c>
      <c r="D169" t="s">
        <v>14</v>
      </c>
      <c r="E169" s="20">
        <v>14271</v>
      </c>
      <c r="F169" s="6">
        <v>91</v>
      </c>
      <c r="G169" t="s">
        <v>19</v>
      </c>
      <c r="H169" t="s">
        <v>24</v>
      </c>
      <c r="I169" s="20">
        <f>Origen!$F169*Origen!$E169</f>
        <v>1298661</v>
      </c>
      <c r="J169" s="6">
        <f>VLOOKUP(A:A,Anexos!A:B,2,0)</f>
        <v>2025</v>
      </c>
      <c r="K169" s="6">
        <f>_xlfn.XLOOKUP(A:A,Anexos!A:A,Anexos!C:C,"No se encuentra",0)</f>
        <v>3</v>
      </c>
      <c r="L169" s="21" t="str">
        <f>VLOOKUP(A:A,Anexos!A:E,5,0)</f>
        <v>domingo</v>
      </c>
      <c r="M169" s="21" t="str">
        <f>VLOOKUP(A:A,Anexos!A:F,6,0)</f>
        <v>marzo</v>
      </c>
    </row>
    <row r="170" spans="1:13" x14ac:dyDescent="0.3">
      <c r="A170" s="6">
        <v>169</v>
      </c>
      <c r="B170" s="6" t="s">
        <v>27</v>
      </c>
      <c r="C170" s="1">
        <v>44977</v>
      </c>
      <c r="D170" t="s">
        <v>15</v>
      </c>
      <c r="E170" s="20">
        <v>12361</v>
      </c>
      <c r="F170" s="6">
        <v>39</v>
      </c>
      <c r="G170" t="s">
        <v>20</v>
      </c>
      <c r="H170" t="s">
        <v>21</v>
      </c>
      <c r="I170" s="20">
        <f>Origen!$F170*Origen!$E170</f>
        <v>482079</v>
      </c>
      <c r="J170" s="6">
        <f>VLOOKUP(A:A,Anexos!A:B,2,0)</f>
        <v>2023</v>
      </c>
      <c r="K170" s="6">
        <f>_xlfn.XLOOKUP(A:A,Anexos!A:A,Anexos!C:C,"No se encuentra",0)</f>
        <v>2</v>
      </c>
      <c r="L170" s="21" t="str">
        <f>VLOOKUP(A:A,Anexos!A:E,5,0)</f>
        <v>lunes</v>
      </c>
      <c r="M170" s="21" t="str">
        <f>VLOOKUP(A:A,Anexos!A:F,6,0)</f>
        <v>febrero</v>
      </c>
    </row>
    <row r="171" spans="1:13" x14ac:dyDescent="0.3">
      <c r="A171" s="6">
        <v>170</v>
      </c>
      <c r="B171" s="6" t="s">
        <v>28</v>
      </c>
      <c r="C171" s="1">
        <v>45566</v>
      </c>
      <c r="D171" t="s">
        <v>16</v>
      </c>
      <c r="E171" s="20">
        <v>14933</v>
      </c>
      <c r="F171" s="6">
        <v>33</v>
      </c>
      <c r="G171" t="s">
        <v>17</v>
      </c>
      <c r="H171" t="s">
        <v>22</v>
      </c>
      <c r="I171" s="20">
        <f>Origen!$F171*Origen!$E171</f>
        <v>492789</v>
      </c>
      <c r="J171" s="6">
        <f>VLOOKUP(A:A,Anexos!A:B,2,0)</f>
        <v>2024</v>
      </c>
      <c r="K171" s="6">
        <f>_xlfn.XLOOKUP(A:A,Anexos!A:A,Anexos!C:C,"No se encuentra",0)</f>
        <v>10</v>
      </c>
      <c r="L171" s="21" t="str">
        <f>VLOOKUP(A:A,Anexos!A:E,5,0)</f>
        <v>martes</v>
      </c>
      <c r="M171" s="21" t="str">
        <f>VLOOKUP(A:A,Anexos!A:F,6,0)</f>
        <v>octubre</v>
      </c>
    </row>
    <row r="172" spans="1:13" x14ac:dyDescent="0.3">
      <c r="A172" s="6">
        <v>171</v>
      </c>
      <c r="B172" s="6" t="s">
        <v>29</v>
      </c>
      <c r="C172" s="1">
        <v>45822</v>
      </c>
      <c r="D172" t="s">
        <v>11</v>
      </c>
      <c r="E172" s="20">
        <v>19176</v>
      </c>
      <c r="F172" s="6">
        <v>99</v>
      </c>
      <c r="G172" t="s">
        <v>18</v>
      </c>
      <c r="H172" t="s">
        <v>23</v>
      </c>
      <c r="I172" s="20">
        <f>Origen!$F172*Origen!$E172</f>
        <v>1898424</v>
      </c>
      <c r="J172" s="6">
        <f>VLOOKUP(A:A,Anexos!A:B,2,0)</f>
        <v>2025</v>
      </c>
      <c r="K172" s="6">
        <f>_xlfn.XLOOKUP(A:A,Anexos!A:A,Anexos!C:C,"No se encuentra",0)</f>
        <v>6</v>
      </c>
      <c r="L172" s="21" t="str">
        <f>VLOOKUP(A:A,Anexos!A:E,5,0)</f>
        <v>sábado</v>
      </c>
      <c r="M172" s="21" t="str">
        <f>VLOOKUP(A:A,Anexos!A:F,6,0)</f>
        <v>junio</v>
      </c>
    </row>
    <row r="173" spans="1:13" x14ac:dyDescent="0.3">
      <c r="A173" s="6">
        <v>172</v>
      </c>
      <c r="B173" s="6" t="s">
        <v>27</v>
      </c>
      <c r="C173" s="1">
        <v>45989</v>
      </c>
      <c r="D173" t="s">
        <v>12</v>
      </c>
      <c r="E173" s="20">
        <v>18185</v>
      </c>
      <c r="F173" s="6">
        <v>92</v>
      </c>
      <c r="G173" t="s">
        <v>19</v>
      </c>
      <c r="H173" t="s">
        <v>24</v>
      </c>
      <c r="I173" s="20">
        <f>Origen!$F173*Origen!$E173</f>
        <v>1673020</v>
      </c>
      <c r="J173" s="6">
        <f>VLOOKUP(A:A,Anexos!A:B,2,0)</f>
        <v>2025</v>
      </c>
      <c r="K173" s="6">
        <f>_xlfn.XLOOKUP(A:A,Anexos!A:A,Anexos!C:C,"No se encuentra",0)</f>
        <v>11</v>
      </c>
      <c r="L173" s="21" t="str">
        <f>VLOOKUP(A:A,Anexos!A:E,5,0)</f>
        <v>viernes</v>
      </c>
      <c r="M173" s="21" t="str">
        <f>VLOOKUP(A:A,Anexos!A:F,6,0)</f>
        <v>noviembre</v>
      </c>
    </row>
    <row r="174" spans="1:13" x14ac:dyDescent="0.3">
      <c r="A174" s="6">
        <v>173</v>
      </c>
      <c r="B174" s="6" t="s">
        <v>28</v>
      </c>
      <c r="C174" s="1">
        <v>45319</v>
      </c>
      <c r="D174" t="s">
        <v>13</v>
      </c>
      <c r="E174" s="20">
        <v>15045</v>
      </c>
      <c r="F174" s="6">
        <v>18</v>
      </c>
      <c r="G174" t="s">
        <v>17</v>
      </c>
      <c r="H174" t="s">
        <v>21</v>
      </c>
      <c r="I174" s="20">
        <f>Origen!$F174*Origen!$E174</f>
        <v>270810</v>
      </c>
      <c r="J174" s="6">
        <f>VLOOKUP(A:A,Anexos!A:B,2,0)</f>
        <v>2024</v>
      </c>
      <c r="K174" s="6">
        <f>_xlfn.XLOOKUP(A:A,Anexos!A:A,Anexos!C:C,"No se encuentra",0)</f>
        <v>1</v>
      </c>
      <c r="L174" s="21" t="str">
        <f>VLOOKUP(A:A,Anexos!A:E,5,0)</f>
        <v>domingo</v>
      </c>
      <c r="M174" s="21" t="str">
        <f>VLOOKUP(A:A,Anexos!A:F,6,0)</f>
        <v>enero</v>
      </c>
    </row>
    <row r="175" spans="1:13" x14ac:dyDescent="0.3">
      <c r="A175" s="6">
        <v>174</v>
      </c>
      <c r="B175" s="6" t="s">
        <v>29</v>
      </c>
      <c r="C175" s="1">
        <v>45776</v>
      </c>
      <c r="D175" t="s">
        <v>14</v>
      </c>
      <c r="E175" s="20">
        <v>14271</v>
      </c>
      <c r="F175" s="6">
        <v>46</v>
      </c>
      <c r="G175" t="s">
        <v>18</v>
      </c>
      <c r="H175" t="s">
        <v>22</v>
      </c>
      <c r="I175" s="20">
        <f>Origen!$F175*Origen!$E175</f>
        <v>656466</v>
      </c>
      <c r="J175" s="6">
        <f>VLOOKUP(A:A,Anexos!A:B,2,0)</f>
        <v>2025</v>
      </c>
      <c r="K175" s="6">
        <f>_xlfn.XLOOKUP(A:A,Anexos!A:A,Anexos!C:C,"No se encuentra",0)</f>
        <v>4</v>
      </c>
      <c r="L175" s="21" t="str">
        <f>VLOOKUP(A:A,Anexos!A:E,5,0)</f>
        <v>martes</v>
      </c>
      <c r="M175" s="21" t="str">
        <f>VLOOKUP(A:A,Anexos!A:F,6,0)</f>
        <v>abril</v>
      </c>
    </row>
    <row r="176" spans="1:13" x14ac:dyDescent="0.3">
      <c r="A176" s="6">
        <v>175</v>
      </c>
      <c r="B176" s="6" t="s">
        <v>27</v>
      </c>
      <c r="C176" s="1">
        <v>44988</v>
      </c>
      <c r="D176" t="s">
        <v>15</v>
      </c>
      <c r="E176" s="20">
        <v>12361</v>
      </c>
      <c r="F176" s="6">
        <v>15</v>
      </c>
      <c r="G176" t="s">
        <v>19</v>
      </c>
      <c r="H176" t="s">
        <v>23</v>
      </c>
      <c r="I176" s="20">
        <f>Origen!$F176*Origen!$E176</f>
        <v>185415</v>
      </c>
      <c r="J176" s="6">
        <f>VLOOKUP(A:A,Anexos!A:B,2,0)</f>
        <v>2023</v>
      </c>
      <c r="K176" s="6">
        <f>_xlfn.XLOOKUP(A:A,Anexos!A:A,Anexos!C:C,"No se encuentra",0)</f>
        <v>3</v>
      </c>
      <c r="L176" s="21" t="str">
        <f>VLOOKUP(A:A,Anexos!A:E,5,0)</f>
        <v>viernes</v>
      </c>
      <c r="M176" s="21" t="str">
        <f>VLOOKUP(A:A,Anexos!A:F,6,0)</f>
        <v>marzo</v>
      </c>
    </row>
    <row r="177" spans="1:13" x14ac:dyDescent="0.3">
      <c r="A177" s="6">
        <v>176</v>
      </c>
      <c r="B177" s="6" t="s">
        <v>28</v>
      </c>
      <c r="C177" s="1">
        <v>45833</v>
      </c>
      <c r="D177" t="s">
        <v>16</v>
      </c>
      <c r="E177" s="20">
        <v>14933</v>
      </c>
      <c r="F177" s="6">
        <v>48</v>
      </c>
      <c r="G177" t="s">
        <v>20</v>
      </c>
      <c r="H177" t="s">
        <v>24</v>
      </c>
      <c r="I177" s="20">
        <f>Origen!$F177*Origen!$E177</f>
        <v>716784</v>
      </c>
      <c r="J177" s="6">
        <f>VLOOKUP(A:A,Anexos!A:B,2,0)</f>
        <v>2025</v>
      </c>
      <c r="K177" s="6">
        <f>_xlfn.XLOOKUP(A:A,Anexos!A:A,Anexos!C:C,"No se encuentra",0)</f>
        <v>6</v>
      </c>
      <c r="L177" s="21" t="str">
        <f>VLOOKUP(A:A,Anexos!A:E,5,0)</f>
        <v>miércoles</v>
      </c>
      <c r="M177" s="21" t="str">
        <f>VLOOKUP(A:A,Anexos!A:F,6,0)</f>
        <v>junio</v>
      </c>
    </row>
    <row r="178" spans="1:13" x14ac:dyDescent="0.3">
      <c r="A178" s="6">
        <v>177</v>
      </c>
      <c r="B178" s="6" t="s">
        <v>29</v>
      </c>
      <c r="C178" s="1">
        <v>44972</v>
      </c>
      <c r="D178" t="s">
        <v>6</v>
      </c>
      <c r="E178" s="20">
        <v>15482</v>
      </c>
      <c r="F178" s="6">
        <v>10</v>
      </c>
      <c r="G178" t="s">
        <v>17</v>
      </c>
      <c r="H178" t="s">
        <v>21</v>
      </c>
      <c r="I178" s="20">
        <f>Origen!$F178*Origen!$E178</f>
        <v>154820</v>
      </c>
      <c r="J178" s="6">
        <f>VLOOKUP(A:A,Anexos!A:B,2,0)</f>
        <v>2023</v>
      </c>
      <c r="K178" s="6">
        <f>_xlfn.XLOOKUP(A:A,Anexos!A:A,Anexos!C:C,"No se encuentra",0)</f>
        <v>2</v>
      </c>
      <c r="L178" s="21" t="str">
        <f>VLOOKUP(A:A,Anexos!A:E,5,0)</f>
        <v>miércoles</v>
      </c>
      <c r="M178" s="21" t="str">
        <f>VLOOKUP(A:A,Anexos!A:F,6,0)</f>
        <v>febrero</v>
      </c>
    </row>
    <row r="179" spans="1:13" x14ac:dyDescent="0.3">
      <c r="A179" s="6">
        <v>178</v>
      </c>
      <c r="B179" s="6" t="s">
        <v>27</v>
      </c>
      <c r="C179" s="1">
        <v>45666</v>
      </c>
      <c r="D179" t="s">
        <v>7</v>
      </c>
      <c r="E179" s="20">
        <v>19159</v>
      </c>
      <c r="F179" s="6">
        <v>78</v>
      </c>
      <c r="G179" t="s">
        <v>18</v>
      </c>
      <c r="H179" t="s">
        <v>22</v>
      </c>
      <c r="I179" s="20">
        <f>Origen!$F179*Origen!$E179</f>
        <v>1494402</v>
      </c>
      <c r="J179" s="6">
        <f>VLOOKUP(A:A,Anexos!A:B,2,0)</f>
        <v>2025</v>
      </c>
      <c r="K179" s="6">
        <f>_xlfn.XLOOKUP(A:A,Anexos!A:A,Anexos!C:C,"No se encuentra",0)</f>
        <v>1</v>
      </c>
      <c r="L179" s="21" t="str">
        <f>VLOOKUP(A:A,Anexos!A:E,5,0)</f>
        <v>jueves</v>
      </c>
      <c r="M179" s="21" t="str">
        <f>VLOOKUP(A:A,Anexos!A:F,6,0)</f>
        <v>enero</v>
      </c>
    </row>
    <row r="180" spans="1:13" x14ac:dyDescent="0.3">
      <c r="A180" s="6">
        <v>179</v>
      </c>
      <c r="B180" s="6" t="s">
        <v>28</v>
      </c>
      <c r="C180" s="1">
        <v>45135</v>
      </c>
      <c r="D180" t="s">
        <v>8</v>
      </c>
      <c r="E180" s="20">
        <v>17523</v>
      </c>
      <c r="F180" s="6">
        <v>45</v>
      </c>
      <c r="G180" t="s">
        <v>19</v>
      </c>
      <c r="H180" t="s">
        <v>23</v>
      </c>
      <c r="I180" s="20">
        <f>Origen!$F180*Origen!$E180</f>
        <v>788535</v>
      </c>
      <c r="J180" s="6">
        <f>VLOOKUP(A:A,Anexos!A:B,2,0)</f>
        <v>2023</v>
      </c>
      <c r="K180" s="6">
        <f>_xlfn.XLOOKUP(A:A,Anexos!A:A,Anexos!C:C,"No se encuentra",0)</f>
        <v>7</v>
      </c>
      <c r="L180" s="21" t="str">
        <f>VLOOKUP(A:A,Anexos!A:E,5,0)</f>
        <v>viernes</v>
      </c>
      <c r="M180" s="21" t="str">
        <f>VLOOKUP(A:A,Anexos!A:F,6,0)</f>
        <v>julio</v>
      </c>
    </row>
    <row r="181" spans="1:13" x14ac:dyDescent="0.3">
      <c r="A181" s="6">
        <v>180</v>
      </c>
      <c r="B181" s="6" t="s">
        <v>29</v>
      </c>
      <c r="C181" s="1">
        <v>45939</v>
      </c>
      <c r="D181" t="s">
        <v>9</v>
      </c>
      <c r="E181" s="20">
        <v>19473</v>
      </c>
      <c r="F181" s="6">
        <v>87</v>
      </c>
      <c r="G181" t="s">
        <v>20</v>
      </c>
      <c r="H181" t="s">
        <v>24</v>
      </c>
      <c r="I181" s="20">
        <f>Origen!$F181*Origen!$E181</f>
        <v>1694151</v>
      </c>
      <c r="J181" s="6">
        <f>VLOOKUP(A:A,Anexos!A:B,2,0)</f>
        <v>2025</v>
      </c>
      <c r="K181" s="6">
        <f>_xlfn.XLOOKUP(A:A,Anexos!A:A,Anexos!C:C,"No se encuentra",0)</f>
        <v>10</v>
      </c>
      <c r="L181" s="21" t="str">
        <f>VLOOKUP(A:A,Anexos!A:E,5,0)</f>
        <v>jueves</v>
      </c>
      <c r="M181" s="21" t="str">
        <f>VLOOKUP(A:A,Anexos!A:F,6,0)</f>
        <v>octubre</v>
      </c>
    </row>
    <row r="182" spans="1:13" x14ac:dyDescent="0.3">
      <c r="A182" s="6">
        <v>181</v>
      </c>
      <c r="B182" s="6" t="s">
        <v>27</v>
      </c>
      <c r="C182" s="1">
        <v>45718</v>
      </c>
      <c r="D182" t="s">
        <v>10</v>
      </c>
      <c r="E182" s="20">
        <v>18811</v>
      </c>
      <c r="F182" s="6">
        <v>41</v>
      </c>
      <c r="G182" t="s">
        <v>17</v>
      </c>
      <c r="H182" t="s">
        <v>21</v>
      </c>
      <c r="I182" s="20">
        <f>Origen!$F182*Origen!$E182</f>
        <v>771251</v>
      </c>
      <c r="J182" s="6">
        <f>VLOOKUP(A:A,Anexos!A:B,2,0)</f>
        <v>2025</v>
      </c>
      <c r="K182" s="6">
        <f>_xlfn.XLOOKUP(A:A,Anexos!A:A,Anexos!C:C,"No se encuentra",0)</f>
        <v>3</v>
      </c>
      <c r="L182" s="21" t="str">
        <f>VLOOKUP(A:A,Anexos!A:E,5,0)</f>
        <v>domingo</v>
      </c>
      <c r="M182" s="21" t="str">
        <f>VLOOKUP(A:A,Anexos!A:F,6,0)</f>
        <v>marzo</v>
      </c>
    </row>
    <row r="183" spans="1:13" x14ac:dyDescent="0.3">
      <c r="A183" s="6">
        <v>182</v>
      </c>
      <c r="B183" s="6" t="s">
        <v>28</v>
      </c>
      <c r="C183" s="1">
        <v>45173</v>
      </c>
      <c r="D183" t="s">
        <v>11</v>
      </c>
      <c r="E183" s="20">
        <v>19176</v>
      </c>
      <c r="F183" s="6">
        <v>50</v>
      </c>
      <c r="G183" t="s">
        <v>18</v>
      </c>
      <c r="H183" t="s">
        <v>22</v>
      </c>
      <c r="I183" s="20">
        <f>Origen!$F183*Origen!$E183</f>
        <v>958800</v>
      </c>
      <c r="J183" s="6">
        <f>VLOOKUP(A:A,Anexos!A:B,2,0)</f>
        <v>2023</v>
      </c>
      <c r="K183" s="6">
        <f>_xlfn.XLOOKUP(A:A,Anexos!A:A,Anexos!C:C,"No se encuentra",0)</f>
        <v>9</v>
      </c>
      <c r="L183" s="21" t="str">
        <f>VLOOKUP(A:A,Anexos!A:E,5,0)</f>
        <v>lunes</v>
      </c>
      <c r="M183" s="21" t="str">
        <f>VLOOKUP(A:A,Anexos!A:F,6,0)</f>
        <v>septiembre</v>
      </c>
    </row>
    <row r="184" spans="1:13" x14ac:dyDescent="0.3">
      <c r="A184" s="6">
        <v>183</v>
      </c>
      <c r="B184" s="6" t="s">
        <v>29</v>
      </c>
      <c r="C184" s="1">
        <v>45755</v>
      </c>
      <c r="D184" t="s">
        <v>12</v>
      </c>
      <c r="E184" s="20">
        <v>18185</v>
      </c>
      <c r="F184" s="6">
        <v>51</v>
      </c>
      <c r="G184" t="s">
        <v>19</v>
      </c>
      <c r="H184" t="s">
        <v>23</v>
      </c>
      <c r="I184" s="20">
        <f>Origen!$F184*Origen!$E184</f>
        <v>927435</v>
      </c>
      <c r="J184" s="6">
        <f>VLOOKUP(A:A,Anexos!A:B,2,0)</f>
        <v>2025</v>
      </c>
      <c r="K184" s="6">
        <f>_xlfn.XLOOKUP(A:A,Anexos!A:A,Anexos!C:C,"No se encuentra",0)</f>
        <v>4</v>
      </c>
      <c r="L184" s="21" t="str">
        <f>VLOOKUP(A:A,Anexos!A:E,5,0)</f>
        <v>martes</v>
      </c>
      <c r="M184" s="21" t="str">
        <f>VLOOKUP(A:A,Anexos!A:F,6,0)</f>
        <v>abril</v>
      </c>
    </row>
    <row r="185" spans="1:13" x14ac:dyDescent="0.3">
      <c r="A185" s="6">
        <v>184</v>
      </c>
      <c r="B185" s="6" t="s">
        <v>27</v>
      </c>
      <c r="C185" s="1">
        <v>45564</v>
      </c>
      <c r="D185" t="s">
        <v>13</v>
      </c>
      <c r="E185" s="20">
        <v>15045</v>
      </c>
      <c r="F185" s="6">
        <v>82</v>
      </c>
      <c r="G185" t="s">
        <v>20</v>
      </c>
      <c r="H185" t="s">
        <v>24</v>
      </c>
      <c r="I185" s="20">
        <f>Origen!$F185*Origen!$E185</f>
        <v>1233690</v>
      </c>
      <c r="J185" s="6">
        <f>VLOOKUP(A:A,Anexos!A:B,2,0)</f>
        <v>2024</v>
      </c>
      <c r="K185" s="6">
        <f>_xlfn.XLOOKUP(A:A,Anexos!A:A,Anexos!C:C,"No se encuentra",0)</f>
        <v>9</v>
      </c>
      <c r="L185" s="21" t="str">
        <f>VLOOKUP(A:A,Anexos!A:E,5,0)</f>
        <v>domingo</v>
      </c>
      <c r="M185" s="21" t="str">
        <f>VLOOKUP(A:A,Anexos!A:F,6,0)</f>
        <v>septiembre</v>
      </c>
    </row>
    <row r="186" spans="1:13" x14ac:dyDescent="0.3">
      <c r="A186" s="6">
        <v>185</v>
      </c>
      <c r="B186" s="6" t="s">
        <v>28</v>
      </c>
      <c r="C186" s="1">
        <v>45894</v>
      </c>
      <c r="D186" t="s">
        <v>6</v>
      </c>
      <c r="E186" s="20">
        <v>15482</v>
      </c>
      <c r="F186" s="6">
        <v>96</v>
      </c>
      <c r="G186" t="s">
        <v>17</v>
      </c>
      <c r="H186" t="s">
        <v>21</v>
      </c>
      <c r="I186" s="20">
        <f>Origen!$F186*Origen!$E186</f>
        <v>1486272</v>
      </c>
      <c r="J186" s="6">
        <f>VLOOKUP(A:A,Anexos!A:B,2,0)</f>
        <v>2025</v>
      </c>
      <c r="K186" s="6">
        <f>_xlfn.XLOOKUP(A:A,Anexos!A:A,Anexos!C:C,"No se encuentra",0)</f>
        <v>8</v>
      </c>
      <c r="L186" s="21" t="str">
        <f>VLOOKUP(A:A,Anexos!A:E,5,0)</f>
        <v>lunes</v>
      </c>
      <c r="M186" s="21" t="str">
        <f>VLOOKUP(A:A,Anexos!A:F,6,0)</f>
        <v>agosto</v>
      </c>
    </row>
    <row r="187" spans="1:13" x14ac:dyDescent="0.3">
      <c r="A187" s="6">
        <v>186</v>
      </c>
      <c r="B187" s="6" t="s">
        <v>29</v>
      </c>
      <c r="C187" s="1">
        <v>45947</v>
      </c>
      <c r="D187" t="s">
        <v>7</v>
      </c>
      <c r="E187" s="20">
        <v>19159</v>
      </c>
      <c r="F187" s="6">
        <v>81</v>
      </c>
      <c r="G187" t="s">
        <v>18</v>
      </c>
      <c r="H187" t="s">
        <v>22</v>
      </c>
      <c r="I187" s="20">
        <f>Origen!$F187*Origen!$E187</f>
        <v>1551879</v>
      </c>
      <c r="J187" s="6">
        <f>VLOOKUP(A:A,Anexos!A:B,2,0)</f>
        <v>2025</v>
      </c>
      <c r="K187" s="6">
        <f>_xlfn.XLOOKUP(A:A,Anexos!A:A,Anexos!C:C,"No se encuentra",0)</f>
        <v>10</v>
      </c>
      <c r="L187" s="21" t="str">
        <f>VLOOKUP(A:A,Anexos!A:E,5,0)</f>
        <v>viernes</v>
      </c>
      <c r="M187" s="21" t="str">
        <f>VLOOKUP(A:A,Anexos!A:F,6,0)</f>
        <v>octubre</v>
      </c>
    </row>
    <row r="188" spans="1:13" x14ac:dyDescent="0.3">
      <c r="A188" s="6">
        <v>187</v>
      </c>
      <c r="B188" s="6" t="s">
        <v>27</v>
      </c>
      <c r="C188" s="1">
        <v>45346</v>
      </c>
      <c r="D188" t="s">
        <v>12</v>
      </c>
      <c r="E188" s="20">
        <v>18185</v>
      </c>
      <c r="F188" s="6">
        <v>16</v>
      </c>
      <c r="G188" t="s">
        <v>19</v>
      </c>
      <c r="H188" t="s">
        <v>23</v>
      </c>
      <c r="I188" s="20">
        <f>Origen!$F188*Origen!$E188</f>
        <v>290960</v>
      </c>
      <c r="J188" s="6">
        <f>VLOOKUP(A:A,Anexos!A:B,2,0)</f>
        <v>2024</v>
      </c>
      <c r="K188" s="6">
        <f>_xlfn.XLOOKUP(A:A,Anexos!A:A,Anexos!C:C,"No se encuentra",0)</f>
        <v>2</v>
      </c>
      <c r="L188" s="21" t="str">
        <f>VLOOKUP(A:A,Anexos!A:E,5,0)</f>
        <v>sábado</v>
      </c>
      <c r="M188" s="21" t="str">
        <f>VLOOKUP(A:A,Anexos!A:F,6,0)</f>
        <v>febrero</v>
      </c>
    </row>
    <row r="189" spans="1:13" x14ac:dyDescent="0.3">
      <c r="A189" s="6">
        <v>188</v>
      </c>
      <c r="B189" s="6" t="s">
        <v>28</v>
      </c>
      <c r="C189" s="1">
        <v>45372</v>
      </c>
      <c r="D189" t="s">
        <v>13</v>
      </c>
      <c r="E189" s="20">
        <v>15045</v>
      </c>
      <c r="F189" s="6">
        <v>54</v>
      </c>
      <c r="G189" t="s">
        <v>17</v>
      </c>
      <c r="H189" t="s">
        <v>24</v>
      </c>
      <c r="I189" s="20">
        <f>Origen!$F189*Origen!$E189</f>
        <v>812430</v>
      </c>
      <c r="J189" s="6">
        <f>VLOOKUP(A:A,Anexos!A:B,2,0)</f>
        <v>2024</v>
      </c>
      <c r="K189" s="6">
        <f>_xlfn.XLOOKUP(A:A,Anexos!A:A,Anexos!C:C,"No se encuentra",0)</f>
        <v>3</v>
      </c>
      <c r="L189" s="21" t="str">
        <f>VLOOKUP(A:A,Anexos!A:E,5,0)</f>
        <v>jueves</v>
      </c>
      <c r="M189" s="21" t="str">
        <f>VLOOKUP(A:A,Anexos!A:F,6,0)</f>
        <v>marzo</v>
      </c>
    </row>
    <row r="190" spans="1:13" x14ac:dyDescent="0.3">
      <c r="A190" s="6">
        <v>189</v>
      </c>
      <c r="B190" s="6" t="s">
        <v>29</v>
      </c>
      <c r="C190" s="1">
        <v>45036</v>
      </c>
      <c r="D190" t="s">
        <v>14</v>
      </c>
      <c r="E190" s="20">
        <v>14271</v>
      </c>
      <c r="F190" s="6">
        <v>56</v>
      </c>
      <c r="G190" t="s">
        <v>18</v>
      </c>
      <c r="H190" t="s">
        <v>21</v>
      </c>
      <c r="I190" s="20">
        <f>Origen!$F190*Origen!$E190</f>
        <v>799176</v>
      </c>
      <c r="J190" s="6">
        <f>VLOOKUP(A:A,Anexos!A:B,2,0)</f>
        <v>2023</v>
      </c>
      <c r="K190" s="6">
        <f>_xlfn.XLOOKUP(A:A,Anexos!A:A,Anexos!C:C,"No se encuentra",0)</f>
        <v>4</v>
      </c>
      <c r="L190" s="21" t="str">
        <f>VLOOKUP(A:A,Anexos!A:E,5,0)</f>
        <v>jueves</v>
      </c>
      <c r="M190" s="21" t="str">
        <f>VLOOKUP(A:A,Anexos!A:F,6,0)</f>
        <v>abril</v>
      </c>
    </row>
    <row r="191" spans="1:13" x14ac:dyDescent="0.3">
      <c r="A191" s="6">
        <v>190</v>
      </c>
      <c r="B191" s="6" t="s">
        <v>27</v>
      </c>
      <c r="C191" s="1">
        <v>45932</v>
      </c>
      <c r="D191" t="s">
        <v>15</v>
      </c>
      <c r="E191" s="20">
        <v>12361</v>
      </c>
      <c r="F191" s="6">
        <v>18</v>
      </c>
      <c r="G191" t="s">
        <v>19</v>
      </c>
      <c r="H191" t="s">
        <v>22</v>
      </c>
      <c r="I191" s="20">
        <f>Origen!$F191*Origen!$E191</f>
        <v>222498</v>
      </c>
      <c r="J191" s="6">
        <f>VLOOKUP(A:A,Anexos!A:B,2,0)</f>
        <v>2025</v>
      </c>
      <c r="K191" s="6">
        <f>_xlfn.XLOOKUP(A:A,Anexos!A:A,Anexos!C:C,"No se encuentra",0)</f>
        <v>10</v>
      </c>
      <c r="L191" s="21" t="str">
        <f>VLOOKUP(A:A,Anexos!A:E,5,0)</f>
        <v>jueves</v>
      </c>
      <c r="M191" s="21" t="str">
        <f>VLOOKUP(A:A,Anexos!A:F,6,0)</f>
        <v>octubre</v>
      </c>
    </row>
    <row r="192" spans="1:13" x14ac:dyDescent="0.3">
      <c r="A192" s="6">
        <v>191</v>
      </c>
      <c r="B192" s="6" t="s">
        <v>28</v>
      </c>
      <c r="C192" s="1">
        <v>45302</v>
      </c>
      <c r="D192" t="s">
        <v>16</v>
      </c>
      <c r="E192" s="20">
        <v>14933</v>
      </c>
      <c r="F192" s="6">
        <v>48</v>
      </c>
      <c r="G192" t="s">
        <v>20</v>
      </c>
      <c r="H192" t="s">
        <v>23</v>
      </c>
      <c r="I192" s="20">
        <f>Origen!$F192*Origen!$E192</f>
        <v>716784</v>
      </c>
      <c r="J192" s="6">
        <f>VLOOKUP(A:A,Anexos!A:B,2,0)</f>
        <v>2024</v>
      </c>
      <c r="K192" s="6">
        <f>_xlfn.XLOOKUP(A:A,Anexos!A:A,Anexos!C:C,"No se encuentra",0)</f>
        <v>1</v>
      </c>
      <c r="L192" s="21" t="str">
        <f>VLOOKUP(A:A,Anexos!A:E,5,0)</f>
        <v>jueves</v>
      </c>
      <c r="M192" s="21" t="str">
        <f>VLOOKUP(A:A,Anexos!A:F,6,0)</f>
        <v>enero</v>
      </c>
    </row>
    <row r="193" spans="1:13" x14ac:dyDescent="0.3">
      <c r="A193" s="6">
        <v>192</v>
      </c>
      <c r="B193" s="6" t="s">
        <v>29</v>
      </c>
      <c r="C193" s="1">
        <v>44928</v>
      </c>
      <c r="D193" t="s">
        <v>6</v>
      </c>
      <c r="E193" s="20">
        <v>15482</v>
      </c>
      <c r="F193" s="6">
        <v>66</v>
      </c>
      <c r="G193" t="s">
        <v>17</v>
      </c>
      <c r="H193" t="s">
        <v>24</v>
      </c>
      <c r="I193" s="20">
        <f>Origen!$F193*Origen!$E193</f>
        <v>1021812</v>
      </c>
      <c r="J193" s="6">
        <f>VLOOKUP(A:A,Anexos!A:B,2,0)</f>
        <v>2023</v>
      </c>
      <c r="K193" s="6">
        <f>_xlfn.XLOOKUP(A:A,Anexos!A:A,Anexos!C:C,"No se encuentra",0)</f>
        <v>1</v>
      </c>
      <c r="L193" s="21" t="str">
        <f>VLOOKUP(A:A,Anexos!A:E,5,0)</f>
        <v>lunes</v>
      </c>
      <c r="M193" s="21" t="str">
        <f>VLOOKUP(A:A,Anexos!A:F,6,0)</f>
        <v>enero</v>
      </c>
    </row>
    <row r="194" spans="1:13" x14ac:dyDescent="0.3">
      <c r="A194" s="6">
        <v>193</v>
      </c>
      <c r="B194" s="6" t="s">
        <v>27</v>
      </c>
      <c r="C194" s="1">
        <v>45623</v>
      </c>
      <c r="D194" t="s">
        <v>7</v>
      </c>
      <c r="E194" s="20">
        <v>19159</v>
      </c>
      <c r="F194" s="6">
        <v>66</v>
      </c>
      <c r="G194" t="s">
        <v>18</v>
      </c>
      <c r="H194" t="s">
        <v>21</v>
      </c>
      <c r="I194" s="20">
        <f>Origen!$F194*Origen!$E194</f>
        <v>1264494</v>
      </c>
      <c r="J194" s="6">
        <f>VLOOKUP(A:A,Anexos!A:B,2,0)</f>
        <v>2024</v>
      </c>
      <c r="K194" s="6">
        <f>_xlfn.XLOOKUP(A:A,Anexos!A:A,Anexos!C:C,"No se encuentra",0)</f>
        <v>11</v>
      </c>
      <c r="L194" s="21" t="str">
        <f>VLOOKUP(A:A,Anexos!A:E,5,0)</f>
        <v>miércoles</v>
      </c>
      <c r="M194" s="21" t="str">
        <f>VLOOKUP(A:A,Anexos!A:F,6,0)</f>
        <v>noviembre</v>
      </c>
    </row>
    <row r="195" spans="1:13" x14ac:dyDescent="0.3">
      <c r="A195" s="6">
        <v>194</v>
      </c>
      <c r="B195" s="6" t="s">
        <v>28</v>
      </c>
      <c r="C195" s="1">
        <v>45625</v>
      </c>
      <c r="D195" t="s">
        <v>8</v>
      </c>
      <c r="E195" s="20">
        <v>17523</v>
      </c>
      <c r="F195" s="6">
        <v>92</v>
      </c>
      <c r="G195" t="s">
        <v>19</v>
      </c>
      <c r="H195" t="s">
        <v>22</v>
      </c>
      <c r="I195" s="20">
        <f>Origen!$F195*Origen!$E195</f>
        <v>1612116</v>
      </c>
      <c r="J195" s="6">
        <f>VLOOKUP(A:A,Anexos!A:B,2,0)</f>
        <v>2024</v>
      </c>
      <c r="K195" s="6">
        <f>_xlfn.XLOOKUP(A:A,Anexos!A:A,Anexos!C:C,"No se encuentra",0)</f>
        <v>11</v>
      </c>
      <c r="L195" s="21" t="str">
        <f>VLOOKUP(A:A,Anexos!A:E,5,0)</f>
        <v>viernes</v>
      </c>
      <c r="M195" s="21" t="str">
        <f>VLOOKUP(A:A,Anexos!A:F,6,0)</f>
        <v>noviembre</v>
      </c>
    </row>
    <row r="196" spans="1:13" x14ac:dyDescent="0.3">
      <c r="A196" s="6">
        <v>195</v>
      </c>
      <c r="B196" s="6" t="s">
        <v>29</v>
      </c>
      <c r="C196" s="1">
        <v>45153</v>
      </c>
      <c r="D196" t="s">
        <v>9</v>
      </c>
      <c r="E196" s="20">
        <v>19473</v>
      </c>
      <c r="F196" s="6">
        <v>64</v>
      </c>
      <c r="G196" t="s">
        <v>20</v>
      </c>
      <c r="H196" t="s">
        <v>23</v>
      </c>
      <c r="I196" s="20">
        <f>Origen!$F196*Origen!$E196</f>
        <v>1246272</v>
      </c>
      <c r="J196" s="6">
        <f>VLOOKUP(A:A,Anexos!A:B,2,0)</f>
        <v>2023</v>
      </c>
      <c r="K196" s="6">
        <f>_xlfn.XLOOKUP(A:A,Anexos!A:A,Anexos!C:C,"No se encuentra",0)</f>
        <v>8</v>
      </c>
      <c r="L196" s="21" t="str">
        <f>VLOOKUP(A:A,Anexos!A:E,5,0)</f>
        <v>martes</v>
      </c>
      <c r="M196" s="21" t="str">
        <f>VLOOKUP(A:A,Anexos!A:F,6,0)</f>
        <v>agosto</v>
      </c>
    </row>
    <row r="197" spans="1:13" x14ac:dyDescent="0.3">
      <c r="A197" s="6">
        <v>196</v>
      </c>
      <c r="B197" s="6" t="s">
        <v>27</v>
      </c>
      <c r="C197" s="1">
        <v>45783</v>
      </c>
      <c r="D197" t="s">
        <v>10</v>
      </c>
      <c r="E197" s="20">
        <v>18811</v>
      </c>
      <c r="F197" s="6">
        <v>80</v>
      </c>
      <c r="G197" t="s">
        <v>17</v>
      </c>
      <c r="H197" t="s">
        <v>24</v>
      </c>
      <c r="I197" s="20">
        <f>Origen!$F197*Origen!$E197</f>
        <v>1504880</v>
      </c>
      <c r="J197" s="6">
        <f>VLOOKUP(A:A,Anexos!A:B,2,0)</f>
        <v>2025</v>
      </c>
      <c r="K197" s="6">
        <f>_xlfn.XLOOKUP(A:A,Anexos!A:A,Anexos!C:C,"No se encuentra",0)</f>
        <v>5</v>
      </c>
      <c r="L197" s="21" t="str">
        <f>VLOOKUP(A:A,Anexos!A:E,5,0)</f>
        <v>martes</v>
      </c>
      <c r="M197" s="21" t="str">
        <f>VLOOKUP(A:A,Anexos!A:F,6,0)</f>
        <v>mayo</v>
      </c>
    </row>
    <row r="198" spans="1:13" x14ac:dyDescent="0.3">
      <c r="A198" s="6">
        <v>197</v>
      </c>
      <c r="B198" s="6" t="s">
        <v>28</v>
      </c>
      <c r="C198" s="1">
        <v>45250</v>
      </c>
      <c r="D198" t="s">
        <v>11</v>
      </c>
      <c r="E198" s="20">
        <v>19176</v>
      </c>
      <c r="F198" s="6">
        <v>40</v>
      </c>
      <c r="G198" t="s">
        <v>18</v>
      </c>
      <c r="H198" t="s">
        <v>21</v>
      </c>
      <c r="I198" s="20">
        <f>Origen!$F198*Origen!$E198</f>
        <v>767040</v>
      </c>
      <c r="J198" s="6">
        <f>VLOOKUP(A:A,Anexos!A:B,2,0)</f>
        <v>2023</v>
      </c>
      <c r="K198" s="6">
        <f>_xlfn.XLOOKUP(A:A,Anexos!A:A,Anexos!C:C,"No se encuentra",0)</f>
        <v>11</v>
      </c>
      <c r="L198" s="21" t="str">
        <f>VLOOKUP(A:A,Anexos!A:E,5,0)</f>
        <v>lunes</v>
      </c>
      <c r="M198" s="21" t="str">
        <f>VLOOKUP(A:A,Anexos!A:F,6,0)</f>
        <v>noviembre</v>
      </c>
    </row>
    <row r="199" spans="1:13" x14ac:dyDescent="0.3">
      <c r="A199" s="6">
        <v>198</v>
      </c>
      <c r="B199" s="6" t="s">
        <v>29</v>
      </c>
      <c r="C199" s="1">
        <v>45451</v>
      </c>
      <c r="D199" t="s">
        <v>12</v>
      </c>
      <c r="E199" s="20">
        <v>18185</v>
      </c>
      <c r="F199" s="6">
        <v>83</v>
      </c>
      <c r="G199" t="s">
        <v>19</v>
      </c>
      <c r="H199" t="s">
        <v>22</v>
      </c>
      <c r="I199" s="20">
        <f>Origen!$F199*Origen!$E199</f>
        <v>1509355</v>
      </c>
      <c r="J199" s="6">
        <f>VLOOKUP(A:A,Anexos!A:B,2,0)</f>
        <v>2024</v>
      </c>
      <c r="K199" s="6">
        <f>_xlfn.XLOOKUP(A:A,Anexos!A:A,Anexos!C:C,"No se encuentra",0)</f>
        <v>6</v>
      </c>
      <c r="L199" s="21" t="str">
        <f>VLOOKUP(A:A,Anexos!A:E,5,0)</f>
        <v>sábado</v>
      </c>
      <c r="M199" s="21" t="str">
        <f>VLOOKUP(A:A,Anexos!A:F,6,0)</f>
        <v>junio</v>
      </c>
    </row>
    <row r="200" spans="1:13" x14ac:dyDescent="0.3">
      <c r="A200" s="6">
        <v>199</v>
      </c>
      <c r="B200" s="6" t="s">
        <v>27</v>
      </c>
      <c r="C200" s="1">
        <v>45800</v>
      </c>
      <c r="D200" t="s">
        <v>13</v>
      </c>
      <c r="E200" s="20">
        <v>15045</v>
      </c>
      <c r="F200" s="6">
        <v>41</v>
      </c>
      <c r="G200" t="s">
        <v>20</v>
      </c>
      <c r="H200" t="s">
        <v>23</v>
      </c>
      <c r="I200" s="20">
        <f>Origen!$F200*Origen!$E200</f>
        <v>616845</v>
      </c>
      <c r="J200" s="6">
        <f>VLOOKUP(A:A,Anexos!A:B,2,0)</f>
        <v>2025</v>
      </c>
      <c r="K200" s="6">
        <f>_xlfn.XLOOKUP(A:A,Anexos!A:A,Anexos!C:C,"No se encuentra",0)</f>
        <v>5</v>
      </c>
      <c r="L200" s="21" t="str">
        <f>VLOOKUP(A:A,Anexos!A:E,5,0)</f>
        <v>viernes</v>
      </c>
      <c r="M200" s="21" t="str">
        <f>VLOOKUP(A:A,Anexos!A:F,6,0)</f>
        <v>mayo</v>
      </c>
    </row>
    <row r="201" spans="1:13" x14ac:dyDescent="0.3">
      <c r="A201" s="6">
        <v>200</v>
      </c>
      <c r="B201" s="6" t="s">
        <v>28</v>
      </c>
      <c r="C201" s="1">
        <v>45403</v>
      </c>
      <c r="D201" t="s">
        <v>12</v>
      </c>
      <c r="E201" s="20">
        <v>18185</v>
      </c>
      <c r="F201" s="6">
        <v>71</v>
      </c>
      <c r="G201" t="s">
        <v>17</v>
      </c>
      <c r="H201" t="s">
        <v>24</v>
      </c>
      <c r="I201" s="20">
        <f>Origen!$F201*Origen!$E201</f>
        <v>1291135</v>
      </c>
      <c r="J201" s="6">
        <f>VLOOKUP(A:A,Anexos!A:B,2,0)</f>
        <v>2024</v>
      </c>
      <c r="K201" s="6">
        <f>_xlfn.XLOOKUP(A:A,Anexos!A:A,Anexos!C:C,"No se encuentra",0)</f>
        <v>4</v>
      </c>
      <c r="L201" s="21" t="str">
        <f>VLOOKUP(A:A,Anexos!A:E,5,0)</f>
        <v>domingo</v>
      </c>
      <c r="M201" s="21" t="str">
        <f>VLOOKUP(A:A,Anexos!A:F,6,0)</f>
        <v>abril</v>
      </c>
    </row>
    <row r="202" spans="1:13" x14ac:dyDescent="0.3">
      <c r="A202" s="6">
        <v>201</v>
      </c>
      <c r="B202" s="6" t="s">
        <v>29</v>
      </c>
      <c r="C202" s="1">
        <v>45509</v>
      </c>
      <c r="D202" t="s">
        <v>13</v>
      </c>
      <c r="E202" s="20">
        <v>15045</v>
      </c>
      <c r="F202" s="6">
        <v>52</v>
      </c>
      <c r="G202" t="s">
        <v>18</v>
      </c>
      <c r="H202" t="s">
        <v>21</v>
      </c>
      <c r="I202" s="20">
        <f>Origen!$F202*Origen!$E202</f>
        <v>782340</v>
      </c>
      <c r="J202" s="6">
        <f>VLOOKUP(A:A,Anexos!A:B,2,0)</f>
        <v>2024</v>
      </c>
      <c r="K202" s="6">
        <f>_xlfn.XLOOKUP(A:A,Anexos!A:A,Anexos!C:C,"No se encuentra",0)</f>
        <v>8</v>
      </c>
      <c r="L202" s="21" t="str">
        <f>VLOOKUP(A:A,Anexos!A:E,5,0)</f>
        <v>lunes</v>
      </c>
      <c r="M202" s="21" t="str">
        <f>VLOOKUP(A:A,Anexos!A:F,6,0)</f>
        <v>agosto</v>
      </c>
    </row>
    <row r="203" spans="1:13" x14ac:dyDescent="0.3">
      <c r="A203" s="6">
        <v>202</v>
      </c>
      <c r="B203" s="6" t="s">
        <v>27</v>
      </c>
      <c r="C203" s="1">
        <v>45746</v>
      </c>
      <c r="D203" t="s">
        <v>14</v>
      </c>
      <c r="E203" s="20">
        <v>14271</v>
      </c>
      <c r="F203" s="6">
        <v>41</v>
      </c>
      <c r="G203" t="s">
        <v>19</v>
      </c>
      <c r="H203" t="s">
        <v>22</v>
      </c>
      <c r="I203" s="20">
        <f>Origen!$F203*Origen!$E203</f>
        <v>585111</v>
      </c>
      <c r="J203" s="6">
        <f>VLOOKUP(A:A,Anexos!A:B,2,0)</f>
        <v>2025</v>
      </c>
      <c r="K203" s="6">
        <f>_xlfn.XLOOKUP(A:A,Anexos!A:A,Anexos!C:C,"No se encuentra",0)</f>
        <v>3</v>
      </c>
      <c r="L203" s="21" t="str">
        <f>VLOOKUP(A:A,Anexos!A:E,5,0)</f>
        <v>domingo</v>
      </c>
      <c r="M203" s="21" t="str">
        <f>VLOOKUP(A:A,Anexos!A:F,6,0)</f>
        <v>marzo</v>
      </c>
    </row>
    <row r="204" spans="1:13" x14ac:dyDescent="0.3">
      <c r="A204" s="6">
        <v>203</v>
      </c>
      <c r="B204" s="6" t="s">
        <v>28</v>
      </c>
      <c r="C204" s="1">
        <v>44977</v>
      </c>
      <c r="D204" t="s">
        <v>15</v>
      </c>
      <c r="E204" s="20">
        <v>12361</v>
      </c>
      <c r="F204" s="6">
        <v>97</v>
      </c>
      <c r="G204" t="s">
        <v>17</v>
      </c>
      <c r="H204" t="s">
        <v>23</v>
      </c>
      <c r="I204" s="20">
        <f>Origen!$F204*Origen!$E204</f>
        <v>1199017</v>
      </c>
      <c r="J204" s="6">
        <f>VLOOKUP(A:A,Anexos!A:B,2,0)</f>
        <v>2023</v>
      </c>
      <c r="K204" s="6">
        <f>_xlfn.XLOOKUP(A:A,Anexos!A:A,Anexos!C:C,"No se encuentra",0)</f>
        <v>2</v>
      </c>
      <c r="L204" s="21" t="str">
        <f>VLOOKUP(A:A,Anexos!A:E,5,0)</f>
        <v>lunes</v>
      </c>
      <c r="M204" s="21" t="str">
        <f>VLOOKUP(A:A,Anexos!A:F,6,0)</f>
        <v>febrero</v>
      </c>
    </row>
    <row r="205" spans="1:13" x14ac:dyDescent="0.3">
      <c r="A205" s="6">
        <v>204</v>
      </c>
      <c r="B205" s="6" t="s">
        <v>29</v>
      </c>
      <c r="C205" s="1">
        <v>45566</v>
      </c>
      <c r="D205" t="s">
        <v>16</v>
      </c>
      <c r="E205" s="20">
        <v>14933</v>
      </c>
      <c r="F205" s="6">
        <v>39</v>
      </c>
      <c r="G205" t="s">
        <v>18</v>
      </c>
      <c r="H205" t="s">
        <v>24</v>
      </c>
      <c r="I205" s="20">
        <f>Origen!$F205*Origen!$E205</f>
        <v>582387</v>
      </c>
      <c r="J205" s="6">
        <f>VLOOKUP(A:A,Anexos!A:B,2,0)</f>
        <v>2024</v>
      </c>
      <c r="K205" s="6">
        <f>_xlfn.XLOOKUP(A:A,Anexos!A:A,Anexos!C:C,"No se encuentra",0)</f>
        <v>10</v>
      </c>
      <c r="L205" s="21" t="str">
        <f>VLOOKUP(A:A,Anexos!A:E,5,0)</f>
        <v>martes</v>
      </c>
      <c r="M205" s="21" t="str">
        <f>VLOOKUP(A:A,Anexos!A:F,6,0)</f>
        <v>octubre</v>
      </c>
    </row>
    <row r="206" spans="1:13" x14ac:dyDescent="0.3">
      <c r="A206" s="6">
        <v>205</v>
      </c>
      <c r="B206" s="6" t="s">
        <v>27</v>
      </c>
      <c r="C206" s="1">
        <v>45822</v>
      </c>
      <c r="D206" t="s">
        <v>11</v>
      </c>
      <c r="E206" s="20">
        <v>19176</v>
      </c>
      <c r="F206" s="6">
        <v>23</v>
      </c>
      <c r="G206" t="s">
        <v>19</v>
      </c>
      <c r="H206" t="s">
        <v>21</v>
      </c>
      <c r="I206" s="20">
        <f>Origen!$F206*Origen!$E206</f>
        <v>441048</v>
      </c>
      <c r="J206" s="6">
        <f>VLOOKUP(A:A,Anexos!A:B,2,0)</f>
        <v>2025</v>
      </c>
      <c r="K206" s="6">
        <f>_xlfn.XLOOKUP(A:A,Anexos!A:A,Anexos!C:C,"No se encuentra",0)</f>
        <v>6</v>
      </c>
      <c r="L206" s="21" t="str">
        <f>VLOOKUP(A:A,Anexos!A:E,5,0)</f>
        <v>sábado</v>
      </c>
      <c r="M206" s="21" t="str">
        <f>VLOOKUP(A:A,Anexos!A:F,6,0)</f>
        <v>junio</v>
      </c>
    </row>
    <row r="207" spans="1:13" x14ac:dyDescent="0.3">
      <c r="A207" s="6">
        <v>206</v>
      </c>
      <c r="B207" s="6" t="s">
        <v>28</v>
      </c>
      <c r="C207" s="1">
        <v>45989</v>
      </c>
      <c r="D207" t="s">
        <v>12</v>
      </c>
      <c r="E207" s="20">
        <v>18185</v>
      </c>
      <c r="F207" s="6">
        <v>27</v>
      </c>
      <c r="G207" t="s">
        <v>20</v>
      </c>
      <c r="H207" t="s">
        <v>22</v>
      </c>
      <c r="I207" s="20">
        <f>Origen!$F207*Origen!$E207</f>
        <v>490995</v>
      </c>
      <c r="J207" s="6">
        <f>VLOOKUP(A:A,Anexos!A:B,2,0)</f>
        <v>2025</v>
      </c>
      <c r="K207" s="6">
        <f>_xlfn.XLOOKUP(A:A,Anexos!A:A,Anexos!C:C,"No se encuentra",0)</f>
        <v>11</v>
      </c>
      <c r="L207" s="21" t="str">
        <f>VLOOKUP(A:A,Anexos!A:E,5,0)</f>
        <v>viernes</v>
      </c>
      <c r="M207" s="21" t="str">
        <f>VLOOKUP(A:A,Anexos!A:F,6,0)</f>
        <v>noviembre</v>
      </c>
    </row>
    <row r="208" spans="1:13" x14ac:dyDescent="0.3">
      <c r="A208" s="6">
        <v>207</v>
      </c>
      <c r="B208" s="6" t="s">
        <v>29</v>
      </c>
      <c r="C208" s="1">
        <v>45319</v>
      </c>
      <c r="D208" t="s">
        <v>13</v>
      </c>
      <c r="E208" s="20">
        <v>15045</v>
      </c>
      <c r="F208" s="6">
        <v>84</v>
      </c>
      <c r="G208" t="s">
        <v>17</v>
      </c>
      <c r="H208" t="s">
        <v>23</v>
      </c>
      <c r="I208" s="20">
        <f>Origen!$F208*Origen!$E208</f>
        <v>1263780</v>
      </c>
      <c r="J208" s="6">
        <f>VLOOKUP(A:A,Anexos!A:B,2,0)</f>
        <v>2024</v>
      </c>
      <c r="K208" s="6">
        <f>_xlfn.XLOOKUP(A:A,Anexos!A:A,Anexos!C:C,"No se encuentra",0)</f>
        <v>1</v>
      </c>
      <c r="L208" s="21" t="str">
        <f>VLOOKUP(A:A,Anexos!A:E,5,0)</f>
        <v>domingo</v>
      </c>
      <c r="M208" s="21" t="str">
        <f>VLOOKUP(A:A,Anexos!A:F,6,0)</f>
        <v>enero</v>
      </c>
    </row>
    <row r="209" spans="1:13" x14ac:dyDescent="0.3">
      <c r="A209" s="6">
        <v>208</v>
      </c>
      <c r="B209" s="6" t="s">
        <v>27</v>
      </c>
      <c r="C209" s="1">
        <v>45776</v>
      </c>
      <c r="D209" t="s">
        <v>14</v>
      </c>
      <c r="E209" s="20">
        <v>14271</v>
      </c>
      <c r="F209" s="6">
        <v>77</v>
      </c>
      <c r="G209" t="s">
        <v>18</v>
      </c>
      <c r="H209" t="s">
        <v>24</v>
      </c>
      <c r="I209" s="20">
        <f>Origen!$F209*Origen!$E209</f>
        <v>1098867</v>
      </c>
      <c r="J209" s="6">
        <f>VLOOKUP(A:A,Anexos!A:B,2,0)</f>
        <v>2025</v>
      </c>
      <c r="K209" s="6">
        <f>_xlfn.XLOOKUP(A:A,Anexos!A:A,Anexos!C:C,"No se encuentra",0)</f>
        <v>4</v>
      </c>
      <c r="L209" s="21" t="str">
        <f>VLOOKUP(A:A,Anexos!A:E,5,0)</f>
        <v>martes</v>
      </c>
      <c r="M209" s="21" t="str">
        <f>VLOOKUP(A:A,Anexos!A:F,6,0)</f>
        <v>abril</v>
      </c>
    </row>
    <row r="210" spans="1:13" x14ac:dyDescent="0.3">
      <c r="A210" s="6">
        <v>209</v>
      </c>
      <c r="B210" s="6" t="s">
        <v>28</v>
      </c>
      <c r="C210" s="1">
        <v>44988</v>
      </c>
      <c r="D210" t="s">
        <v>15</v>
      </c>
      <c r="E210" s="20">
        <v>12361</v>
      </c>
      <c r="F210" s="6">
        <v>84</v>
      </c>
      <c r="G210" t="s">
        <v>19</v>
      </c>
      <c r="H210" t="s">
        <v>21</v>
      </c>
      <c r="I210" s="20">
        <f>Origen!$F210*Origen!$E210</f>
        <v>1038324</v>
      </c>
      <c r="J210" s="6">
        <f>VLOOKUP(A:A,Anexos!A:B,2,0)</f>
        <v>2023</v>
      </c>
      <c r="K210" s="6">
        <f>_xlfn.XLOOKUP(A:A,Anexos!A:A,Anexos!C:C,"No se encuentra",0)</f>
        <v>3</v>
      </c>
      <c r="L210" s="21" t="str">
        <f>VLOOKUP(A:A,Anexos!A:E,5,0)</f>
        <v>viernes</v>
      </c>
      <c r="M210" s="21" t="str">
        <f>VLOOKUP(A:A,Anexos!A:F,6,0)</f>
        <v>marzo</v>
      </c>
    </row>
    <row r="211" spans="1:13" x14ac:dyDescent="0.3">
      <c r="A211" s="6">
        <v>210</v>
      </c>
      <c r="B211" s="6" t="s">
        <v>29</v>
      </c>
      <c r="C211" s="1">
        <v>45833</v>
      </c>
      <c r="D211" t="s">
        <v>16</v>
      </c>
      <c r="E211" s="20">
        <v>14933</v>
      </c>
      <c r="F211" s="6">
        <v>65</v>
      </c>
      <c r="G211" t="s">
        <v>20</v>
      </c>
      <c r="H211" t="s">
        <v>22</v>
      </c>
      <c r="I211" s="20">
        <f>Origen!$F211*Origen!$E211</f>
        <v>970645</v>
      </c>
      <c r="J211" s="6">
        <f>VLOOKUP(A:A,Anexos!A:B,2,0)</f>
        <v>2025</v>
      </c>
      <c r="K211" s="6">
        <f>_xlfn.XLOOKUP(A:A,Anexos!A:A,Anexos!C:C,"No se encuentra",0)</f>
        <v>6</v>
      </c>
      <c r="L211" s="21" t="str">
        <f>VLOOKUP(A:A,Anexos!A:E,5,0)</f>
        <v>miércoles</v>
      </c>
      <c r="M211" s="21" t="str">
        <f>VLOOKUP(A:A,Anexos!A:F,6,0)</f>
        <v>junio</v>
      </c>
    </row>
    <row r="212" spans="1:13" x14ac:dyDescent="0.3">
      <c r="A212" s="6">
        <v>211</v>
      </c>
      <c r="B212" s="6" t="s">
        <v>27</v>
      </c>
      <c r="C212" s="1">
        <v>44972</v>
      </c>
      <c r="D212" t="s">
        <v>6</v>
      </c>
      <c r="E212" s="20">
        <v>15482</v>
      </c>
      <c r="F212" s="6">
        <v>15</v>
      </c>
      <c r="G212" t="s">
        <v>17</v>
      </c>
      <c r="H212" t="s">
        <v>23</v>
      </c>
      <c r="I212" s="20">
        <f>Origen!$F212*Origen!$E212</f>
        <v>232230</v>
      </c>
      <c r="J212" s="6">
        <f>VLOOKUP(A:A,Anexos!A:B,2,0)</f>
        <v>2023</v>
      </c>
      <c r="K212" s="6">
        <f>_xlfn.XLOOKUP(A:A,Anexos!A:A,Anexos!C:C,"No se encuentra",0)</f>
        <v>2</v>
      </c>
      <c r="L212" s="21" t="str">
        <f>VLOOKUP(A:A,Anexos!A:E,5,0)</f>
        <v>miércoles</v>
      </c>
      <c r="M212" s="21" t="str">
        <f>VLOOKUP(A:A,Anexos!A:F,6,0)</f>
        <v>febrero</v>
      </c>
    </row>
    <row r="213" spans="1:13" x14ac:dyDescent="0.3">
      <c r="A213" s="6">
        <v>212</v>
      </c>
      <c r="B213" s="6" t="s">
        <v>28</v>
      </c>
      <c r="C213" s="1">
        <v>45666</v>
      </c>
      <c r="D213" t="s">
        <v>7</v>
      </c>
      <c r="E213" s="20">
        <v>19159</v>
      </c>
      <c r="F213" s="6">
        <v>52</v>
      </c>
      <c r="G213" t="s">
        <v>18</v>
      </c>
      <c r="H213" t="s">
        <v>24</v>
      </c>
      <c r="I213" s="20">
        <f>Origen!$F213*Origen!$E213</f>
        <v>996268</v>
      </c>
      <c r="J213" s="6">
        <f>VLOOKUP(A:A,Anexos!A:B,2,0)</f>
        <v>2025</v>
      </c>
      <c r="K213" s="6">
        <f>_xlfn.XLOOKUP(A:A,Anexos!A:A,Anexos!C:C,"No se encuentra",0)</f>
        <v>1</v>
      </c>
      <c r="L213" s="21" t="str">
        <f>VLOOKUP(A:A,Anexos!A:E,5,0)</f>
        <v>jueves</v>
      </c>
      <c r="M213" s="21" t="str">
        <f>VLOOKUP(A:A,Anexos!A:F,6,0)</f>
        <v>enero</v>
      </c>
    </row>
    <row r="214" spans="1:13" x14ac:dyDescent="0.3">
      <c r="A214" s="6">
        <v>213</v>
      </c>
      <c r="B214" s="6" t="s">
        <v>29</v>
      </c>
      <c r="C214" s="1">
        <v>45135</v>
      </c>
      <c r="D214" t="s">
        <v>8</v>
      </c>
      <c r="E214" s="20">
        <v>17523</v>
      </c>
      <c r="F214" s="6">
        <v>23</v>
      </c>
      <c r="G214" t="s">
        <v>19</v>
      </c>
      <c r="H214" t="s">
        <v>21</v>
      </c>
      <c r="I214" s="20">
        <f>Origen!$F214*Origen!$E214</f>
        <v>403029</v>
      </c>
      <c r="J214" s="6">
        <f>VLOOKUP(A:A,Anexos!A:B,2,0)</f>
        <v>2023</v>
      </c>
      <c r="K214" s="6">
        <f>_xlfn.XLOOKUP(A:A,Anexos!A:A,Anexos!C:C,"No se encuentra",0)</f>
        <v>7</v>
      </c>
      <c r="L214" s="21" t="str">
        <f>VLOOKUP(A:A,Anexos!A:E,5,0)</f>
        <v>viernes</v>
      </c>
      <c r="M214" s="21" t="str">
        <f>VLOOKUP(A:A,Anexos!A:F,6,0)</f>
        <v>julio</v>
      </c>
    </row>
    <row r="215" spans="1:13" x14ac:dyDescent="0.3">
      <c r="A215" s="6">
        <v>214</v>
      </c>
      <c r="B215" s="6" t="s">
        <v>27</v>
      </c>
      <c r="C215" s="1">
        <v>45939</v>
      </c>
      <c r="D215" t="s">
        <v>9</v>
      </c>
      <c r="E215" s="20">
        <v>19473</v>
      </c>
      <c r="F215" s="6">
        <v>27</v>
      </c>
      <c r="G215" t="s">
        <v>20</v>
      </c>
      <c r="H215" t="s">
        <v>22</v>
      </c>
      <c r="I215" s="20">
        <f>Origen!$F215*Origen!$E215</f>
        <v>525771</v>
      </c>
      <c r="J215" s="6">
        <f>VLOOKUP(A:A,Anexos!A:B,2,0)</f>
        <v>2025</v>
      </c>
      <c r="K215" s="6">
        <f>_xlfn.XLOOKUP(A:A,Anexos!A:A,Anexos!C:C,"No se encuentra",0)</f>
        <v>10</v>
      </c>
      <c r="L215" s="21" t="str">
        <f>VLOOKUP(A:A,Anexos!A:E,5,0)</f>
        <v>jueves</v>
      </c>
      <c r="M215" s="21" t="str">
        <f>VLOOKUP(A:A,Anexos!A:F,6,0)</f>
        <v>octubre</v>
      </c>
    </row>
    <row r="216" spans="1:13" x14ac:dyDescent="0.3">
      <c r="A216" s="6">
        <v>215</v>
      </c>
      <c r="B216" s="6" t="s">
        <v>28</v>
      </c>
      <c r="C216" s="1">
        <v>45718</v>
      </c>
      <c r="D216" t="s">
        <v>10</v>
      </c>
      <c r="E216" s="20">
        <v>18811</v>
      </c>
      <c r="F216" s="6">
        <v>37</v>
      </c>
      <c r="G216" t="s">
        <v>17</v>
      </c>
      <c r="H216" t="s">
        <v>23</v>
      </c>
      <c r="I216" s="20">
        <f>Origen!$F216*Origen!$E216</f>
        <v>696007</v>
      </c>
      <c r="J216" s="6">
        <f>VLOOKUP(A:A,Anexos!A:B,2,0)</f>
        <v>2025</v>
      </c>
      <c r="K216" s="6">
        <f>_xlfn.XLOOKUP(A:A,Anexos!A:A,Anexos!C:C,"No se encuentra",0)</f>
        <v>3</v>
      </c>
      <c r="L216" s="21" t="str">
        <f>VLOOKUP(A:A,Anexos!A:E,5,0)</f>
        <v>domingo</v>
      </c>
      <c r="M216" s="21" t="str">
        <f>VLOOKUP(A:A,Anexos!A:F,6,0)</f>
        <v>marzo</v>
      </c>
    </row>
    <row r="217" spans="1:13" x14ac:dyDescent="0.3">
      <c r="A217" s="6">
        <v>216</v>
      </c>
      <c r="B217" s="6" t="s">
        <v>29</v>
      </c>
      <c r="C217" s="1">
        <v>45173</v>
      </c>
      <c r="D217" t="s">
        <v>11</v>
      </c>
      <c r="E217" s="20">
        <v>19176</v>
      </c>
      <c r="F217" s="6">
        <v>56</v>
      </c>
      <c r="G217" t="s">
        <v>18</v>
      </c>
      <c r="H217" t="s">
        <v>24</v>
      </c>
      <c r="I217" s="20">
        <f>Origen!$F217*Origen!$E217</f>
        <v>1073856</v>
      </c>
      <c r="J217" s="6">
        <f>VLOOKUP(A:A,Anexos!A:B,2,0)</f>
        <v>2023</v>
      </c>
      <c r="K217" s="6">
        <f>_xlfn.XLOOKUP(A:A,Anexos!A:A,Anexos!C:C,"No se encuentra",0)</f>
        <v>9</v>
      </c>
      <c r="L217" s="21" t="str">
        <f>VLOOKUP(A:A,Anexos!A:E,5,0)</f>
        <v>lunes</v>
      </c>
      <c r="M217" s="21" t="str">
        <f>VLOOKUP(A:A,Anexos!A:F,6,0)</f>
        <v>septiembre</v>
      </c>
    </row>
    <row r="218" spans="1:13" x14ac:dyDescent="0.3">
      <c r="A218" s="6">
        <v>217</v>
      </c>
      <c r="B218" s="6" t="s">
        <v>27</v>
      </c>
      <c r="C218" s="1">
        <v>45755</v>
      </c>
      <c r="D218" t="s">
        <v>12</v>
      </c>
      <c r="E218" s="20">
        <v>18185</v>
      </c>
      <c r="F218" s="6">
        <v>22</v>
      </c>
      <c r="G218" t="s">
        <v>19</v>
      </c>
      <c r="H218" t="s">
        <v>21</v>
      </c>
      <c r="I218" s="20">
        <f>Origen!$F218*Origen!$E218</f>
        <v>400070</v>
      </c>
      <c r="J218" s="6">
        <f>VLOOKUP(A:A,Anexos!A:B,2,0)</f>
        <v>2025</v>
      </c>
      <c r="K218" s="6">
        <f>_xlfn.XLOOKUP(A:A,Anexos!A:A,Anexos!C:C,"No se encuentra",0)</f>
        <v>4</v>
      </c>
      <c r="L218" s="21" t="str">
        <f>VLOOKUP(A:A,Anexos!A:E,5,0)</f>
        <v>martes</v>
      </c>
      <c r="M218" s="21" t="str">
        <f>VLOOKUP(A:A,Anexos!A:F,6,0)</f>
        <v>abril</v>
      </c>
    </row>
    <row r="219" spans="1:13" x14ac:dyDescent="0.3">
      <c r="A219" s="6">
        <v>218</v>
      </c>
      <c r="B219" s="6" t="s">
        <v>28</v>
      </c>
      <c r="C219" s="1">
        <v>45564</v>
      </c>
      <c r="D219" t="s">
        <v>13</v>
      </c>
      <c r="E219" s="20">
        <v>15045</v>
      </c>
      <c r="F219" s="6">
        <v>41</v>
      </c>
      <c r="G219" t="s">
        <v>17</v>
      </c>
      <c r="H219" t="s">
        <v>22</v>
      </c>
      <c r="I219" s="20">
        <f>Origen!$F219*Origen!$E219</f>
        <v>616845</v>
      </c>
      <c r="J219" s="6">
        <f>VLOOKUP(A:A,Anexos!A:B,2,0)</f>
        <v>2024</v>
      </c>
      <c r="K219" s="6">
        <f>_xlfn.XLOOKUP(A:A,Anexos!A:A,Anexos!C:C,"No se encuentra",0)</f>
        <v>9</v>
      </c>
      <c r="L219" s="21" t="str">
        <f>VLOOKUP(A:A,Anexos!A:E,5,0)</f>
        <v>domingo</v>
      </c>
      <c r="M219" s="21" t="str">
        <f>VLOOKUP(A:A,Anexos!A:F,6,0)</f>
        <v>septiembre</v>
      </c>
    </row>
    <row r="220" spans="1:13" x14ac:dyDescent="0.3">
      <c r="A220" s="6">
        <v>219</v>
      </c>
      <c r="B220" s="6" t="s">
        <v>29</v>
      </c>
      <c r="C220" s="1">
        <v>45894</v>
      </c>
      <c r="D220" t="s">
        <v>6</v>
      </c>
      <c r="E220" s="20">
        <v>15482</v>
      </c>
      <c r="F220" s="6">
        <v>42</v>
      </c>
      <c r="G220" t="s">
        <v>18</v>
      </c>
      <c r="H220" t="s">
        <v>23</v>
      </c>
      <c r="I220" s="20">
        <f>Origen!$F220*Origen!$E220</f>
        <v>650244</v>
      </c>
      <c r="J220" s="6">
        <f>VLOOKUP(A:A,Anexos!A:B,2,0)</f>
        <v>2025</v>
      </c>
      <c r="K220" s="6">
        <f>_xlfn.XLOOKUP(A:A,Anexos!A:A,Anexos!C:C,"No se encuentra",0)</f>
        <v>8</v>
      </c>
      <c r="L220" s="21" t="str">
        <f>VLOOKUP(A:A,Anexos!A:E,5,0)</f>
        <v>lunes</v>
      </c>
      <c r="M220" s="21" t="str">
        <f>VLOOKUP(A:A,Anexos!A:F,6,0)</f>
        <v>agosto</v>
      </c>
    </row>
    <row r="221" spans="1:13" x14ac:dyDescent="0.3">
      <c r="A221" s="6">
        <v>220</v>
      </c>
      <c r="B221" s="6" t="s">
        <v>27</v>
      </c>
      <c r="C221" s="1">
        <v>45947</v>
      </c>
      <c r="D221" t="s">
        <v>7</v>
      </c>
      <c r="E221" s="20">
        <v>19159</v>
      </c>
      <c r="F221" s="6">
        <v>24</v>
      </c>
      <c r="G221" t="s">
        <v>19</v>
      </c>
      <c r="H221" t="s">
        <v>24</v>
      </c>
      <c r="I221" s="20">
        <f>Origen!$F221*Origen!$E221</f>
        <v>459816</v>
      </c>
      <c r="J221" s="6">
        <f>VLOOKUP(A:A,Anexos!A:B,2,0)</f>
        <v>2025</v>
      </c>
      <c r="K221" s="6">
        <f>_xlfn.XLOOKUP(A:A,Anexos!A:A,Anexos!C:C,"No se encuentra",0)</f>
        <v>10</v>
      </c>
      <c r="L221" s="21" t="str">
        <f>VLOOKUP(A:A,Anexos!A:E,5,0)</f>
        <v>viernes</v>
      </c>
      <c r="M221" s="21" t="str">
        <f>VLOOKUP(A:A,Anexos!A:F,6,0)</f>
        <v>octubre</v>
      </c>
    </row>
    <row r="222" spans="1:13" x14ac:dyDescent="0.3">
      <c r="A222" s="6">
        <v>221</v>
      </c>
      <c r="B222" s="6" t="s">
        <v>28</v>
      </c>
      <c r="C222" s="1">
        <v>45488</v>
      </c>
      <c r="D222" t="s">
        <v>6</v>
      </c>
      <c r="E222" s="20">
        <v>15482</v>
      </c>
      <c r="F222" s="6">
        <v>75</v>
      </c>
      <c r="G222" t="s">
        <v>20</v>
      </c>
      <c r="H222" t="s">
        <v>21</v>
      </c>
      <c r="I222" s="20">
        <f>Origen!$F222*Origen!$E222</f>
        <v>1161150</v>
      </c>
      <c r="J222" s="6">
        <f>VLOOKUP(A:A,Anexos!A:B,2,0)</f>
        <v>2024</v>
      </c>
      <c r="K222" s="6">
        <f>_xlfn.XLOOKUP(A:A,Anexos!A:A,Anexos!C:C,"No se encuentra",0)</f>
        <v>7</v>
      </c>
      <c r="L222" s="21" t="str">
        <f>VLOOKUP(A:A,Anexos!A:E,5,0)</f>
        <v>lunes</v>
      </c>
      <c r="M222" s="21" t="str">
        <f>VLOOKUP(A:A,Anexos!A:F,6,0)</f>
        <v>julio</v>
      </c>
    </row>
    <row r="223" spans="1:13" x14ac:dyDescent="0.3">
      <c r="A223" s="6">
        <v>222</v>
      </c>
      <c r="B223" s="6" t="s">
        <v>29</v>
      </c>
      <c r="C223" s="1">
        <v>45311</v>
      </c>
      <c r="D223" t="s">
        <v>7</v>
      </c>
      <c r="E223" s="20">
        <v>19159</v>
      </c>
      <c r="F223" s="6">
        <v>34</v>
      </c>
      <c r="G223" t="s">
        <v>17</v>
      </c>
      <c r="H223" t="s">
        <v>22</v>
      </c>
      <c r="I223" s="20">
        <f>Origen!$F223*Origen!$E223</f>
        <v>651406</v>
      </c>
      <c r="J223" s="6">
        <f>VLOOKUP(A:A,Anexos!A:B,2,0)</f>
        <v>2024</v>
      </c>
      <c r="K223" s="6">
        <f>_xlfn.XLOOKUP(A:A,Anexos!A:A,Anexos!C:C,"No se encuentra",0)</f>
        <v>1</v>
      </c>
      <c r="L223" s="21" t="str">
        <f>VLOOKUP(A:A,Anexos!A:E,5,0)</f>
        <v>sábado</v>
      </c>
      <c r="M223" s="21" t="str">
        <f>VLOOKUP(A:A,Anexos!A:F,6,0)</f>
        <v>enero</v>
      </c>
    </row>
    <row r="224" spans="1:13" x14ac:dyDescent="0.3">
      <c r="A224" s="6">
        <v>223</v>
      </c>
      <c r="B224" s="6" t="s">
        <v>27</v>
      </c>
      <c r="C224" s="1">
        <v>45141</v>
      </c>
      <c r="D224" t="s">
        <v>8</v>
      </c>
      <c r="E224" s="20">
        <v>17523</v>
      </c>
      <c r="F224" s="6">
        <v>66</v>
      </c>
      <c r="G224" t="s">
        <v>18</v>
      </c>
      <c r="H224" t="s">
        <v>23</v>
      </c>
      <c r="I224" s="20">
        <f>Origen!$F224*Origen!$E224</f>
        <v>1156518</v>
      </c>
      <c r="J224" s="6">
        <f>VLOOKUP(A:A,Anexos!A:B,2,0)</f>
        <v>2023</v>
      </c>
      <c r="K224" s="6">
        <f>_xlfn.XLOOKUP(A:A,Anexos!A:A,Anexos!C:C,"No se encuentra",0)</f>
        <v>8</v>
      </c>
      <c r="L224" s="21" t="str">
        <f>VLOOKUP(A:A,Anexos!A:E,5,0)</f>
        <v>jueves</v>
      </c>
      <c r="M224" s="21" t="str">
        <f>VLOOKUP(A:A,Anexos!A:F,6,0)</f>
        <v>agosto</v>
      </c>
    </row>
    <row r="225" spans="1:13" x14ac:dyDescent="0.3">
      <c r="A225" s="6">
        <v>224</v>
      </c>
      <c r="B225" s="6" t="s">
        <v>28</v>
      </c>
      <c r="C225" s="1">
        <v>45302</v>
      </c>
      <c r="D225" t="s">
        <v>9</v>
      </c>
      <c r="E225" s="20">
        <v>19473</v>
      </c>
      <c r="F225" s="6">
        <v>15</v>
      </c>
      <c r="G225" t="s">
        <v>19</v>
      </c>
      <c r="H225" t="s">
        <v>24</v>
      </c>
      <c r="I225" s="20">
        <f>Origen!$F225*Origen!$E225</f>
        <v>292095</v>
      </c>
      <c r="J225" s="6">
        <f>VLOOKUP(A:A,Anexos!A:B,2,0)</f>
        <v>2024</v>
      </c>
      <c r="K225" s="6">
        <f>_xlfn.XLOOKUP(A:A,Anexos!A:A,Anexos!C:C,"No se encuentra",0)</f>
        <v>1</v>
      </c>
      <c r="L225" s="21" t="str">
        <f>VLOOKUP(A:A,Anexos!A:E,5,0)</f>
        <v>jueves</v>
      </c>
      <c r="M225" s="21" t="str">
        <f>VLOOKUP(A:A,Anexos!A:F,6,0)</f>
        <v>enero</v>
      </c>
    </row>
    <row r="226" spans="1:13" x14ac:dyDescent="0.3">
      <c r="A226" s="6">
        <v>225</v>
      </c>
      <c r="B226" s="6" t="s">
        <v>29</v>
      </c>
      <c r="C226" s="1">
        <v>45939</v>
      </c>
      <c r="D226" t="s">
        <v>10</v>
      </c>
      <c r="E226" s="20">
        <v>18811</v>
      </c>
      <c r="F226" s="6">
        <v>45</v>
      </c>
      <c r="G226" t="s">
        <v>20</v>
      </c>
      <c r="H226" t="s">
        <v>21</v>
      </c>
      <c r="I226" s="20">
        <f>Origen!$F226*Origen!$E226</f>
        <v>846495</v>
      </c>
      <c r="J226" s="6">
        <f>VLOOKUP(A:A,Anexos!A:B,2,0)</f>
        <v>2025</v>
      </c>
      <c r="K226" s="6">
        <f>_xlfn.XLOOKUP(A:A,Anexos!A:A,Anexos!C:C,"No se encuentra",0)</f>
        <v>10</v>
      </c>
      <c r="L226" s="21" t="str">
        <f>VLOOKUP(A:A,Anexos!A:E,5,0)</f>
        <v>jueves</v>
      </c>
      <c r="M226" s="21" t="str">
        <f>VLOOKUP(A:A,Anexos!A:F,6,0)</f>
        <v>octubre</v>
      </c>
    </row>
    <row r="227" spans="1:13" x14ac:dyDescent="0.3">
      <c r="A227" s="6">
        <v>226</v>
      </c>
      <c r="B227" s="6" t="s">
        <v>27</v>
      </c>
      <c r="C227" s="1">
        <v>45740</v>
      </c>
      <c r="D227" t="s">
        <v>11</v>
      </c>
      <c r="E227" s="20">
        <v>19176</v>
      </c>
      <c r="F227" s="6">
        <v>67</v>
      </c>
      <c r="G227" t="s">
        <v>17</v>
      </c>
      <c r="H227" t="s">
        <v>22</v>
      </c>
      <c r="I227" s="20">
        <f>Origen!$F227*Origen!$E227</f>
        <v>1284792</v>
      </c>
      <c r="J227" s="6">
        <f>VLOOKUP(A:A,Anexos!A:B,2,0)</f>
        <v>2025</v>
      </c>
      <c r="K227" s="6">
        <f>_xlfn.XLOOKUP(A:A,Anexos!A:A,Anexos!C:C,"No se encuentra",0)</f>
        <v>3</v>
      </c>
      <c r="L227" s="21" t="str">
        <f>VLOOKUP(A:A,Anexos!A:E,5,0)</f>
        <v>lunes</v>
      </c>
      <c r="M227" s="21" t="str">
        <f>VLOOKUP(A:A,Anexos!A:F,6,0)</f>
        <v>marzo</v>
      </c>
    </row>
    <row r="228" spans="1:13" x14ac:dyDescent="0.3">
      <c r="A228" s="6">
        <v>227</v>
      </c>
      <c r="B228" s="6" t="s">
        <v>28</v>
      </c>
      <c r="C228" s="1">
        <v>45794</v>
      </c>
      <c r="D228" t="s">
        <v>12</v>
      </c>
      <c r="E228" s="20">
        <v>18185</v>
      </c>
      <c r="F228" s="6">
        <v>68</v>
      </c>
      <c r="G228" t="s">
        <v>18</v>
      </c>
      <c r="H228" t="s">
        <v>23</v>
      </c>
      <c r="I228" s="20">
        <f>Origen!$F228*Origen!$E228</f>
        <v>1236580</v>
      </c>
      <c r="J228" s="6">
        <f>VLOOKUP(A:A,Anexos!A:B,2,0)</f>
        <v>2025</v>
      </c>
      <c r="K228" s="6">
        <f>_xlfn.XLOOKUP(A:A,Anexos!A:A,Anexos!C:C,"No se encuentra",0)</f>
        <v>5</v>
      </c>
      <c r="L228" s="21" t="str">
        <f>VLOOKUP(A:A,Anexos!A:E,5,0)</f>
        <v>sábado</v>
      </c>
      <c r="M228" s="21" t="str">
        <f>VLOOKUP(A:A,Anexos!A:F,6,0)</f>
        <v>mayo</v>
      </c>
    </row>
    <row r="229" spans="1:13" x14ac:dyDescent="0.3">
      <c r="A229" s="6">
        <v>228</v>
      </c>
      <c r="B229" s="6" t="s">
        <v>29</v>
      </c>
      <c r="C229" s="1">
        <v>45028</v>
      </c>
      <c r="D229" t="s">
        <v>13</v>
      </c>
      <c r="E229" s="20">
        <v>15045</v>
      </c>
      <c r="F229" s="6">
        <v>28</v>
      </c>
      <c r="G229" t="s">
        <v>19</v>
      </c>
      <c r="H229" t="s">
        <v>24</v>
      </c>
      <c r="I229" s="20">
        <f>Origen!$F229*Origen!$E229</f>
        <v>421260</v>
      </c>
      <c r="J229" s="6">
        <f>VLOOKUP(A:A,Anexos!A:B,2,0)</f>
        <v>2023</v>
      </c>
      <c r="K229" s="6">
        <f>_xlfn.XLOOKUP(A:A,Anexos!A:A,Anexos!C:C,"No se encuentra",0)</f>
        <v>4</v>
      </c>
      <c r="L229" s="21" t="str">
        <f>VLOOKUP(A:A,Anexos!A:E,5,0)</f>
        <v>miércoles</v>
      </c>
      <c r="M229" s="21" t="str">
        <f>VLOOKUP(A:A,Anexos!A:F,6,0)</f>
        <v>abril</v>
      </c>
    </row>
    <row r="230" spans="1:13" x14ac:dyDescent="0.3">
      <c r="A230" s="6">
        <v>229</v>
      </c>
      <c r="B230" s="6" t="s">
        <v>27</v>
      </c>
      <c r="C230" s="1">
        <v>45969</v>
      </c>
      <c r="D230" t="s">
        <v>14</v>
      </c>
      <c r="E230" s="20">
        <v>14271</v>
      </c>
      <c r="F230" s="6">
        <v>39</v>
      </c>
      <c r="G230" t="s">
        <v>20</v>
      </c>
      <c r="H230" t="s">
        <v>21</v>
      </c>
      <c r="I230" s="20">
        <f>Origen!$F230*Origen!$E230</f>
        <v>556569</v>
      </c>
      <c r="J230" s="6">
        <f>VLOOKUP(A:A,Anexos!A:B,2,0)</f>
        <v>2025</v>
      </c>
      <c r="K230" s="6">
        <f>_xlfn.XLOOKUP(A:A,Anexos!A:A,Anexos!C:C,"No se encuentra",0)</f>
        <v>11</v>
      </c>
      <c r="L230" s="21" t="str">
        <f>VLOOKUP(A:A,Anexos!A:E,5,0)</f>
        <v>sábado</v>
      </c>
      <c r="M230" s="21" t="str">
        <f>VLOOKUP(A:A,Anexos!A:F,6,0)</f>
        <v>noviembre</v>
      </c>
    </row>
    <row r="231" spans="1:13" x14ac:dyDescent="0.3">
      <c r="A231" s="6">
        <v>230</v>
      </c>
      <c r="B231" s="6" t="s">
        <v>28</v>
      </c>
      <c r="C231" s="1">
        <v>45954</v>
      </c>
      <c r="D231" t="s">
        <v>15</v>
      </c>
      <c r="E231" s="20">
        <v>12361</v>
      </c>
      <c r="F231" s="6">
        <v>18</v>
      </c>
      <c r="G231" t="s">
        <v>17</v>
      </c>
      <c r="H231" t="s">
        <v>22</v>
      </c>
      <c r="I231" s="20">
        <f>Origen!$F231*Origen!$E231</f>
        <v>222498</v>
      </c>
      <c r="J231" s="6">
        <f>VLOOKUP(A:A,Anexos!A:B,2,0)</f>
        <v>2025</v>
      </c>
      <c r="K231" s="6">
        <f>_xlfn.XLOOKUP(A:A,Anexos!A:A,Anexos!C:C,"No se encuentra",0)</f>
        <v>10</v>
      </c>
      <c r="L231" s="21" t="str">
        <f>VLOOKUP(A:A,Anexos!A:E,5,0)</f>
        <v>viernes</v>
      </c>
      <c r="M231" s="21" t="str">
        <f>VLOOKUP(A:A,Anexos!A:F,6,0)</f>
        <v>octubre</v>
      </c>
    </row>
    <row r="232" spans="1:13" x14ac:dyDescent="0.3">
      <c r="A232" s="6">
        <v>231</v>
      </c>
      <c r="B232" s="6" t="s">
        <v>29</v>
      </c>
      <c r="C232" s="1">
        <v>45342</v>
      </c>
      <c r="D232" t="s">
        <v>16</v>
      </c>
      <c r="E232" s="20">
        <v>14933</v>
      </c>
      <c r="F232" s="6">
        <v>69</v>
      </c>
      <c r="G232" t="s">
        <v>18</v>
      </c>
      <c r="H232" t="s">
        <v>23</v>
      </c>
      <c r="I232" s="20">
        <f>Origen!$F232*Origen!$E232</f>
        <v>1030377</v>
      </c>
      <c r="J232" s="6">
        <f>VLOOKUP(A:A,Anexos!A:B,2,0)</f>
        <v>2024</v>
      </c>
      <c r="K232" s="6">
        <f>_xlfn.XLOOKUP(A:A,Anexos!A:A,Anexos!C:C,"No se encuentra",0)</f>
        <v>2</v>
      </c>
      <c r="L232" s="21" t="str">
        <f>VLOOKUP(A:A,Anexos!A:E,5,0)</f>
        <v>martes</v>
      </c>
      <c r="M232" s="21" t="str">
        <f>VLOOKUP(A:A,Anexos!A:F,6,0)</f>
        <v>febrero</v>
      </c>
    </row>
    <row r="233" spans="1:13" x14ac:dyDescent="0.3">
      <c r="A233" s="6">
        <v>232</v>
      </c>
      <c r="B233" s="6" t="s">
        <v>27</v>
      </c>
      <c r="C233" s="1">
        <v>45346</v>
      </c>
      <c r="D233" t="s">
        <v>6</v>
      </c>
      <c r="E233" s="20">
        <v>15482</v>
      </c>
      <c r="F233" s="6">
        <v>35</v>
      </c>
      <c r="G233" t="s">
        <v>19</v>
      </c>
      <c r="H233" t="s">
        <v>24</v>
      </c>
      <c r="I233" s="20">
        <f>Origen!$F233*Origen!$E233</f>
        <v>541870</v>
      </c>
      <c r="J233" s="6">
        <f>VLOOKUP(A:A,Anexos!A:B,2,0)</f>
        <v>2024</v>
      </c>
      <c r="K233" s="6">
        <f>_xlfn.XLOOKUP(A:A,Anexos!A:A,Anexos!C:C,"No se encuentra",0)</f>
        <v>2</v>
      </c>
      <c r="L233" s="21" t="str">
        <f>VLOOKUP(A:A,Anexos!A:E,5,0)</f>
        <v>sábado</v>
      </c>
      <c r="M233" s="21" t="str">
        <f>VLOOKUP(A:A,Anexos!A:F,6,0)</f>
        <v>febrero</v>
      </c>
    </row>
    <row r="234" spans="1:13" x14ac:dyDescent="0.3">
      <c r="A234" s="6">
        <v>233</v>
      </c>
      <c r="B234" s="6" t="s">
        <v>28</v>
      </c>
      <c r="C234" s="1">
        <v>45579</v>
      </c>
      <c r="D234" t="s">
        <v>7</v>
      </c>
      <c r="E234" s="20">
        <v>19159</v>
      </c>
      <c r="F234" s="6">
        <v>90</v>
      </c>
      <c r="G234" t="s">
        <v>17</v>
      </c>
      <c r="H234" t="s">
        <v>21</v>
      </c>
      <c r="I234" s="20">
        <f>Origen!$F234*Origen!$E234</f>
        <v>1724310</v>
      </c>
      <c r="J234" s="6">
        <f>VLOOKUP(A:A,Anexos!A:B,2,0)</f>
        <v>2024</v>
      </c>
      <c r="K234" s="6">
        <f>_xlfn.XLOOKUP(A:A,Anexos!A:A,Anexos!C:C,"No se encuentra",0)</f>
        <v>10</v>
      </c>
      <c r="L234" s="21" t="str">
        <f>VLOOKUP(A:A,Anexos!A:E,5,0)</f>
        <v>lunes</v>
      </c>
      <c r="M234" s="21" t="str">
        <f>VLOOKUP(A:A,Anexos!A:F,6,0)</f>
        <v>octubre</v>
      </c>
    </row>
    <row r="235" spans="1:13" x14ac:dyDescent="0.3">
      <c r="A235" s="6">
        <v>234</v>
      </c>
      <c r="B235" s="6" t="s">
        <v>29</v>
      </c>
      <c r="C235" s="1">
        <v>45664</v>
      </c>
      <c r="D235" t="s">
        <v>8</v>
      </c>
      <c r="E235" s="20">
        <v>17523</v>
      </c>
      <c r="F235" s="6">
        <v>71</v>
      </c>
      <c r="G235" t="s">
        <v>18</v>
      </c>
      <c r="H235" t="s">
        <v>22</v>
      </c>
      <c r="I235" s="20">
        <f>Origen!$F235*Origen!$E235</f>
        <v>1244133</v>
      </c>
      <c r="J235" s="6">
        <f>VLOOKUP(A:A,Anexos!A:B,2,0)</f>
        <v>2025</v>
      </c>
      <c r="K235" s="6">
        <f>_xlfn.XLOOKUP(A:A,Anexos!A:A,Anexos!C:C,"No se encuentra",0)</f>
        <v>1</v>
      </c>
      <c r="L235" s="21" t="str">
        <f>VLOOKUP(A:A,Anexos!A:E,5,0)</f>
        <v>martes</v>
      </c>
      <c r="M235" s="21" t="str">
        <f>VLOOKUP(A:A,Anexos!A:F,6,0)</f>
        <v>enero</v>
      </c>
    </row>
    <row r="236" spans="1:13" x14ac:dyDescent="0.3">
      <c r="A236" s="6">
        <v>235</v>
      </c>
      <c r="B236" s="6" t="s">
        <v>27</v>
      </c>
      <c r="C236" s="1">
        <v>45907</v>
      </c>
      <c r="D236" t="s">
        <v>9</v>
      </c>
      <c r="E236" s="20">
        <v>19473</v>
      </c>
      <c r="F236" s="6">
        <v>32</v>
      </c>
      <c r="G236" t="s">
        <v>19</v>
      </c>
      <c r="H236" t="s">
        <v>23</v>
      </c>
      <c r="I236" s="20">
        <f>Origen!$F236*Origen!$E236</f>
        <v>623136</v>
      </c>
      <c r="J236" s="6">
        <f>VLOOKUP(A:A,Anexos!A:B,2,0)</f>
        <v>2025</v>
      </c>
      <c r="K236" s="6">
        <f>_xlfn.XLOOKUP(A:A,Anexos!A:A,Anexos!C:C,"No se encuentra",0)</f>
        <v>9</v>
      </c>
      <c r="L236" s="21" t="str">
        <f>VLOOKUP(A:A,Anexos!A:E,5,0)</f>
        <v>domingo</v>
      </c>
      <c r="M236" s="21" t="str">
        <f>VLOOKUP(A:A,Anexos!A:F,6,0)</f>
        <v>septiembre</v>
      </c>
    </row>
    <row r="237" spans="1:13" x14ac:dyDescent="0.3">
      <c r="A237" s="6">
        <v>236</v>
      </c>
      <c r="B237" s="6" t="s">
        <v>28</v>
      </c>
      <c r="C237" s="1">
        <v>45502</v>
      </c>
      <c r="D237" t="s">
        <v>10</v>
      </c>
      <c r="E237" s="20">
        <v>18811</v>
      </c>
      <c r="F237" s="6">
        <v>99</v>
      </c>
      <c r="G237" t="s">
        <v>20</v>
      </c>
      <c r="H237" t="s">
        <v>24</v>
      </c>
      <c r="I237" s="20">
        <f>Origen!$F237*Origen!$E237</f>
        <v>1862289</v>
      </c>
      <c r="J237" s="6">
        <f>VLOOKUP(A:A,Anexos!A:B,2,0)</f>
        <v>2024</v>
      </c>
      <c r="K237" s="6">
        <f>_xlfn.XLOOKUP(A:A,Anexos!A:A,Anexos!C:C,"No se encuentra",0)</f>
        <v>7</v>
      </c>
      <c r="L237" s="21" t="str">
        <f>VLOOKUP(A:A,Anexos!A:E,5,0)</f>
        <v>lunes</v>
      </c>
      <c r="M237" s="21" t="str">
        <f>VLOOKUP(A:A,Anexos!A:F,6,0)</f>
        <v>julio</v>
      </c>
    </row>
    <row r="238" spans="1:13" x14ac:dyDescent="0.3">
      <c r="A238" s="6">
        <v>237</v>
      </c>
      <c r="B238" s="6" t="s">
        <v>29</v>
      </c>
      <c r="C238" s="1">
        <v>45023</v>
      </c>
      <c r="D238" t="s">
        <v>11</v>
      </c>
      <c r="E238" s="20">
        <v>19176</v>
      </c>
      <c r="F238" s="6">
        <v>64</v>
      </c>
      <c r="G238" t="s">
        <v>17</v>
      </c>
      <c r="H238" t="s">
        <v>21</v>
      </c>
      <c r="I238" s="20">
        <f>Origen!$F238*Origen!$E238</f>
        <v>1227264</v>
      </c>
      <c r="J238" s="6">
        <f>VLOOKUP(A:A,Anexos!A:B,2,0)</f>
        <v>2023</v>
      </c>
      <c r="K238" s="6">
        <f>_xlfn.XLOOKUP(A:A,Anexos!A:A,Anexos!C:C,"No se encuentra",0)</f>
        <v>4</v>
      </c>
      <c r="L238" s="21" t="str">
        <f>VLOOKUP(A:A,Anexos!A:E,5,0)</f>
        <v>viernes</v>
      </c>
      <c r="M238" s="21" t="str">
        <f>VLOOKUP(A:A,Anexos!A:F,6,0)</f>
        <v>abril</v>
      </c>
    </row>
    <row r="239" spans="1:13" x14ac:dyDescent="0.3">
      <c r="A239" s="6">
        <v>238</v>
      </c>
      <c r="B239" s="6" t="s">
        <v>27</v>
      </c>
      <c r="C239" s="1">
        <v>45211</v>
      </c>
      <c r="D239" t="s">
        <v>12</v>
      </c>
      <c r="E239" s="20">
        <v>18185</v>
      </c>
      <c r="F239" s="6">
        <v>57</v>
      </c>
      <c r="G239" t="s">
        <v>18</v>
      </c>
      <c r="H239" t="s">
        <v>22</v>
      </c>
      <c r="I239" s="20">
        <f>Origen!$F239*Origen!$E239</f>
        <v>1036545</v>
      </c>
      <c r="J239" s="6">
        <f>VLOOKUP(A:A,Anexos!A:B,2,0)</f>
        <v>2023</v>
      </c>
      <c r="K239" s="6">
        <f>_xlfn.XLOOKUP(A:A,Anexos!A:A,Anexos!C:C,"No se encuentra",0)</f>
        <v>10</v>
      </c>
      <c r="L239" s="21" t="str">
        <f>VLOOKUP(A:A,Anexos!A:E,5,0)</f>
        <v>jueves</v>
      </c>
      <c r="M239" s="21" t="str">
        <f>VLOOKUP(A:A,Anexos!A:F,6,0)</f>
        <v>octubre</v>
      </c>
    </row>
    <row r="240" spans="1:13" x14ac:dyDescent="0.3">
      <c r="A240" s="6">
        <v>239</v>
      </c>
      <c r="B240" s="6" t="s">
        <v>28</v>
      </c>
      <c r="C240" s="1">
        <v>45425</v>
      </c>
      <c r="D240" t="s">
        <v>13</v>
      </c>
      <c r="E240" s="20">
        <v>15045</v>
      </c>
      <c r="F240" s="6">
        <v>55</v>
      </c>
      <c r="G240" t="s">
        <v>19</v>
      </c>
      <c r="H240" t="s">
        <v>23</v>
      </c>
      <c r="I240" s="20">
        <f>Origen!$F240*Origen!$E240</f>
        <v>827475</v>
      </c>
      <c r="J240" s="6">
        <f>VLOOKUP(A:A,Anexos!A:B,2,0)</f>
        <v>2024</v>
      </c>
      <c r="K240" s="6">
        <f>_xlfn.XLOOKUP(A:A,Anexos!A:A,Anexos!C:C,"No se encuentra",0)</f>
        <v>5</v>
      </c>
      <c r="L240" s="21" t="str">
        <f>VLOOKUP(A:A,Anexos!A:E,5,0)</f>
        <v>lunes</v>
      </c>
      <c r="M240" s="21" t="str">
        <f>VLOOKUP(A:A,Anexos!A:F,6,0)</f>
        <v>mayo</v>
      </c>
    </row>
    <row r="241" spans="1:13" x14ac:dyDescent="0.3">
      <c r="A241" s="6">
        <v>240</v>
      </c>
      <c r="B241" s="6" t="s">
        <v>29</v>
      </c>
      <c r="C241" s="1">
        <v>46010</v>
      </c>
      <c r="D241" t="s">
        <v>14</v>
      </c>
      <c r="E241" s="20">
        <v>14271</v>
      </c>
      <c r="F241" s="6">
        <v>47</v>
      </c>
      <c r="G241" t="s">
        <v>20</v>
      </c>
      <c r="H241" t="s">
        <v>24</v>
      </c>
      <c r="I241" s="20">
        <f>Origen!$F241*Origen!$E241</f>
        <v>670737</v>
      </c>
      <c r="J241" s="6">
        <f>VLOOKUP(A:A,Anexos!A:B,2,0)</f>
        <v>2025</v>
      </c>
      <c r="K241" s="6">
        <f>_xlfn.XLOOKUP(A:A,Anexos!A:A,Anexos!C:C,"No se encuentra",0)</f>
        <v>12</v>
      </c>
      <c r="L241" s="21" t="str">
        <f>VLOOKUP(A:A,Anexos!A:E,5,0)</f>
        <v>viernes</v>
      </c>
      <c r="M241" s="21" t="str">
        <f>VLOOKUP(A:A,Anexos!A:F,6,0)</f>
        <v>diciembre</v>
      </c>
    </row>
    <row r="242" spans="1:13" x14ac:dyDescent="0.3">
      <c r="A242" s="6">
        <v>241</v>
      </c>
      <c r="B242" s="6" t="s">
        <v>27</v>
      </c>
      <c r="C242" s="1">
        <v>45586</v>
      </c>
      <c r="D242" t="s">
        <v>15</v>
      </c>
      <c r="E242" s="20">
        <v>12361</v>
      </c>
      <c r="F242" s="6">
        <v>88</v>
      </c>
      <c r="G242" t="s">
        <v>17</v>
      </c>
      <c r="H242" t="s">
        <v>21</v>
      </c>
      <c r="I242" s="20">
        <f>Origen!$F242*Origen!$E242</f>
        <v>1087768</v>
      </c>
      <c r="J242" s="6">
        <f>VLOOKUP(A:A,Anexos!A:B,2,0)</f>
        <v>2024</v>
      </c>
      <c r="K242" s="6">
        <f>_xlfn.XLOOKUP(A:A,Anexos!A:A,Anexos!C:C,"No se encuentra",0)</f>
        <v>10</v>
      </c>
      <c r="L242" s="21" t="str">
        <f>VLOOKUP(A:A,Anexos!A:E,5,0)</f>
        <v>lunes</v>
      </c>
      <c r="M242" s="21" t="str">
        <f>VLOOKUP(A:A,Anexos!A:F,6,0)</f>
        <v>octubre</v>
      </c>
    </row>
    <row r="243" spans="1:13" x14ac:dyDescent="0.3">
      <c r="A243" s="6">
        <v>242</v>
      </c>
      <c r="B243" s="6" t="s">
        <v>28</v>
      </c>
      <c r="C243" s="1">
        <v>45796</v>
      </c>
      <c r="D243" t="s">
        <v>16</v>
      </c>
      <c r="E243" s="20">
        <v>14933</v>
      </c>
      <c r="F243" s="6">
        <v>53</v>
      </c>
      <c r="G243" t="s">
        <v>18</v>
      </c>
      <c r="H243" t="s">
        <v>22</v>
      </c>
      <c r="I243" s="20">
        <f>Origen!$F243*Origen!$E243</f>
        <v>791449</v>
      </c>
      <c r="J243" s="6">
        <f>VLOOKUP(A:A,Anexos!A:B,2,0)</f>
        <v>2025</v>
      </c>
      <c r="K243" s="6">
        <f>_xlfn.XLOOKUP(A:A,Anexos!A:A,Anexos!C:C,"No se encuentra",0)</f>
        <v>5</v>
      </c>
      <c r="L243" s="21" t="str">
        <f>VLOOKUP(A:A,Anexos!A:E,5,0)</f>
        <v>lunes</v>
      </c>
      <c r="M243" s="21" t="str">
        <f>VLOOKUP(A:A,Anexos!A:F,6,0)</f>
        <v>mayo</v>
      </c>
    </row>
    <row r="244" spans="1:13" x14ac:dyDescent="0.3">
      <c r="A244" s="6">
        <v>243</v>
      </c>
      <c r="B244" s="6" t="s">
        <v>29</v>
      </c>
      <c r="C244" s="1">
        <v>45812</v>
      </c>
      <c r="D244" t="s">
        <v>11</v>
      </c>
      <c r="E244" s="20">
        <v>19176</v>
      </c>
      <c r="F244" s="6">
        <v>87</v>
      </c>
      <c r="G244" t="s">
        <v>19</v>
      </c>
      <c r="H244" t="s">
        <v>23</v>
      </c>
      <c r="I244" s="20">
        <f>Origen!$F244*Origen!$E244</f>
        <v>1668312</v>
      </c>
      <c r="J244" s="6">
        <f>VLOOKUP(A:A,Anexos!A:B,2,0)</f>
        <v>2025</v>
      </c>
      <c r="K244" s="6">
        <f>_xlfn.XLOOKUP(A:A,Anexos!A:A,Anexos!C:C,"No se encuentra",0)</f>
        <v>6</v>
      </c>
      <c r="L244" s="21" t="str">
        <f>VLOOKUP(A:A,Anexos!A:E,5,0)</f>
        <v>miércoles</v>
      </c>
      <c r="M244" s="21" t="str">
        <f>VLOOKUP(A:A,Anexos!A:F,6,0)</f>
        <v>junio</v>
      </c>
    </row>
    <row r="245" spans="1:13" x14ac:dyDescent="0.3">
      <c r="A245" s="6">
        <v>244</v>
      </c>
      <c r="B245" s="6" t="s">
        <v>27</v>
      </c>
      <c r="C245" s="1">
        <v>45789</v>
      </c>
      <c r="D245" t="s">
        <v>12</v>
      </c>
      <c r="E245" s="20">
        <v>18185</v>
      </c>
      <c r="F245" s="6">
        <v>80</v>
      </c>
      <c r="G245" t="s">
        <v>20</v>
      </c>
      <c r="H245" t="s">
        <v>24</v>
      </c>
      <c r="I245" s="20">
        <f>Origen!$F245*Origen!$E245</f>
        <v>1454800</v>
      </c>
      <c r="J245" s="6">
        <f>VLOOKUP(A:A,Anexos!A:B,2,0)</f>
        <v>2025</v>
      </c>
      <c r="K245" s="6">
        <f>_xlfn.XLOOKUP(A:A,Anexos!A:A,Anexos!C:C,"No se encuentra",0)</f>
        <v>5</v>
      </c>
      <c r="L245" s="21" t="str">
        <f>VLOOKUP(A:A,Anexos!A:E,5,0)</f>
        <v>lunes</v>
      </c>
      <c r="M245" s="21" t="str">
        <f>VLOOKUP(A:A,Anexos!A:F,6,0)</f>
        <v>mayo</v>
      </c>
    </row>
    <row r="246" spans="1:13" x14ac:dyDescent="0.3">
      <c r="A246" s="6">
        <v>245</v>
      </c>
      <c r="B246" s="6" t="s">
        <v>28</v>
      </c>
      <c r="C246" s="1">
        <v>45258</v>
      </c>
      <c r="D246" t="s">
        <v>13</v>
      </c>
      <c r="E246" s="20">
        <v>15045</v>
      </c>
      <c r="F246" s="6">
        <v>23</v>
      </c>
      <c r="G246" t="s">
        <v>17</v>
      </c>
      <c r="H246" t="s">
        <v>21</v>
      </c>
      <c r="I246" s="20">
        <f>Origen!$F246*Origen!$E246</f>
        <v>346035</v>
      </c>
      <c r="J246" s="6">
        <f>VLOOKUP(A:A,Anexos!A:B,2,0)</f>
        <v>2023</v>
      </c>
      <c r="K246" s="6">
        <f>_xlfn.XLOOKUP(A:A,Anexos!A:A,Anexos!C:C,"No se encuentra",0)</f>
        <v>11</v>
      </c>
      <c r="L246" s="21" t="str">
        <f>VLOOKUP(A:A,Anexos!A:E,5,0)</f>
        <v>martes</v>
      </c>
      <c r="M246" s="21" t="str">
        <f>VLOOKUP(A:A,Anexos!A:F,6,0)</f>
        <v>noviembre</v>
      </c>
    </row>
    <row r="247" spans="1:13" x14ac:dyDescent="0.3">
      <c r="A247" s="6">
        <v>246</v>
      </c>
      <c r="B247" s="6" t="s">
        <v>29</v>
      </c>
      <c r="C247" s="1">
        <v>45611</v>
      </c>
      <c r="D247" t="s">
        <v>14</v>
      </c>
      <c r="E247" s="20">
        <v>14271</v>
      </c>
      <c r="F247" s="6">
        <v>45</v>
      </c>
      <c r="G247" t="s">
        <v>18</v>
      </c>
      <c r="H247" t="s">
        <v>22</v>
      </c>
      <c r="I247" s="20">
        <f>Origen!$F247*Origen!$E247</f>
        <v>642195</v>
      </c>
      <c r="J247" s="6">
        <f>VLOOKUP(A:A,Anexos!A:B,2,0)</f>
        <v>2024</v>
      </c>
      <c r="K247" s="6">
        <f>_xlfn.XLOOKUP(A:A,Anexos!A:A,Anexos!C:C,"No se encuentra",0)</f>
        <v>11</v>
      </c>
      <c r="L247" s="21" t="str">
        <f>VLOOKUP(A:A,Anexos!A:E,5,0)</f>
        <v>viernes</v>
      </c>
      <c r="M247" s="21" t="str">
        <f>VLOOKUP(A:A,Anexos!A:F,6,0)</f>
        <v>noviembre</v>
      </c>
    </row>
    <row r="248" spans="1:13" x14ac:dyDescent="0.3">
      <c r="A248" s="6">
        <v>247</v>
      </c>
      <c r="B248" s="6" t="s">
        <v>27</v>
      </c>
      <c r="C248" s="1">
        <v>45634</v>
      </c>
      <c r="D248" t="s">
        <v>15</v>
      </c>
      <c r="E248" s="20">
        <v>12361</v>
      </c>
      <c r="F248" s="6">
        <v>23</v>
      </c>
      <c r="G248" t="s">
        <v>19</v>
      </c>
      <c r="H248" t="s">
        <v>23</v>
      </c>
      <c r="I248" s="20">
        <f>Origen!$F248*Origen!$E248</f>
        <v>284303</v>
      </c>
      <c r="J248" s="6">
        <f>VLOOKUP(A:A,Anexos!A:B,2,0)</f>
        <v>2024</v>
      </c>
      <c r="K248" s="6">
        <f>_xlfn.XLOOKUP(A:A,Anexos!A:A,Anexos!C:C,"No se encuentra",0)</f>
        <v>12</v>
      </c>
      <c r="L248" s="21" t="str">
        <f>VLOOKUP(A:A,Anexos!A:E,5,0)</f>
        <v>domingo</v>
      </c>
      <c r="M248" s="21" t="str">
        <f>VLOOKUP(A:A,Anexos!A:F,6,0)</f>
        <v>diciembre</v>
      </c>
    </row>
    <row r="249" spans="1:13" x14ac:dyDescent="0.3">
      <c r="A249" s="6">
        <v>248</v>
      </c>
      <c r="B249" s="6" t="s">
        <v>28</v>
      </c>
      <c r="C249" s="1">
        <v>45928</v>
      </c>
      <c r="D249" t="s">
        <v>16</v>
      </c>
      <c r="E249" s="20">
        <v>14933</v>
      </c>
      <c r="F249" s="6">
        <v>91</v>
      </c>
      <c r="G249" t="s">
        <v>17</v>
      </c>
      <c r="H249" t="s">
        <v>24</v>
      </c>
      <c r="I249" s="20">
        <f>Origen!$F249*Origen!$E249</f>
        <v>1358903</v>
      </c>
      <c r="J249" s="6">
        <f>VLOOKUP(A:A,Anexos!A:B,2,0)</f>
        <v>2025</v>
      </c>
      <c r="K249" s="6">
        <f>_xlfn.XLOOKUP(A:A,Anexos!A:A,Anexos!C:C,"No se encuentra",0)</f>
        <v>9</v>
      </c>
      <c r="L249" s="21" t="str">
        <f>VLOOKUP(A:A,Anexos!A:E,5,0)</f>
        <v>domingo</v>
      </c>
      <c r="M249" s="21" t="str">
        <f>VLOOKUP(A:A,Anexos!A:F,6,0)</f>
        <v>septiembre</v>
      </c>
    </row>
    <row r="250" spans="1:13" x14ac:dyDescent="0.3">
      <c r="A250" s="6">
        <v>249</v>
      </c>
      <c r="B250" s="6" t="s">
        <v>29</v>
      </c>
      <c r="C250" s="1">
        <v>45323</v>
      </c>
      <c r="D250" t="s">
        <v>6</v>
      </c>
      <c r="E250" s="20">
        <v>15482</v>
      </c>
      <c r="F250" s="6">
        <v>48</v>
      </c>
      <c r="G250" t="s">
        <v>18</v>
      </c>
      <c r="H250" t="s">
        <v>21</v>
      </c>
      <c r="I250" s="20">
        <f>Origen!$F250*Origen!$E250</f>
        <v>743136</v>
      </c>
      <c r="J250" s="6">
        <f>VLOOKUP(A:A,Anexos!A:B,2,0)</f>
        <v>2024</v>
      </c>
      <c r="K250" s="6">
        <f>_xlfn.XLOOKUP(A:A,Anexos!A:A,Anexos!C:C,"No se encuentra",0)</f>
        <v>2</v>
      </c>
      <c r="L250" s="21" t="str">
        <f>VLOOKUP(A:A,Anexos!A:E,5,0)</f>
        <v>jueves</v>
      </c>
      <c r="M250" s="21" t="str">
        <f>VLOOKUP(A:A,Anexos!A:F,6,0)</f>
        <v>febrero</v>
      </c>
    </row>
    <row r="251" spans="1:13" x14ac:dyDescent="0.3">
      <c r="A251" s="6">
        <v>250</v>
      </c>
      <c r="B251" s="6" t="s">
        <v>27</v>
      </c>
      <c r="C251" s="1">
        <v>45883</v>
      </c>
      <c r="D251" t="s">
        <v>7</v>
      </c>
      <c r="E251" s="20">
        <v>19159</v>
      </c>
      <c r="F251" s="6">
        <v>61</v>
      </c>
      <c r="G251" t="s">
        <v>19</v>
      </c>
      <c r="H251" t="s">
        <v>22</v>
      </c>
      <c r="I251" s="20">
        <f>Origen!$F251*Origen!$E251</f>
        <v>1168699</v>
      </c>
      <c r="J251" s="6">
        <f>VLOOKUP(A:A,Anexos!A:B,2,0)</f>
        <v>2025</v>
      </c>
      <c r="K251" s="6">
        <f>_xlfn.XLOOKUP(A:A,Anexos!A:A,Anexos!C:C,"No se encuentra",0)</f>
        <v>8</v>
      </c>
      <c r="L251" s="21" t="str">
        <f>VLOOKUP(A:A,Anexos!A:E,5,0)</f>
        <v>jueves</v>
      </c>
      <c r="M251" s="21" t="str">
        <f>VLOOKUP(A:A,Anexos!A:F,6,0)</f>
        <v>agosto</v>
      </c>
    </row>
    <row r="252" spans="1:13" x14ac:dyDescent="0.3">
      <c r="A252" s="6">
        <v>251</v>
      </c>
      <c r="B252" s="6" t="s">
        <v>28</v>
      </c>
      <c r="C252" s="1">
        <v>45618</v>
      </c>
      <c r="D252" t="s">
        <v>8</v>
      </c>
      <c r="E252" s="20">
        <v>17523</v>
      </c>
      <c r="F252" s="6">
        <v>19</v>
      </c>
      <c r="G252" t="s">
        <v>20</v>
      </c>
      <c r="H252" t="s">
        <v>23</v>
      </c>
      <c r="I252" s="20">
        <f>Origen!$F252*Origen!$E252</f>
        <v>332937</v>
      </c>
      <c r="J252" s="6">
        <f>VLOOKUP(A:A,Anexos!A:B,2,0)</f>
        <v>2024</v>
      </c>
      <c r="K252" s="6">
        <f>_xlfn.XLOOKUP(A:A,Anexos!A:A,Anexos!C:C,"No se encuentra",0)</f>
        <v>11</v>
      </c>
      <c r="L252" s="21" t="str">
        <f>VLOOKUP(A:A,Anexos!A:E,5,0)</f>
        <v>viernes</v>
      </c>
      <c r="M252" s="21" t="str">
        <f>VLOOKUP(A:A,Anexos!A:F,6,0)</f>
        <v>noviembre</v>
      </c>
    </row>
    <row r="253" spans="1:13" x14ac:dyDescent="0.3">
      <c r="A253" s="6">
        <v>252</v>
      </c>
      <c r="B253" s="6" t="s">
        <v>29</v>
      </c>
      <c r="C253" s="1">
        <v>44936</v>
      </c>
      <c r="D253" t="s">
        <v>9</v>
      </c>
      <c r="E253" s="20">
        <v>19473</v>
      </c>
      <c r="F253" s="6">
        <v>68</v>
      </c>
      <c r="G253" t="s">
        <v>17</v>
      </c>
      <c r="H253" t="s">
        <v>24</v>
      </c>
      <c r="I253" s="20">
        <f>Origen!$F253*Origen!$E253</f>
        <v>1324164</v>
      </c>
      <c r="J253" s="6">
        <f>VLOOKUP(A:A,Anexos!A:B,2,0)</f>
        <v>2023</v>
      </c>
      <c r="K253" s="6">
        <f>_xlfn.XLOOKUP(A:A,Anexos!A:A,Anexos!C:C,"No se encuentra",0)</f>
        <v>1</v>
      </c>
      <c r="L253" s="21" t="str">
        <f>VLOOKUP(A:A,Anexos!A:E,5,0)</f>
        <v>martes</v>
      </c>
      <c r="M253" s="21" t="str">
        <f>VLOOKUP(A:A,Anexos!A:F,6,0)</f>
        <v>enero</v>
      </c>
    </row>
    <row r="254" spans="1:13" x14ac:dyDescent="0.3">
      <c r="A254" s="6">
        <v>253</v>
      </c>
      <c r="B254" s="6" t="s">
        <v>27</v>
      </c>
      <c r="C254" s="1">
        <v>45534</v>
      </c>
      <c r="D254" t="s">
        <v>10</v>
      </c>
      <c r="E254" s="20">
        <v>18811</v>
      </c>
      <c r="F254" s="6">
        <v>100</v>
      </c>
      <c r="G254" t="s">
        <v>18</v>
      </c>
      <c r="H254" t="s">
        <v>21</v>
      </c>
      <c r="I254" s="20">
        <f>Origen!$F254*Origen!$E254</f>
        <v>1881100</v>
      </c>
      <c r="J254" s="6">
        <f>VLOOKUP(A:A,Anexos!A:B,2,0)</f>
        <v>2024</v>
      </c>
      <c r="K254" s="6">
        <f>_xlfn.XLOOKUP(A:A,Anexos!A:A,Anexos!C:C,"No se encuentra",0)</f>
        <v>8</v>
      </c>
      <c r="L254" s="21" t="str">
        <f>VLOOKUP(A:A,Anexos!A:E,5,0)</f>
        <v>viernes</v>
      </c>
      <c r="M254" s="21" t="str">
        <f>VLOOKUP(A:A,Anexos!A:F,6,0)</f>
        <v>agosto</v>
      </c>
    </row>
    <row r="255" spans="1:13" x14ac:dyDescent="0.3">
      <c r="A255" s="6">
        <v>254</v>
      </c>
      <c r="B255" s="6" t="s">
        <v>28</v>
      </c>
      <c r="C255" s="1">
        <v>45385</v>
      </c>
      <c r="D255" t="s">
        <v>11</v>
      </c>
      <c r="E255" s="20">
        <v>19176</v>
      </c>
      <c r="F255" s="6">
        <v>40</v>
      </c>
      <c r="G255" t="s">
        <v>19</v>
      </c>
      <c r="H255" t="s">
        <v>22</v>
      </c>
      <c r="I255" s="20">
        <f>Origen!$F255*Origen!$E255</f>
        <v>767040</v>
      </c>
      <c r="J255" s="6">
        <f>VLOOKUP(A:A,Anexos!A:B,2,0)</f>
        <v>2024</v>
      </c>
      <c r="K255" s="6">
        <f>_xlfn.XLOOKUP(A:A,Anexos!A:A,Anexos!C:C,"No se encuentra",0)</f>
        <v>4</v>
      </c>
      <c r="L255" s="21" t="str">
        <f>VLOOKUP(A:A,Anexos!A:E,5,0)</f>
        <v>miércoles</v>
      </c>
      <c r="M255" s="21" t="str">
        <f>VLOOKUP(A:A,Anexos!A:F,6,0)</f>
        <v>abril</v>
      </c>
    </row>
    <row r="256" spans="1:13" x14ac:dyDescent="0.3">
      <c r="A256" s="6">
        <v>255</v>
      </c>
      <c r="B256" s="6" t="s">
        <v>29</v>
      </c>
      <c r="C256" s="1">
        <v>45744</v>
      </c>
      <c r="D256" t="s">
        <v>12</v>
      </c>
      <c r="E256" s="20">
        <v>18185</v>
      </c>
      <c r="F256" s="6">
        <v>11</v>
      </c>
      <c r="G256" t="s">
        <v>20</v>
      </c>
      <c r="H256" t="s">
        <v>23</v>
      </c>
      <c r="I256" s="20">
        <f>Origen!$F256*Origen!$E256</f>
        <v>200035</v>
      </c>
      <c r="J256" s="6">
        <f>VLOOKUP(A:A,Anexos!A:B,2,0)</f>
        <v>2025</v>
      </c>
      <c r="K256" s="6">
        <f>_xlfn.XLOOKUP(A:A,Anexos!A:A,Anexos!C:C,"No se encuentra",0)</f>
        <v>3</v>
      </c>
      <c r="L256" s="21" t="str">
        <f>VLOOKUP(A:A,Anexos!A:E,5,0)</f>
        <v>viernes</v>
      </c>
      <c r="M256" s="21" t="str">
        <f>VLOOKUP(A:A,Anexos!A:F,6,0)</f>
        <v>marzo</v>
      </c>
    </row>
    <row r="257" spans="1:13" x14ac:dyDescent="0.3">
      <c r="A257" s="6">
        <v>256</v>
      </c>
      <c r="B257" s="6" t="s">
        <v>27</v>
      </c>
      <c r="C257" s="1">
        <v>45892</v>
      </c>
      <c r="D257" t="s">
        <v>13</v>
      </c>
      <c r="E257" s="20">
        <v>15045</v>
      </c>
      <c r="F257" s="6">
        <v>88</v>
      </c>
      <c r="G257" t="s">
        <v>17</v>
      </c>
      <c r="H257" t="s">
        <v>24</v>
      </c>
      <c r="I257" s="20">
        <f>Origen!$F257*Origen!$E257</f>
        <v>1323960</v>
      </c>
      <c r="J257" s="6">
        <f>VLOOKUP(A:A,Anexos!A:B,2,0)</f>
        <v>2025</v>
      </c>
      <c r="K257" s="6">
        <f>_xlfn.XLOOKUP(A:A,Anexos!A:A,Anexos!C:C,"No se encuentra",0)</f>
        <v>8</v>
      </c>
      <c r="L257" s="21" t="str">
        <f>VLOOKUP(A:A,Anexos!A:E,5,0)</f>
        <v>sábado</v>
      </c>
      <c r="M257" s="21" t="str">
        <f>VLOOKUP(A:A,Anexos!A:F,6,0)</f>
        <v>agosto</v>
      </c>
    </row>
    <row r="258" spans="1:13" x14ac:dyDescent="0.3">
      <c r="A258" s="6">
        <v>257</v>
      </c>
      <c r="B258" s="6" t="s">
        <v>28</v>
      </c>
      <c r="C258" s="1">
        <v>45766</v>
      </c>
      <c r="D258" t="s">
        <v>6</v>
      </c>
      <c r="E258" s="20">
        <v>15482</v>
      </c>
      <c r="F258" s="6">
        <v>23</v>
      </c>
      <c r="G258" t="s">
        <v>18</v>
      </c>
      <c r="H258" t="s">
        <v>21</v>
      </c>
      <c r="I258" s="20">
        <f>Origen!$F258*Origen!$E258</f>
        <v>356086</v>
      </c>
      <c r="J258" s="6">
        <f>VLOOKUP(A:A,Anexos!A:B,2,0)</f>
        <v>2025</v>
      </c>
      <c r="K258" s="6">
        <f>_xlfn.XLOOKUP(A:A,Anexos!A:A,Anexos!C:C,"No se encuentra",0)</f>
        <v>4</v>
      </c>
      <c r="L258" s="21" t="str">
        <f>VLOOKUP(A:A,Anexos!A:E,5,0)</f>
        <v>sábado</v>
      </c>
      <c r="M258" s="21" t="str">
        <f>VLOOKUP(A:A,Anexos!A:F,6,0)</f>
        <v>abril</v>
      </c>
    </row>
    <row r="259" spans="1:13" x14ac:dyDescent="0.3">
      <c r="A259" s="6">
        <v>258</v>
      </c>
      <c r="B259" s="6" t="s">
        <v>29</v>
      </c>
      <c r="C259" s="1">
        <v>45314</v>
      </c>
      <c r="D259" t="s">
        <v>7</v>
      </c>
      <c r="E259" s="20">
        <v>19159</v>
      </c>
      <c r="F259" s="6">
        <v>14</v>
      </c>
      <c r="G259" t="s">
        <v>19</v>
      </c>
      <c r="H259" t="s">
        <v>22</v>
      </c>
      <c r="I259" s="20">
        <f>Origen!$F259*Origen!$E259</f>
        <v>268226</v>
      </c>
      <c r="J259" s="6">
        <f>VLOOKUP(A:A,Anexos!A:B,2,0)</f>
        <v>2024</v>
      </c>
      <c r="K259" s="6">
        <f>_xlfn.XLOOKUP(A:A,Anexos!A:A,Anexos!C:C,"No se encuentra",0)</f>
        <v>1</v>
      </c>
      <c r="L259" s="21" t="str">
        <f>VLOOKUP(A:A,Anexos!A:E,5,0)</f>
        <v>martes</v>
      </c>
      <c r="M259" s="21" t="str">
        <f>VLOOKUP(A:A,Anexos!A:F,6,0)</f>
        <v>enero</v>
      </c>
    </row>
    <row r="260" spans="1:13" x14ac:dyDescent="0.3">
      <c r="A260" s="6">
        <v>259</v>
      </c>
      <c r="B260" s="6" t="s">
        <v>27</v>
      </c>
      <c r="C260" s="1">
        <v>45698</v>
      </c>
      <c r="D260" t="s">
        <v>8</v>
      </c>
      <c r="E260" s="20">
        <v>17523</v>
      </c>
      <c r="F260" s="6">
        <v>50</v>
      </c>
      <c r="G260" t="s">
        <v>20</v>
      </c>
      <c r="H260" t="s">
        <v>23</v>
      </c>
      <c r="I260" s="20">
        <f>Origen!$F260*Origen!$E260</f>
        <v>876150</v>
      </c>
      <c r="J260" s="6">
        <f>VLOOKUP(A:A,Anexos!A:B,2,0)</f>
        <v>2025</v>
      </c>
      <c r="K260" s="6">
        <f>_xlfn.XLOOKUP(A:A,Anexos!A:A,Anexos!C:C,"No se encuentra",0)</f>
        <v>2</v>
      </c>
      <c r="L260" s="21" t="str">
        <f>VLOOKUP(A:A,Anexos!A:E,5,0)</f>
        <v>lunes</v>
      </c>
      <c r="M260" s="21" t="str">
        <f>VLOOKUP(A:A,Anexos!A:F,6,0)</f>
        <v>febrero</v>
      </c>
    </row>
    <row r="261" spans="1:13" x14ac:dyDescent="0.3">
      <c r="A261" s="6">
        <v>260</v>
      </c>
      <c r="B261" s="6" t="s">
        <v>28</v>
      </c>
      <c r="C261" s="1">
        <v>45683</v>
      </c>
      <c r="D261" t="s">
        <v>9</v>
      </c>
      <c r="E261" s="20">
        <v>19473</v>
      </c>
      <c r="F261" s="6">
        <v>44</v>
      </c>
      <c r="G261" t="s">
        <v>17</v>
      </c>
      <c r="H261" t="s">
        <v>24</v>
      </c>
      <c r="I261" s="20">
        <f>Origen!$F261*Origen!$E261</f>
        <v>856812</v>
      </c>
      <c r="J261" s="6">
        <f>VLOOKUP(A:A,Anexos!A:B,2,0)</f>
        <v>2025</v>
      </c>
      <c r="K261" s="6">
        <f>_xlfn.XLOOKUP(A:A,Anexos!A:A,Anexos!C:C,"No se encuentra",0)</f>
        <v>1</v>
      </c>
      <c r="L261" s="21" t="str">
        <f>VLOOKUP(A:A,Anexos!A:E,5,0)</f>
        <v>domingo</v>
      </c>
      <c r="M261" s="21" t="str">
        <f>VLOOKUP(A:A,Anexos!A:F,6,0)</f>
        <v>enero</v>
      </c>
    </row>
    <row r="262" spans="1:13" x14ac:dyDescent="0.3">
      <c r="A262" s="6">
        <v>261</v>
      </c>
      <c r="B262" s="6" t="s">
        <v>29</v>
      </c>
      <c r="C262" s="1">
        <v>44947</v>
      </c>
      <c r="D262" t="s">
        <v>10</v>
      </c>
      <c r="E262" s="20">
        <v>18811</v>
      </c>
      <c r="F262" s="6">
        <v>50</v>
      </c>
      <c r="G262" t="s">
        <v>18</v>
      </c>
      <c r="H262" t="s">
        <v>21</v>
      </c>
      <c r="I262" s="20">
        <f>Origen!$F262*Origen!$E262</f>
        <v>940550</v>
      </c>
      <c r="J262" s="6">
        <f>VLOOKUP(A:A,Anexos!A:B,2,0)</f>
        <v>2023</v>
      </c>
      <c r="K262" s="6">
        <f>_xlfn.XLOOKUP(A:A,Anexos!A:A,Anexos!C:C,"No se encuentra",0)</f>
        <v>1</v>
      </c>
      <c r="L262" s="21" t="str">
        <f>VLOOKUP(A:A,Anexos!A:E,5,0)</f>
        <v>sábado</v>
      </c>
      <c r="M262" s="21" t="str">
        <f>VLOOKUP(A:A,Anexos!A:F,6,0)</f>
        <v>enero</v>
      </c>
    </row>
    <row r="263" spans="1:13" x14ac:dyDescent="0.3">
      <c r="A263" s="6">
        <v>262</v>
      </c>
      <c r="B263" s="6" t="s">
        <v>27</v>
      </c>
      <c r="C263" s="1">
        <v>45192</v>
      </c>
      <c r="D263" t="s">
        <v>11</v>
      </c>
      <c r="E263" s="20">
        <v>19176</v>
      </c>
      <c r="F263" s="6">
        <v>27</v>
      </c>
      <c r="G263" t="s">
        <v>19</v>
      </c>
      <c r="H263" t="s">
        <v>22</v>
      </c>
      <c r="I263" s="20">
        <f>Origen!$F263*Origen!$E263</f>
        <v>517752</v>
      </c>
      <c r="J263" s="6">
        <f>VLOOKUP(A:A,Anexos!A:B,2,0)</f>
        <v>2023</v>
      </c>
      <c r="K263" s="6">
        <f>_xlfn.XLOOKUP(A:A,Anexos!A:A,Anexos!C:C,"No se encuentra",0)</f>
        <v>9</v>
      </c>
      <c r="L263" s="21" t="str">
        <f>VLOOKUP(A:A,Anexos!A:E,5,0)</f>
        <v>sábado</v>
      </c>
      <c r="M263" s="21" t="str">
        <f>VLOOKUP(A:A,Anexos!A:F,6,0)</f>
        <v>septiembre</v>
      </c>
    </row>
    <row r="264" spans="1:13" x14ac:dyDescent="0.3">
      <c r="A264" s="6">
        <v>263</v>
      </c>
      <c r="B264" s="6" t="s">
        <v>28</v>
      </c>
      <c r="C264" s="1">
        <v>45843</v>
      </c>
      <c r="D264" t="s">
        <v>12</v>
      </c>
      <c r="E264" s="20">
        <v>18185</v>
      </c>
      <c r="F264" s="6">
        <v>54</v>
      </c>
      <c r="G264" t="s">
        <v>17</v>
      </c>
      <c r="H264" t="s">
        <v>23</v>
      </c>
      <c r="I264" s="20">
        <f>Origen!$F264*Origen!$E264</f>
        <v>981990</v>
      </c>
      <c r="J264" s="6">
        <f>VLOOKUP(A:A,Anexos!A:B,2,0)</f>
        <v>2025</v>
      </c>
      <c r="K264" s="6">
        <f>_xlfn.XLOOKUP(A:A,Anexos!A:A,Anexos!C:C,"No se encuentra",0)</f>
        <v>7</v>
      </c>
      <c r="L264" s="21" t="str">
        <f>VLOOKUP(A:A,Anexos!A:E,5,0)</f>
        <v>sábado</v>
      </c>
      <c r="M264" s="21" t="str">
        <f>VLOOKUP(A:A,Anexos!A:F,6,0)</f>
        <v>julio</v>
      </c>
    </row>
    <row r="265" spans="1:13" x14ac:dyDescent="0.3">
      <c r="A265" s="6">
        <v>264</v>
      </c>
      <c r="B265" s="6" t="s">
        <v>29</v>
      </c>
      <c r="C265" s="1">
        <v>45307</v>
      </c>
      <c r="D265" t="s">
        <v>13</v>
      </c>
      <c r="E265" s="20">
        <v>15045</v>
      </c>
      <c r="F265" s="6">
        <v>57</v>
      </c>
      <c r="G265" t="s">
        <v>18</v>
      </c>
      <c r="H265" t="s">
        <v>24</v>
      </c>
      <c r="I265" s="20">
        <f>Origen!$F265*Origen!$E265</f>
        <v>857565</v>
      </c>
      <c r="J265" s="6">
        <f>VLOOKUP(A:A,Anexos!A:B,2,0)</f>
        <v>2024</v>
      </c>
      <c r="K265" s="6">
        <f>_xlfn.XLOOKUP(A:A,Anexos!A:A,Anexos!C:C,"No se encuentra",0)</f>
        <v>1</v>
      </c>
      <c r="L265" s="21" t="str">
        <f>VLOOKUP(A:A,Anexos!A:E,5,0)</f>
        <v>martes</v>
      </c>
      <c r="M265" s="21" t="str">
        <f>VLOOKUP(A:A,Anexos!A:F,6,0)</f>
        <v>enero</v>
      </c>
    </row>
    <row r="266" spans="1:13" x14ac:dyDescent="0.3">
      <c r="A266" s="6">
        <v>265</v>
      </c>
      <c r="B266" s="6" t="s">
        <v>27</v>
      </c>
      <c r="C266" s="1">
        <v>45702</v>
      </c>
      <c r="D266" t="s">
        <v>14</v>
      </c>
      <c r="E266" s="20">
        <v>14271</v>
      </c>
      <c r="F266" s="6">
        <v>10</v>
      </c>
      <c r="G266" t="s">
        <v>19</v>
      </c>
      <c r="H266" t="s">
        <v>21</v>
      </c>
      <c r="I266" s="20">
        <f>Origen!$F266*Origen!$E266</f>
        <v>142710</v>
      </c>
      <c r="J266" s="6">
        <f>VLOOKUP(A:A,Anexos!A:B,2,0)</f>
        <v>2025</v>
      </c>
      <c r="K266" s="6">
        <f>_xlfn.XLOOKUP(A:A,Anexos!A:A,Anexos!C:C,"No se encuentra",0)</f>
        <v>2</v>
      </c>
      <c r="L266" s="21" t="str">
        <f>VLOOKUP(A:A,Anexos!A:E,5,0)</f>
        <v>viernes</v>
      </c>
      <c r="M266" s="21" t="str">
        <f>VLOOKUP(A:A,Anexos!A:F,6,0)</f>
        <v>febrero</v>
      </c>
    </row>
    <row r="267" spans="1:13" x14ac:dyDescent="0.3">
      <c r="A267" s="6">
        <v>266</v>
      </c>
      <c r="B267" s="6" t="s">
        <v>28</v>
      </c>
      <c r="C267" s="1">
        <v>45893</v>
      </c>
      <c r="D267" t="s">
        <v>15</v>
      </c>
      <c r="E267" s="20">
        <v>12361</v>
      </c>
      <c r="F267" s="6">
        <v>13</v>
      </c>
      <c r="G267" t="s">
        <v>20</v>
      </c>
      <c r="H267" t="s">
        <v>22</v>
      </c>
      <c r="I267" s="20">
        <f>Origen!$F267*Origen!$E267</f>
        <v>160693</v>
      </c>
      <c r="J267" s="6">
        <f>VLOOKUP(A:A,Anexos!A:B,2,0)</f>
        <v>2025</v>
      </c>
      <c r="K267" s="6">
        <f>_xlfn.XLOOKUP(A:A,Anexos!A:A,Anexos!C:C,"No se encuentra",0)</f>
        <v>8</v>
      </c>
      <c r="L267" s="21" t="str">
        <f>VLOOKUP(A:A,Anexos!A:E,5,0)</f>
        <v>domingo</v>
      </c>
      <c r="M267" s="21" t="str">
        <f>VLOOKUP(A:A,Anexos!A:F,6,0)</f>
        <v>agosto</v>
      </c>
    </row>
    <row r="268" spans="1:13" x14ac:dyDescent="0.3">
      <c r="A268" s="6">
        <v>267</v>
      </c>
      <c r="B268" s="6" t="s">
        <v>29</v>
      </c>
      <c r="C268" s="1">
        <v>45829</v>
      </c>
      <c r="D268" t="s">
        <v>16</v>
      </c>
      <c r="E268" s="20">
        <v>14933</v>
      </c>
      <c r="F268" s="6">
        <v>31</v>
      </c>
      <c r="G268" t="s">
        <v>17</v>
      </c>
      <c r="H268" t="s">
        <v>23</v>
      </c>
      <c r="I268" s="20">
        <f>Origen!$F268*Origen!$E268</f>
        <v>462923</v>
      </c>
      <c r="J268" s="6">
        <f>VLOOKUP(A:A,Anexos!A:B,2,0)</f>
        <v>2025</v>
      </c>
      <c r="K268" s="6">
        <f>_xlfn.XLOOKUP(A:A,Anexos!A:A,Anexos!C:C,"No se encuentra",0)</f>
        <v>6</v>
      </c>
      <c r="L268" s="21" t="str">
        <f>VLOOKUP(A:A,Anexos!A:E,5,0)</f>
        <v>sábado</v>
      </c>
      <c r="M268" s="21" t="str">
        <f>VLOOKUP(A:A,Anexos!A:F,6,0)</f>
        <v>junio</v>
      </c>
    </row>
    <row r="269" spans="1:13" x14ac:dyDescent="0.3">
      <c r="A269" s="6">
        <v>268</v>
      </c>
      <c r="B269" s="6" t="s">
        <v>27</v>
      </c>
      <c r="C269" s="1">
        <v>45151</v>
      </c>
      <c r="D269" t="s">
        <v>6</v>
      </c>
      <c r="E269" s="20">
        <v>15482</v>
      </c>
      <c r="F269" s="6">
        <v>39</v>
      </c>
      <c r="G269" t="s">
        <v>18</v>
      </c>
      <c r="H269" t="s">
        <v>24</v>
      </c>
      <c r="I269" s="20">
        <f>Origen!$F269*Origen!$E269</f>
        <v>603798</v>
      </c>
      <c r="J269" s="6">
        <f>VLOOKUP(A:A,Anexos!A:B,2,0)</f>
        <v>2023</v>
      </c>
      <c r="K269" s="6">
        <f>_xlfn.XLOOKUP(A:A,Anexos!A:A,Anexos!C:C,"No se encuentra",0)</f>
        <v>8</v>
      </c>
      <c r="L269" s="21" t="str">
        <f>VLOOKUP(A:A,Anexos!A:E,5,0)</f>
        <v>domingo</v>
      </c>
      <c r="M269" s="21" t="str">
        <f>VLOOKUP(A:A,Anexos!A:F,6,0)</f>
        <v>agosto</v>
      </c>
    </row>
    <row r="270" spans="1:13" x14ac:dyDescent="0.3">
      <c r="A270" s="6">
        <v>269</v>
      </c>
      <c r="B270" s="6" t="s">
        <v>28</v>
      </c>
      <c r="C270" s="1">
        <v>45522</v>
      </c>
      <c r="D270" t="s">
        <v>7</v>
      </c>
      <c r="E270" s="20">
        <v>19159</v>
      </c>
      <c r="F270" s="6">
        <v>68</v>
      </c>
      <c r="G270" t="s">
        <v>19</v>
      </c>
      <c r="H270" t="s">
        <v>21</v>
      </c>
      <c r="I270" s="20">
        <f>Origen!$F270*Origen!$E270</f>
        <v>1302812</v>
      </c>
      <c r="J270" s="6">
        <f>VLOOKUP(A:A,Anexos!A:B,2,0)</f>
        <v>2024</v>
      </c>
      <c r="K270" s="6">
        <f>_xlfn.XLOOKUP(A:A,Anexos!A:A,Anexos!C:C,"No se encuentra",0)</f>
        <v>8</v>
      </c>
      <c r="L270" s="21" t="str">
        <f>VLOOKUP(A:A,Anexos!A:E,5,0)</f>
        <v>domingo</v>
      </c>
      <c r="M270" s="21" t="str">
        <f>VLOOKUP(A:A,Anexos!A:F,6,0)</f>
        <v>agosto</v>
      </c>
    </row>
    <row r="271" spans="1:13" x14ac:dyDescent="0.3">
      <c r="A271" s="6">
        <v>270</v>
      </c>
      <c r="B271" s="6" t="s">
        <v>29</v>
      </c>
      <c r="C271" s="1">
        <v>45335</v>
      </c>
      <c r="D271" t="s">
        <v>8</v>
      </c>
      <c r="E271" s="20">
        <v>17523</v>
      </c>
      <c r="F271" s="6">
        <v>62</v>
      </c>
      <c r="G271" t="s">
        <v>20</v>
      </c>
      <c r="H271" t="s">
        <v>22</v>
      </c>
      <c r="I271" s="20">
        <f>Origen!$F271*Origen!$E271</f>
        <v>1086426</v>
      </c>
      <c r="J271" s="6">
        <f>VLOOKUP(A:A,Anexos!A:B,2,0)</f>
        <v>2024</v>
      </c>
      <c r="K271" s="6">
        <f>_xlfn.XLOOKUP(A:A,Anexos!A:A,Anexos!C:C,"No se encuentra",0)</f>
        <v>2</v>
      </c>
      <c r="L271" s="21" t="str">
        <f>VLOOKUP(A:A,Anexos!A:E,5,0)</f>
        <v>martes</v>
      </c>
      <c r="M271" s="21" t="str">
        <f>VLOOKUP(A:A,Anexos!A:F,6,0)</f>
        <v>febrero</v>
      </c>
    </row>
    <row r="272" spans="1:13" x14ac:dyDescent="0.3">
      <c r="A272" s="6">
        <v>271</v>
      </c>
      <c r="B272" s="6" t="s">
        <v>27</v>
      </c>
      <c r="C272" s="1">
        <v>45670</v>
      </c>
      <c r="D272" t="s">
        <v>9</v>
      </c>
      <c r="E272" s="20">
        <v>19473</v>
      </c>
      <c r="F272" s="6">
        <v>10</v>
      </c>
      <c r="G272" t="s">
        <v>17</v>
      </c>
      <c r="H272" t="s">
        <v>23</v>
      </c>
      <c r="I272" s="20">
        <f>Origen!$F272*Origen!$E272</f>
        <v>194730</v>
      </c>
      <c r="J272" s="6">
        <f>VLOOKUP(A:A,Anexos!A:B,2,0)</f>
        <v>2025</v>
      </c>
      <c r="K272" s="6">
        <f>_xlfn.XLOOKUP(A:A,Anexos!A:A,Anexos!C:C,"No se encuentra",0)</f>
        <v>1</v>
      </c>
      <c r="L272" s="21" t="str">
        <f>VLOOKUP(A:A,Anexos!A:E,5,0)</f>
        <v>lunes</v>
      </c>
      <c r="M272" s="21" t="str">
        <f>VLOOKUP(A:A,Anexos!A:F,6,0)</f>
        <v>enero</v>
      </c>
    </row>
    <row r="273" spans="1:13" x14ac:dyDescent="0.3">
      <c r="A273" s="6">
        <v>272</v>
      </c>
      <c r="B273" s="6" t="s">
        <v>28</v>
      </c>
      <c r="C273" s="1">
        <v>45137</v>
      </c>
      <c r="D273" t="s">
        <v>10</v>
      </c>
      <c r="E273" s="20">
        <v>18811</v>
      </c>
      <c r="F273" s="6">
        <v>47</v>
      </c>
      <c r="G273" t="s">
        <v>18</v>
      </c>
      <c r="H273" t="s">
        <v>24</v>
      </c>
      <c r="I273" s="20">
        <f>Origen!$F273*Origen!$E273</f>
        <v>884117</v>
      </c>
      <c r="J273" s="6">
        <f>VLOOKUP(A:A,Anexos!A:B,2,0)</f>
        <v>2023</v>
      </c>
      <c r="K273" s="6">
        <f>_xlfn.XLOOKUP(A:A,Anexos!A:A,Anexos!C:C,"No se encuentra",0)</f>
        <v>7</v>
      </c>
      <c r="L273" s="21" t="str">
        <f>VLOOKUP(A:A,Anexos!A:E,5,0)</f>
        <v>domingo</v>
      </c>
      <c r="M273" s="21" t="str">
        <f>VLOOKUP(A:A,Anexos!A:F,6,0)</f>
        <v>julio</v>
      </c>
    </row>
    <row r="274" spans="1:13" x14ac:dyDescent="0.3">
      <c r="A274" s="6">
        <v>273</v>
      </c>
      <c r="B274" s="6" t="s">
        <v>29</v>
      </c>
      <c r="C274" s="1">
        <v>45446</v>
      </c>
      <c r="D274" t="s">
        <v>11</v>
      </c>
      <c r="E274" s="20">
        <v>19176</v>
      </c>
      <c r="F274" s="6">
        <v>61</v>
      </c>
      <c r="G274" t="s">
        <v>19</v>
      </c>
      <c r="H274" t="s">
        <v>21</v>
      </c>
      <c r="I274" s="20">
        <f>Origen!$F274*Origen!$E274</f>
        <v>1169736</v>
      </c>
      <c r="J274" s="6">
        <f>VLOOKUP(A:A,Anexos!A:B,2,0)</f>
        <v>2024</v>
      </c>
      <c r="K274" s="6">
        <f>_xlfn.XLOOKUP(A:A,Anexos!A:A,Anexos!C:C,"No se encuentra",0)</f>
        <v>6</v>
      </c>
      <c r="L274" s="21" t="str">
        <f>VLOOKUP(A:A,Anexos!A:E,5,0)</f>
        <v>lunes</v>
      </c>
      <c r="M274" s="21" t="str">
        <f>VLOOKUP(A:A,Anexos!A:F,6,0)</f>
        <v>junio</v>
      </c>
    </row>
    <row r="275" spans="1:13" x14ac:dyDescent="0.3">
      <c r="A275" s="6">
        <v>274</v>
      </c>
      <c r="B275" s="6" t="s">
        <v>27</v>
      </c>
      <c r="C275" s="1">
        <v>45754</v>
      </c>
      <c r="D275" t="s">
        <v>12</v>
      </c>
      <c r="E275" s="20">
        <v>18185</v>
      </c>
      <c r="F275" s="6">
        <v>16</v>
      </c>
      <c r="G275" t="s">
        <v>17</v>
      </c>
      <c r="H275" t="s">
        <v>22</v>
      </c>
      <c r="I275" s="20">
        <f>Origen!$F275*Origen!$E275</f>
        <v>290960</v>
      </c>
      <c r="J275" s="6">
        <f>VLOOKUP(A:A,Anexos!A:B,2,0)</f>
        <v>2025</v>
      </c>
      <c r="K275" s="6">
        <f>_xlfn.XLOOKUP(A:A,Anexos!A:A,Anexos!C:C,"No se encuentra",0)</f>
        <v>4</v>
      </c>
      <c r="L275" s="21" t="str">
        <f>VLOOKUP(A:A,Anexos!A:E,5,0)</f>
        <v>lunes</v>
      </c>
      <c r="M275" s="21" t="str">
        <f>VLOOKUP(A:A,Anexos!A:F,6,0)</f>
        <v>abril</v>
      </c>
    </row>
    <row r="276" spans="1:13" x14ac:dyDescent="0.3">
      <c r="A276" s="6">
        <v>275</v>
      </c>
      <c r="B276" s="6" t="s">
        <v>28</v>
      </c>
      <c r="C276" s="1">
        <v>45711</v>
      </c>
      <c r="D276" t="s">
        <v>13</v>
      </c>
      <c r="E276" s="20">
        <v>15045</v>
      </c>
      <c r="F276" s="6">
        <v>76</v>
      </c>
      <c r="G276" t="s">
        <v>18</v>
      </c>
      <c r="H276" t="s">
        <v>23</v>
      </c>
      <c r="I276" s="20">
        <f>Origen!$F276*Origen!$E276</f>
        <v>1143420</v>
      </c>
      <c r="J276" s="6">
        <f>VLOOKUP(A:A,Anexos!A:B,2,0)</f>
        <v>2025</v>
      </c>
      <c r="K276" s="6">
        <f>_xlfn.XLOOKUP(A:A,Anexos!A:A,Anexos!C:C,"No se encuentra",0)</f>
        <v>2</v>
      </c>
      <c r="L276" s="21" t="str">
        <f>VLOOKUP(A:A,Anexos!A:E,5,0)</f>
        <v>domingo</v>
      </c>
      <c r="M276" s="21" t="str">
        <f>VLOOKUP(A:A,Anexos!A:F,6,0)</f>
        <v>febrero</v>
      </c>
    </row>
    <row r="277" spans="1:13" x14ac:dyDescent="0.3">
      <c r="A277" s="6">
        <v>276</v>
      </c>
      <c r="B277" s="6" t="s">
        <v>29</v>
      </c>
      <c r="C277" s="1">
        <v>45818</v>
      </c>
      <c r="D277" t="s">
        <v>14</v>
      </c>
      <c r="E277" s="20">
        <v>14271</v>
      </c>
      <c r="F277" s="6">
        <v>66</v>
      </c>
      <c r="G277" t="s">
        <v>19</v>
      </c>
      <c r="H277" t="s">
        <v>24</v>
      </c>
      <c r="I277" s="20">
        <f>Origen!$F277*Origen!$E277</f>
        <v>941886</v>
      </c>
      <c r="J277" s="6">
        <f>VLOOKUP(A:A,Anexos!A:B,2,0)</f>
        <v>2025</v>
      </c>
      <c r="K277" s="6">
        <f>_xlfn.XLOOKUP(A:A,Anexos!A:A,Anexos!C:C,"No se encuentra",0)</f>
        <v>6</v>
      </c>
      <c r="L277" s="21" t="str">
        <f>VLOOKUP(A:A,Anexos!A:E,5,0)</f>
        <v>martes</v>
      </c>
      <c r="M277" s="21" t="str">
        <f>VLOOKUP(A:A,Anexos!A:F,6,0)</f>
        <v>junio</v>
      </c>
    </row>
    <row r="278" spans="1:13" x14ac:dyDescent="0.3">
      <c r="A278" s="6">
        <v>277</v>
      </c>
      <c r="B278" s="6" t="s">
        <v>27</v>
      </c>
      <c r="C278" s="1">
        <v>45419</v>
      </c>
      <c r="D278" t="s">
        <v>15</v>
      </c>
      <c r="E278" s="20">
        <v>12361</v>
      </c>
      <c r="F278" s="6">
        <v>96</v>
      </c>
      <c r="G278" t="s">
        <v>20</v>
      </c>
      <c r="H278" t="s">
        <v>21</v>
      </c>
      <c r="I278" s="20">
        <f>Origen!$F278*Origen!$E278</f>
        <v>1186656</v>
      </c>
      <c r="J278" s="6">
        <f>VLOOKUP(A:A,Anexos!A:B,2,0)</f>
        <v>2024</v>
      </c>
      <c r="K278" s="6">
        <f>_xlfn.XLOOKUP(A:A,Anexos!A:A,Anexos!C:C,"No se encuentra",0)</f>
        <v>5</v>
      </c>
      <c r="L278" s="21" t="str">
        <f>VLOOKUP(A:A,Anexos!A:E,5,0)</f>
        <v>martes</v>
      </c>
      <c r="M278" s="21" t="str">
        <f>VLOOKUP(A:A,Anexos!A:F,6,0)</f>
        <v>mayo</v>
      </c>
    </row>
    <row r="279" spans="1:13" x14ac:dyDescent="0.3">
      <c r="A279" s="6">
        <v>278</v>
      </c>
      <c r="B279" s="6" t="s">
        <v>28</v>
      </c>
      <c r="C279" s="1">
        <v>45187</v>
      </c>
      <c r="D279" t="s">
        <v>16</v>
      </c>
      <c r="E279" s="20">
        <v>14933</v>
      </c>
      <c r="F279" s="6">
        <v>27</v>
      </c>
      <c r="G279" t="s">
        <v>17</v>
      </c>
      <c r="H279" t="s">
        <v>22</v>
      </c>
      <c r="I279" s="20">
        <f>Origen!$F279*Origen!$E279</f>
        <v>403191</v>
      </c>
      <c r="J279" s="6">
        <f>VLOOKUP(A:A,Anexos!A:B,2,0)</f>
        <v>2023</v>
      </c>
      <c r="K279" s="6">
        <f>_xlfn.XLOOKUP(A:A,Anexos!A:A,Anexos!C:C,"No se encuentra",0)</f>
        <v>9</v>
      </c>
      <c r="L279" s="21" t="str">
        <f>VLOOKUP(A:A,Anexos!A:E,5,0)</f>
        <v>lunes</v>
      </c>
      <c r="M279" s="21" t="str">
        <f>VLOOKUP(A:A,Anexos!A:F,6,0)</f>
        <v>septiembre</v>
      </c>
    </row>
    <row r="280" spans="1:13" x14ac:dyDescent="0.3">
      <c r="A280" s="6">
        <v>279</v>
      </c>
      <c r="B280" s="6" t="s">
        <v>29</v>
      </c>
      <c r="C280" s="1">
        <v>45926</v>
      </c>
      <c r="D280" t="s">
        <v>11</v>
      </c>
      <c r="E280" s="20">
        <v>19176</v>
      </c>
      <c r="F280" s="6">
        <v>98</v>
      </c>
      <c r="G280" t="s">
        <v>18</v>
      </c>
      <c r="H280" t="s">
        <v>23</v>
      </c>
      <c r="I280" s="20">
        <f>Origen!$F280*Origen!$E280</f>
        <v>1879248</v>
      </c>
      <c r="J280" s="6">
        <f>VLOOKUP(A:A,Anexos!A:B,2,0)</f>
        <v>2025</v>
      </c>
      <c r="K280" s="6">
        <f>_xlfn.XLOOKUP(A:A,Anexos!A:A,Anexos!C:C,"No se encuentra",0)</f>
        <v>9</v>
      </c>
      <c r="L280" s="21" t="str">
        <f>VLOOKUP(A:A,Anexos!A:E,5,0)</f>
        <v>viernes</v>
      </c>
      <c r="M280" s="21" t="str">
        <f>VLOOKUP(A:A,Anexos!A:F,6,0)</f>
        <v>septiembre</v>
      </c>
    </row>
    <row r="281" spans="1:13" x14ac:dyDescent="0.3">
      <c r="A281" s="6">
        <v>280</v>
      </c>
      <c r="B281" s="6" t="s">
        <v>27</v>
      </c>
      <c r="C281" s="1">
        <v>45826</v>
      </c>
      <c r="D281" t="s">
        <v>12</v>
      </c>
      <c r="E281" s="20">
        <v>18185</v>
      </c>
      <c r="F281" s="6">
        <v>32</v>
      </c>
      <c r="G281" t="s">
        <v>19</v>
      </c>
      <c r="H281" t="s">
        <v>24</v>
      </c>
      <c r="I281" s="20">
        <f>Origen!$F281*Origen!$E281</f>
        <v>581920</v>
      </c>
      <c r="J281" s="6">
        <f>VLOOKUP(A:A,Anexos!A:B,2,0)</f>
        <v>2025</v>
      </c>
      <c r="K281" s="6">
        <f>_xlfn.XLOOKUP(A:A,Anexos!A:A,Anexos!C:C,"No se encuentra",0)</f>
        <v>6</v>
      </c>
      <c r="L281" s="21" t="str">
        <f>VLOOKUP(A:A,Anexos!A:E,5,0)</f>
        <v>miércoles</v>
      </c>
      <c r="M281" s="21" t="str">
        <f>VLOOKUP(A:A,Anexos!A:F,6,0)</f>
        <v>junio</v>
      </c>
    </row>
    <row r="282" spans="1:13" x14ac:dyDescent="0.3">
      <c r="A282" s="6">
        <v>281</v>
      </c>
      <c r="B282" s="6" t="s">
        <v>28</v>
      </c>
      <c r="C282" s="1">
        <v>45635</v>
      </c>
      <c r="D282" t="s">
        <v>13</v>
      </c>
      <c r="E282" s="20">
        <v>15045</v>
      </c>
      <c r="F282" s="6">
        <v>95</v>
      </c>
      <c r="G282" t="s">
        <v>20</v>
      </c>
      <c r="H282" t="s">
        <v>21</v>
      </c>
      <c r="I282" s="20">
        <f>Origen!$F282*Origen!$E282</f>
        <v>1429275</v>
      </c>
      <c r="J282" s="6">
        <f>VLOOKUP(A:A,Anexos!A:B,2,0)</f>
        <v>2024</v>
      </c>
      <c r="K282" s="6">
        <f>_xlfn.XLOOKUP(A:A,Anexos!A:A,Anexos!C:C,"No se encuentra",0)</f>
        <v>12</v>
      </c>
      <c r="L282" s="21" t="str">
        <f>VLOOKUP(A:A,Anexos!A:E,5,0)</f>
        <v>lunes</v>
      </c>
      <c r="M282" s="21" t="str">
        <f>VLOOKUP(A:A,Anexos!A:F,6,0)</f>
        <v>diciembre</v>
      </c>
    </row>
    <row r="283" spans="1:13" x14ac:dyDescent="0.3">
      <c r="A283" s="6">
        <v>282</v>
      </c>
      <c r="B283" s="6" t="s">
        <v>29</v>
      </c>
      <c r="C283" s="1">
        <v>45691</v>
      </c>
      <c r="D283" t="s">
        <v>14</v>
      </c>
      <c r="E283" s="20">
        <v>14271</v>
      </c>
      <c r="F283" s="6">
        <v>13</v>
      </c>
      <c r="G283" t="s">
        <v>17</v>
      </c>
      <c r="H283" t="s">
        <v>22</v>
      </c>
      <c r="I283" s="20">
        <f>Origen!$F283*Origen!$E283</f>
        <v>185523</v>
      </c>
      <c r="J283" s="6">
        <f>VLOOKUP(A:A,Anexos!A:B,2,0)</f>
        <v>2025</v>
      </c>
      <c r="K283" s="6">
        <f>_xlfn.XLOOKUP(A:A,Anexos!A:A,Anexos!C:C,"No se encuentra",0)</f>
        <v>2</v>
      </c>
      <c r="L283" s="21" t="str">
        <f>VLOOKUP(A:A,Anexos!A:E,5,0)</f>
        <v>lunes</v>
      </c>
      <c r="M283" s="21" t="str">
        <f>VLOOKUP(A:A,Anexos!A:F,6,0)</f>
        <v>febrero</v>
      </c>
    </row>
    <row r="284" spans="1:13" x14ac:dyDescent="0.3">
      <c r="A284" s="6">
        <v>283</v>
      </c>
      <c r="B284" s="6" t="s">
        <v>27</v>
      </c>
      <c r="C284" s="1">
        <v>45373</v>
      </c>
      <c r="D284" t="s">
        <v>15</v>
      </c>
      <c r="E284" s="20">
        <v>12361</v>
      </c>
      <c r="F284" s="6">
        <v>90</v>
      </c>
      <c r="G284" t="s">
        <v>18</v>
      </c>
      <c r="H284" t="s">
        <v>23</v>
      </c>
      <c r="I284" s="20">
        <f>Origen!$F284*Origen!$E284</f>
        <v>1112490</v>
      </c>
      <c r="J284" s="6">
        <f>VLOOKUP(A:A,Anexos!A:B,2,0)</f>
        <v>2024</v>
      </c>
      <c r="K284" s="6">
        <f>_xlfn.XLOOKUP(A:A,Anexos!A:A,Anexos!C:C,"No se encuentra",0)</f>
        <v>3</v>
      </c>
      <c r="L284" s="21" t="str">
        <f>VLOOKUP(A:A,Anexos!A:E,5,0)</f>
        <v>viernes</v>
      </c>
      <c r="M284" s="21" t="str">
        <f>VLOOKUP(A:A,Anexos!A:F,6,0)</f>
        <v>marzo</v>
      </c>
    </row>
    <row r="285" spans="1:13" x14ac:dyDescent="0.3">
      <c r="A285" s="6">
        <v>284</v>
      </c>
      <c r="B285" s="6" t="s">
        <v>28</v>
      </c>
      <c r="C285" s="1">
        <v>44961</v>
      </c>
      <c r="D285" t="s">
        <v>16</v>
      </c>
      <c r="E285" s="20">
        <v>14933</v>
      </c>
      <c r="F285" s="6">
        <v>69</v>
      </c>
      <c r="G285" t="s">
        <v>19</v>
      </c>
      <c r="H285" t="s">
        <v>24</v>
      </c>
      <c r="I285" s="20">
        <f>Origen!$F285*Origen!$E285</f>
        <v>1030377</v>
      </c>
      <c r="J285" s="6">
        <f>VLOOKUP(A:A,Anexos!A:B,2,0)</f>
        <v>2023</v>
      </c>
      <c r="K285" s="6">
        <f>_xlfn.XLOOKUP(A:A,Anexos!A:A,Anexos!C:C,"No se encuentra",0)</f>
        <v>2</v>
      </c>
      <c r="L285" s="21" t="str">
        <f>VLOOKUP(A:A,Anexos!A:E,5,0)</f>
        <v>sábado</v>
      </c>
      <c r="M285" s="21" t="str">
        <f>VLOOKUP(A:A,Anexos!A:F,6,0)</f>
        <v>febrero</v>
      </c>
    </row>
    <row r="286" spans="1:13" x14ac:dyDescent="0.3">
      <c r="A286" s="6">
        <v>285</v>
      </c>
      <c r="B286" s="6" t="s">
        <v>29</v>
      </c>
      <c r="C286" s="1">
        <v>45622</v>
      </c>
      <c r="D286" t="s">
        <v>6</v>
      </c>
      <c r="E286" s="20">
        <v>15482</v>
      </c>
      <c r="F286" s="6">
        <v>95</v>
      </c>
      <c r="G286" t="s">
        <v>20</v>
      </c>
      <c r="H286" t="s">
        <v>21</v>
      </c>
      <c r="I286" s="20">
        <f>Origen!$F286*Origen!$E286</f>
        <v>1470790</v>
      </c>
      <c r="J286" s="6">
        <f>VLOOKUP(A:A,Anexos!A:B,2,0)</f>
        <v>2024</v>
      </c>
      <c r="K286" s="6">
        <f>_xlfn.XLOOKUP(A:A,Anexos!A:A,Anexos!C:C,"No se encuentra",0)</f>
        <v>11</v>
      </c>
      <c r="L286" s="21" t="str">
        <f>VLOOKUP(A:A,Anexos!A:E,5,0)</f>
        <v>martes</v>
      </c>
      <c r="M286" s="21" t="str">
        <f>VLOOKUP(A:A,Anexos!A:F,6,0)</f>
        <v>noviembre</v>
      </c>
    </row>
    <row r="287" spans="1:13" x14ac:dyDescent="0.3">
      <c r="A287" s="6">
        <v>286</v>
      </c>
      <c r="B287" s="6" t="s">
        <v>27</v>
      </c>
      <c r="C287" s="1">
        <v>45503</v>
      </c>
      <c r="D287" t="s">
        <v>7</v>
      </c>
      <c r="E287" s="20">
        <v>19159</v>
      </c>
      <c r="F287" s="6">
        <v>36</v>
      </c>
      <c r="G287" t="s">
        <v>17</v>
      </c>
      <c r="H287" t="s">
        <v>22</v>
      </c>
      <c r="I287" s="20">
        <f>Origen!$F287*Origen!$E287</f>
        <v>689724</v>
      </c>
      <c r="J287" s="6">
        <f>VLOOKUP(A:A,Anexos!A:B,2,0)</f>
        <v>2024</v>
      </c>
      <c r="K287" s="6">
        <f>_xlfn.XLOOKUP(A:A,Anexos!A:A,Anexos!C:C,"No se encuentra",0)</f>
        <v>7</v>
      </c>
      <c r="L287" s="21" t="str">
        <f>VLOOKUP(A:A,Anexos!A:E,5,0)</f>
        <v>martes</v>
      </c>
      <c r="M287" s="21" t="str">
        <f>VLOOKUP(A:A,Anexos!A:F,6,0)</f>
        <v>julio</v>
      </c>
    </row>
    <row r="288" spans="1:13" x14ac:dyDescent="0.3">
      <c r="A288" s="6">
        <v>287</v>
      </c>
      <c r="B288" s="6" t="s">
        <v>28</v>
      </c>
      <c r="C288" s="1">
        <v>46014</v>
      </c>
      <c r="D288" t="s">
        <v>8</v>
      </c>
      <c r="E288" s="20">
        <v>17523</v>
      </c>
      <c r="F288" s="6">
        <v>86</v>
      </c>
      <c r="G288" t="s">
        <v>18</v>
      </c>
      <c r="H288" t="s">
        <v>23</v>
      </c>
      <c r="I288" s="20">
        <f>Origen!$F288*Origen!$E288</f>
        <v>1506978</v>
      </c>
      <c r="J288" s="6">
        <f>VLOOKUP(A:A,Anexos!A:B,2,0)</f>
        <v>2025</v>
      </c>
      <c r="K288" s="6">
        <f>_xlfn.XLOOKUP(A:A,Anexos!A:A,Anexos!C:C,"No se encuentra",0)</f>
        <v>12</v>
      </c>
      <c r="L288" s="21" t="str">
        <f>VLOOKUP(A:A,Anexos!A:E,5,0)</f>
        <v>martes</v>
      </c>
      <c r="M288" s="21" t="str">
        <f>VLOOKUP(A:A,Anexos!A:F,6,0)</f>
        <v>diciembre</v>
      </c>
    </row>
    <row r="289" spans="1:13" x14ac:dyDescent="0.3">
      <c r="A289" s="6">
        <v>288</v>
      </c>
      <c r="B289" s="6" t="s">
        <v>29</v>
      </c>
      <c r="C289" s="1">
        <v>45852</v>
      </c>
      <c r="D289" t="s">
        <v>9</v>
      </c>
      <c r="E289" s="20">
        <v>19473</v>
      </c>
      <c r="F289" s="6">
        <v>50</v>
      </c>
      <c r="G289" t="s">
        <v>19</v>
      </c>
      <c r="H289" t="s">
        <v>24</v>
      </c>
      <c r="I289" s="20">
        <f>Origen!$F289*Origen!$E289</f>
        <v>973650</v>
      </c>
      <c r="J289" s="6">
        <f>VLOOKUP(A:A,Anexos!A:B,2,0)</f>
        <v>2025</v>
      </c>
      <c r="K289" s="6">
        <f>_xlfn.XLOOKUP(A:A,Anexos!A:A,Anexos!C:C,"No se encuentra",0)</f>
        <v>7</v>
      </c>
      <c r="L289" s="21" t="str">
        <f>VLOOKUP(A:A,Anexos!A:E,5,0)</f>
        <v>lunes</v>
      </c>
      <c r="M289" s="21" t="str">
        <f>VLOOKUP(A:A,Anexos!A:F,6,0)</f>
        <v>julio</v>
      </c>
    </row>
    <row r="290" spans="1:13" x14ac:dyDescent="0.3">
      <c r="A290" s="6">
        <v>289</v>
      </c>
      <c r="B290" s="6" t="s">
        <v>27</v>
      </c>
      <c r="C290" s="1">
        <v>45462</v>
      </c>
      <c r="D290" t="s">
        <v>10</v>
      </c>
      <c r="E290" s="20">
        <v>18811</v>
      </c>
      <c r="F290" s="6">
        <v>71</v>
      </c>
      <c r="G290" t="s">
        <v>17</v>
      </c>
      <c r="H290" t="s">
        <v>21</v>
      </c>
      <c r="I290" s="20">
        <f>Origen!$F290*Origen!$E290</f>
        <v>1335581</v>
      </c>
      <c r="J290" s="6">
        <f>VLOOKUP(A:A,Anexos!A:B,2,0)</f>
        <v>2024</v>
      </c>
      <c r="K290" s="6">
        <f>_xlfn.XLOOKUP(A:A,Anexos!A:A,Anexos!C:C,"No se encuentra",0)</f>
        <v>6</v>
      </c>
      <c r="L290" s="21" t="str">
        <f>VLOOKUP(A:A,Anexos!A:E,5,0)</f>
        <v>miércoles</v>
      </c>
      <c r="M290" s="21" t="str">
        <f>VLOOKUP(A:A,Anexos!A:F,6,0)</f>
        <v>junio</v>
      </c>
    </row>
    <row r="291" spans="1:13" x14ac:dyDescent="0.3">
      <c r="A291" s="6">
        <v>290</v>
      </c>
      <c r="B291" s="6" t="s">
        <v>28</v>
      </c>
      <c r="C291" s="1">
        <v>45487</v>
      </c>
      <c r="D291" t="s">
        <v>11</v>
      </c>
      <c r="E291" s="20">
        <v>19176</v>
      </c>
      <c r="F291" s="6">
        <v>91</v>
      </c>
      <c r="G291" t="s">
        <v>18</v>
      </c>
      <c r="H291" t="s">
        <v>22</v>
      </c>
      <c r="I291" s="20">
        <f>Origen!$F291*Origen!$E291</f>
        <v>1745016</v>
      </c>
      <c r="J291" s="6">
        <f>VLOOKUP(A:A,Anexos!A:B,2,0)</f>
        <v>2024</v>
      </c>
      <c r="K291" s="6">
        <f>_xlfn.XLOOKUP(A:A,Anexos!A:A,Anexos!C:C,"No se encuentra",0)</f>
        <v>7</v>
      </c>
      <c r="L291" s="21" t="str">
        <f>VLOOKUP(A:A,Anexos!A:E,5,0)</f>
        <v>domingo</v>
      </c>
      <c r="M291" s="21" t="str">
        <f>VLOOKUP(A:A,Anexos!A:F,6,0)</f>
        <v>julio</v>
      </c>
    </row>
    <row r="292" spans="1:13" x14ac:dyDescent="0.3">
      <c r="A292" s="6">
        <v>291</v>
      </c>
      <c r="B292" s="6" t="s">
        <v>29</v>
      </c>
      <c r="C292" s="1">
        <v>45882</v>
      </c>
      <c r="D292" t="s">
        <v>12</v>
      </c>
      <c r="E292" s="20">
        <v>18185</v>
      </c>
      <c r="F292" s="6">
        <v>54</v>
      </c>
      <c r="G292" t="s">
        <v>19</v>
      </c>
      <c r="H292" t="s">
        <v>23</v>
      </c>
      <c r="I292" s="20">
        <f>Origen!$F292*Origen!$E292</f>
        <v>981990</v>
      </c>
      <c r="J292" s="6">
        <f>VLOOKUP(A:A,Anexos!A:B,2,0)</f>
        <v>2025</v>
      </c>
      <c r="K292" s="6">
        <f>_xlfn.XLOOKUP(A:A,Anexos!A:A,Anexos!C:C,"No se encuentra",0)</f>
        <v>8</v>
      </c>
      <c r="L292" s="21" t="str">
        <f>VLOOKUP(A:A,Anexos!A:E,5,0)</f>
        <v>miércoles</v>
      </c>
      <c r="M292" s="21" t="str">
        <f>VLOOKUP(A:A,Anexos!A:F,6,0)</f>
        <v>agosto</v>
      </c>
    </row>
    <row r="293" spans="1:13" x14ac:dyDescent="0.3">
      <c r="A293" s="6">
        <v>292</v>
      </c>
      <c r="B293" s="6" t="s">
        <v>27</v>
      </c>
      <c r="C293" s="1">
        <v>45699</v>
      </c>
      <c r="D293" t="s">
        <v>13</v>
      </c>
      <c r="E293" s="20">
        <v>15045</v>
      </c>
      <c r="F293" s="6">
        <v>11</v>
      </c>
      <c r="G293" t="s">
        <v>20</v>
      </c>
      <c r="H293" t="s">
        <v>24</v>
      </c>
      <c r="I293" s="20">
        <f>Origen!$F293*Origen!$E293</f>
        <v>165495</v>
      </c>
      <c r="J293" s="6">
        <f>VLOOKUP(A:A,Anexos!A:B,2,0)</f>
        <v>2025</v>
      </c>
      <c r="K293" s="6">
        <f>_xlfn.XLOOKUP(A:A,Anexos!A:A,Anexos!C:C,"No se encuentra",0)</f>
        <v>2</v>
      </c>
      <c r="L293" s="21" t="str">
        <f>VLOOKUP(A:A,Anexos!A:E,5,0)</f>
        <v>martes</v>
      </c>
      <c r="M293" s="21" t="str">
        <f>VLOOKUP(A:A,Anexos!A:F,6,0)</f>
        <v>febrero</v>
      </c>
    </row>
    <row r="294" spans="1:13" x14ac:dyDescent="0.3">
      <c r="A294" s="6">
        <v>293</v>
      </c>
      <c r="B294" s="6" t="s">
        <v>28</v>
      </c>
      <c r="C294" s="1">
        <v>45942</v>
      </c>
      <c r="D294" t="s">
        <v>12</v>
      </c>
      <c r="E294" s="20">
        <v>18185</v>
      </c>
      <c r="F294" s="6">
        <v>47</v>
      </c>
      <c r="G294" t="s">
        <v>17</v>
      </c>
      <c r="H294" t="s">
        <v>21</v>
      </c>
      <c r="I294" s="20">
        <f>Origen!$F294*Origen!$E294</f>
        <v>854695</v>
      </c>
      <c r="J294" s="6">
        <f>VLOOKUP(A:A,Anexos!A:B,2,0)</f>
        <v>2025</v>
      </c>
      <c r="K294" s="6">
        <f>_xlfn.XLOOKUP(A:A,Anexos!A:A,Anexos!C:C,"No se encuentra",0)</f>
        <v>10</v>
      </c>
      <c r="L294" s="21" t="str">
        <f>VLOOKUP(A:A,Anexos!A:E,5,0)</f>
        <v>domingo</v>
      </c>
      <c r="M294" s="21" t="str">
        <f>VLOOKUP(A:A,Anexos!A:F,6,0)</f>
        <v>octubre</v>
      </c>
    </row>
    <row r="295" spans="1:13" x14ac:dyDescent="0.3">
      <c r="A295" s="6">
        <v>294</v>
      </c>
      <c r="B295" s="6" t="s">
        <v>29</v>
      </c>
      <c r="C295" s="1">
        <v>45990</v>
      </c>
      <c r="D295" t="s">
        <v>13</v>
      </c>
      <c r="E295" s="20">
        <v>15045</v>
      </c>
      <c r="F295" s="6">
        <v>47</v>
      </c>
      <c r="G295" t="s">
        <v>18</v>
      </c>
      <c r="H295" t="s">
        <v>22</v>
      </c>
      <c r="I295" s="20">
        <f>Origen!$F295*Origen!$E295</f>
        <v>707115</v>
      </c>
      <c r="J295" s="6">
        <f>VLOOKUP(A:A,Anexos!A:B,2,0)</f>
        <v>2025</v>
      </c>
      <c r="K295" s="6">
        <f>_xlfn.XLOOKUP(A:A,Anexos!A:A,Anexos!C:C,"No se encuentra",0)</f>
        <v>11</v>
      </c>
      <c r="L295" s="21" t="str">
        <f>VLOOKUP(A:A,Anexos!A:E,5,0)</f>
        <v>sábado</v>
      </c>
      <c r="M295" s="21" t="str">
        <f>VLOOKUP(A:A,Anexos!A:F,6,0)</f>
        <v>noviembre</v>
      </c>
    </row>
    <row r="296" spans="1:13" x14ac:dyDescent="0.3">
      <c r="A296" s="6">
        <v>295</v>
      </c>
      <c r="B296" s="6" t="s">
        <v>27</v>
      </c>
      <c r="C296" s="1">
        <v>45694</v>
      </c>
      <c r="D296" t="s">
        <v>14</v>
      </c>
      <c r="E296" s="20">
        <v>14271</v>
      </c>
      <c r="F296" s="6">
        <v>29</v>
      </c>
      <c r="G296" t="s">
        <v>19</v>
      </c>
      <c r="H296" t="s">
        <v>23</v>
      </c>
      <c r="I296" s="20">
        <f>Origen!$F296*Origen!$E296</f>
        <v>413859</v>
      </c>
      <c r="J296" s="6">
        <f>VLOOKUP(A:A,Anexos!A:B,2,0)</f>
        <v>2025</v>
      </c>
      <c r="K296" s="6">
        <f>_xlfn.XLOOKUP(A:A,Anexos!A:A,Anexos!C:C,"No se encuentra",0)</f>
        <v>2</v>
      </c>
      <c r="L296" s="21" t="str">
        <f>VLOOKUP(A:A,Anexos!A:E,5,0)</f>
        <v>jueves</v>
      </c>
      <c r="M296" s="21" t="str">
        <f>VLOOKUP(A:A,Anexos!A:F,6,0)</f>
        <v>febrero</v>
      </c>
    </row>
    <row r="297" spans="1:13" x14ac:dyDescent="0.3">
      <c r="A297" s="6">
        <v>296</v>
      </c>
      <c r="B297" s="6" t="s">
        <v>28</v>
      </c>
      <c r="C297" s="1">
        <v>45872</v>
      </c>
      <c r="D297" t="s">
        <v>15</v>
      </c>
      <c r="E297" s="20">
        <v>12361</v>
      </c>
      <c r="F297" s="6">
        <v>96</v>
      </c>
      <c r="G297" t="s">
        <v>20</v>
      </c>
      <c r="H297" t="s">
        <v>24</v>
      </c>
      <c r="I297" s="20">
        <f>Origen!$F297*Origen!$E297</f>
        <v>1186656</v>
      </c>
      <c r="J297" s="6">
        <f>VLOOKUP(A:A,Anexos!A:B,2,0)</f>
        <v>2025</v>
      </c>
      <c r="K297" s="6">
        <f>_xlfn.XLOOKUP(A:A,Anexos!A:A,Anexos!C:C,"No se encuentra",0)</f>
        <v>8</v>
      </c>
      <c r="L297" s="21" t="str">
        <f>VLOOKUP(A:A,Anexos!A:E,5,0)</f>
        <v>domingo</v>
      </c>
      <c r="M297" s="21" t="str">
        <f>VLOOKUP(A:A,Anexos!A:F,6,0)</f>
        <v>agosto</v>
      </c>
    </row>
    <row r="298" spans="1:13" x14ac:dyDescent="0.3">
      <c r="A298" s="6">
        <v>297</v>
      </c>
      <c r="B298" s="6" t="s">
        <v>29</v>
      </c>
      <c r="C298" s="1">
        <v>45830</v>
      </c>
      <c r="D298" t="s">
        <v>16</v>
      </c>
      <c r="E298" s="20">
        <v>14933</v>
      </c>
      <c r="F298" s="6">
        <v>19</v>
      </c>
      <c r="G298" t="s">
        <v>17</v>
      </c>
      <c r="H298" t="s">
        <v>21</v>
      </c>
      <c r="I298" s="20">
        <f>Origen!$F298*Origen!$E298</f>
        <v>283727</v>
      </c>
      <c r="J298" s="6">
        <f>VLOOKUP(A:A,Anexos!A:B,2,0)</f>
        <v>2025</v>
      </c>
      <c r="K298" s="6">
        <f>_xlfn.XLOOKUP(A:A,Anexos!A:A,Anexos!C:C,"No se encuentra",0)</f>
        <v>6</v>
      </c>
      <c r="L298" s="21" t="str">
        <f>VLOOKUP(A:A,Anexos!A:E,5,0)</f>
        <v>domingo</v>
      </c>
      <c r="M298" s="21" t="str">
        <f>VLOOKUP(A:A,Anexos!A:F,6,0)</f>
        <v>junio</v>
      </c>
    </row>
    <row r="299" spans="1:13" x14ac:dyDescent="0.3">
      <c r="A299" s="6">
        <v>298</v>
      </c>
      <c r="B299" s="6" t="s">
        <v>27</v>
      </c>
      <c r="C299" s="1">
        <v>45981</v>
      </c>
      <c r="D299" t="s">
        <v>11</v>
      </c>
      <c r="E299" s="20">
        <v>19176</v>
      </c>
      <c r="F299" s="6">
        <v>72</v>
      </c>
      <c r="G299" t="s">
        <v>18</v>
      </c>
      <c r="H299" t="s">
        <v>22</v>
      </c>
      <c r="I299" s="20">
        <f>Origen!$F299*Origen!$E299</f>
        <v>1380672</v>
      </c>
      <c r="J299" s="6">
        <f>VLOOKUP(A:A,Anexos!A:B,2,0)</f>
        <v>2025</v>
      </c>
      <c r="K299" s="6">
        <f>_xlfn.XLOOKUP(A:A,Anexos!A:A,Anexos!C:C,"No se encuentra",0)</f>
        <v>11</v>
      </c>
      <c r="L299" s="21" t="str">
        <f>VLOOKUP(A:A,Anexos!A:E,5,0)</f>
        <v>jueves</v>
      </c>
      <c r="M299" s="21" t="str">
        <f>VLOOKUP(A:A,Anexos!A:F,6,0)</f>
        <v>noviembre</v>
      </c>
    </row>
    <row r="300" spans="1:13" x14ac:dyDescent="0.3">
      <c r="A300" s="6">
        <v>299</v>
      </c>
      <c r="B300" s="6" t="s">
        <v>28</v>
      </c>
      <c r="C300" s="1">
        <v>45904</v>
      </c>
      <c r="D300" t="s">
        <v>12</v>
      </c>
      <c r="E300" s="20">
        <v>18185</v>
      </c>
      <c r="F300" s="6">
        <v>67</v>
      </c>
      <c r="G300" t="s">
        <v>19</v>
      </c>
      <c r="H300" t="s">
        <v>23</v>
      </c>
      <c r="I300" s="20">
        <f>Origen!$F300*Origen!$E300</f>
        <v>1218395</v>
      </c>
      <c r="J300" s="6">
        <f>VLOOKUP(A:A,Anexos!A:B,2,0)</f>
        <v>2025</v>
      </c>
      <c r="K300" s="6">
        <f>_xlfn.XLOOKUP(A:A,Anexos!A:A,Anexos!C:C,"No se encuentra",0)</f>
        <v>9</v>
      </c>
      <c r="L300" s="21" t="str">
        <f>VLOOKUP(A:A,Anexos!A:E,5,0)</f>
        <v>jueves</v>
      </c>
      <c r="M300" s="21" t="str">
        <f>VLOOKUP(A:A,Anexos!A:F,6,0)</f>
        <v>septiembre</v>
      </c>
    </row>
    <row r="301" spans="1:13" x14ac:dyDescent="0.3">
      <c r="A301" s="6">
        <v>300</v>
      </c>
      <c r="B301" s="6" t="s">
        <v>29</v>
      </c>
      <c r="C301" s="1">
        <v>45160</v>
      </c>
      <c r="D301" t="s">
        <v>13</v>
      </c>
      <c r="E301" s="20">
        <v>15045</v>
      </c>
      <c r="F301" s="6">
        <v>85</v>
      </c>
      <c r="G301" t="s">
        <v>20</v>
      </c>
      <c r="H301" t="s">
        <v>24</v>
      </c>
      <c r="I301" s="20">
        <f>Origen!$F301*Origen!$E301</f>
        <v>1278825</v>
      </c>
      <c r="J301" s="6">
        <f>VLOOKUP(A:A,Anexos!A:B,2,0)</f>
        <v>2023</v>
      </c>
      <c r="K301" s="6">
        <f>_xlfn.XLOOKUP(A:A,Anexos!A:A,Anexos!C:C,"No se encuentra",0)</f>
        <v>8</v>
      </c>
      <c r="L301" s="21" t="str">
        <f>VLOOKUP(A:A,Anexos!A:E,5,0)</f>
        <v>martes</v>
      </c>
      <c r="M301" s="21" t="str">
        <f>VLOOKUP(A:A,Anexos!A:F,6,0)</f>
        <v>agosto</v>
      </c>
    </row>
    <row r="302" spans="1:13" x14ac:dyDescent="0.3">
      <c r="A302" s="6">
        <v>301</v>
      </c>
      <c r="B302" s="6" t="s">
        <v>27</v>
      </c>
      <c r="C302" s="1">
        <v>45479</v>
      </c>
      <c r="D302" t="s">
        <v>14</v>
      </c>
      <c r="E302" s="20">
        <v>14271</v>
      </c>
      <c r="F302" s="6">
        <v>40</v>
      </c>
      <c r="G302" t="s">
        <v>17</v>
      </c>
      <c r="H302" t="s">
        <v>21</v>
      </c>
      <c r="I302" s="20">
        <f>Origen!$F302*Origen!$E302</f>
        <v>570840</v>
      </c>
      <c r="J302" s="6">
        <f>VLOOKUP(A:A,Anexos!A:B,2,0)</f>
        <v>2024</v>
      </c>
      <c r="K302" s="6">
        <f>_xlfn.XLOOKUP(A:A,Anexos!A:A,Anexos!C:C,"No se encuentra",0)</f>
        <v>7</v>
      </c>
      <c r="L302" s="21" t="str">
        <f>VLOOKUP(A:A,Anexos!A:E,5,0)</f>
        <v>sábado</v>
      </c>
      <c r="M302" s="21" t="str">
        <f>VLOOKUP(A:A,Anexos!A:F,6,0)</f>
        <v>julio</v>
      </c>
    </row>
    <row r="303" spans="1:13" x14ac:dyDescent="0.3">
      <c r="A303" s="6">
        <v>302</v>
      </c>
      <c r="B303" s="6" t="s">
        <v>28</v>
      </c>
      <c r="C303" s="1">
        <v>46005</v>
      </c>
      <c r="D303" t="s">
        <v>15</v>
      </c>
      <c r="E303" s="20">
        <v>12361</v>
      </c>
      <c r="F303" s="6">
        <v>29</v>
      </c>
      <c r="G303" t="s">
        <v>18</v>
      </c>
      <c r="H303" t="s">
        <v>22</v>
      </c>
      <c r="I303" s="20">
        <f>Origen!$F303*Origen!$E303</f>
        <v>358469</v>
      </c>
      <c r="J303" s="6">
        <f>VLOOKUP(A:A,Anexos!A:B,2,0)</f>
        <v>2025</v>
      </c>
      <c r="K303" s="6">
        <f>_xlfn.XLOOKUP(A:A,Anexos!A:A,Anexos!C:C,"No se encuentra",0)</f>
        <v>12</v>
      </c>
      <c r="L303" s="21" t="str">
        <f>VLOOKUP(A:A,Anexos!A:E,5,0)</f>
        <v>domingo</v>
      </c>
      <c r="M303" s="21" t="str">
        <f>VLOOKUP(A:A,Anexos!A:F,6,0)</f>
        <v>diciembre</v>
      </c>
    </row>
    <row r="304" spans="1:13" x14ac:dyDescent="0.3">
      <c r="A304" s="6">
        <v>303</v>
      </c>
      <c r="B304" s="6" t="s">
        <v>29</v>
      </c>
      <c r="C304" s="1">
        <v>45050</v>
      </c>
      <c r="D304" t="s">
        <v>16</v>
      </c>
      <c r="E304" s="20">
        <v>14933</v>
      </c>
      <c r="F304" s="6">
        <v>66</v>
      </c>
      <c r="G304" t="s">
        <v>19</v>
      </c>
      <c r="H304" t="s">
        <v>23</v>
      </c>
      <c r="I304" s="20">
        <f>Origen!$F304*Origen!$E304</f>
        <v>985578</v>
      </c>
      <c r="J304" s="6">
        <f>VLOOKUP(A:A,Anexos!A:B,2,0)</f>
        <v>2023</v>
      </c>
      <c r="K304" s="6">
        <f>_xlfn.XLOOKUP(A:A,Anexos!A:A,Anexos!C:C,"No se encuentra",0)</f>
        <v>5</v>
      </c>
      <c r="L304" s="21" t="str">
        <f>VLOOKUP(A:A,Anexos!A:E,5,0)</f>
        <v>jueves</v>
      </c>
      <c r="M304" s="21" t="str">
        <f>VLOOKUP(A:A,Anexos!A:F,6,0)</f>
        <v>mayo</v>
      </c>
    </row>
    <row r="305" spans="1:13" x14ac:dyDescent="0.3">
      <c r="A305" s="6">
        <v>304</v>
      </c>
      <c r="B305" s="6" t="s">
        <v>27</v>
      </c>
      <c r="C305" s="1">
        <v>45854</v>
      </c>
      <c r="D305" t="s">
        <v>6</v>
      </c>
      <c r="E305" s="20">
        <v>15482</v>
      </c>
      <c r="F305" s="6">
        <v>59</v>
      </c>
      <c r="G305" t="s">
        <v>17</v>
      </c>
      <c r="H305" t="s">
        <v>24</v>
      </c>
      <c r="I305" s="20">
        <f>Origen!$F305*Origen!$E305</f>
        <v>913438</v>
      </c>
      <c r="J305" s="6">
        <f>VLOOKUP(A:A,Anexos!A:B,2,0)</f>
        <v>2025</v>
      </c>
      <c r="K305" s="6">
        <f>_xlfn.XLOOKUP(A:A,Anexos!A:A,Anexos!C:C,"No se encuentra",0)</f>
        <v>7</v>
      </c>
      <c r="L305" s="21" t="str">
        <f>VLOOKUP(A:A,Anexos!A:E,5,0)</f>
        <v>miércoles</v>
      </c>
      <c r="M305" s="21" t="str">
        <f>VLOOKUP(A:A,Anexos!A:F,6,0)</f>
        <v>julio</v>
      </c>
    </row>
    <row r="306" spans="1:13" x14ac:dyDescent="0.3">
      <c r="A306" s="6">
        <v>305</v>
      </c>
      <c r="B306" s="6" t="s">
        <v>28</v>
      </c>
      <c r="C306" s="1">
        <v>45827</v>
      </c>
      <c r="D306" t="s">
        <v>7</v>
      </c>
      <c r="E306" s="20">
        <v>19159</v>
      </c>
      <c r="F306" s="6">
        <v>17</v>
      </c>
      <c r="G306" t="s">
        <v>18</v>
      </c>
      <c r="H306" t="s">
        <v>21</v>
      </c>
      <c r="I306" s="20">
        <f>Origen!$F306*Origen!$E306</f>
        <v>325703</v>
      </c>
      <c r="J306" s="6">
        <f>VLOOKUP(A:A,Anexos!A:B,2,0)</f>
        <v>2025</v>
      </c>
      <c r="K306" s="6">
        <f>_xlfn.XLOOKUP(A:A,Anexos!A:A,Anexos!C:C,"No se encuentra",0)</f>
        <v>6</v>
      </c>
      <c r="L306" s="21" t="str">
        <f>VLOOKUP(A:A,Anexos!A:E,5,0)</f>
        <v>jueves</v>
      </c>
      <c r="M306" s="21" t="str">
        <f>VLOOKUP(A:A,Anexos!A:F,6,0)</f>
        <v>junio</v>
      </c>
    </row>
    <row r="307" spans="1:13" x14ac:dyDescent="0.3">
      <c r="A307" s="6">
        <v>306</v>
      </c>
      <c r="B307" s="6" t="s">
        <v>29</v>
      </c>
      <c r="C307" s="1">
        <v>45962</v>
      </c>
      <c r="D307" t="s">
        <v>8</v>
      </c>
      <c r="E307" s="20">
        <v>17523</v>
      </c>
      <c r="F307" s="6">
        <v>38</v>
      </c>
      <c r="G307" t="s">
        <v>19</v>
      </c>
      <c r="H307" t="s">
        <v>22</v>
      </c>
      <c r="I307" s="20">
        <f>Origen!$F307*Origen!$E307</f>
        <v>665874</v>
      </c>
      <c r="J307" s="6">
        <f>VLOOKUP(A:A,Anexos!A:B,2,0)</f>
        <v>2025</v>
      </c>
      <c r="K307" s="6">
        <f>_xlfn.XLOOKUP(A:A,Anexos!A:A,Anexos!C:C,"No se encuentra",0)</f>
        <v>11</v>
      </c>
      <c r="L307" s="21" t="str">
        <f>VLOOKUP(A:A,Anexos!A:E,5,0)</f>
        <v>sábado</v>
      </c>
      <c r="M307" s="21" t="str">
        <f>VLOOKUP(A:A,Anexos!A:F,6,0)</f>
        <v>noviembre</v>
      </c>
    </row>
    <row r="308" spans="1:13" x14ac:dyDescent="0.3">
      <c r="A308" s="6">
        <v>307</v>
      </c>
      <c r="B308" s="6" t="s">
        <v>27</v>
      </c>
      <c r="C308" s="1">
        <v>45724</v>
      </c>
      <c r="D308" t="s">
        <v>9</v>
      </c>
      <c r="E308" s="20">
        <v>19473</v>
      </c>
      <c r="F308" s="6">
        <v>100</v>
      </c>
      <c r="G308" t="s">
        <v>20</v>
      </c>
      <c r="H308" t="s">
        <v>23</v>
      </c>
      <c r="I308" s="20">
        <f>Origen!$F308*Origen!$E308</f>
        <v>1947300</v>
      </c>
      <c r="J308" s="6">
        <f>VLOOKUP(A:A,Anexos!A:B,2,0)</f>
        <v>2025</v>
      </c>
      <c r="K308" s="6">
        <f>_xlfn.XLOOKUP(A:A,Anexos!A:A,Anexos!C:C,"No se encuentra",0)</f>
        <v>3</v>
      </c>
      <c r="L308" s="21" t="str">
        <f>VLOOKUP(A:A,Anexos!A:E,5,0)</f>
        <v>sábado</v>
      </c>
      <c r="M308" s="21" t="str">
        <f>VLOOKUP(A:A,Anexos!A:F,6,0)</f>
        <v>marzo</v>
      </c>
    </row>
    <row r="309" spans="1:13" x14ac:dyDescent="0.3">
      <c r="A309" s="6">
        <v>308</v>
      </c>
      <c r="B309" s="6" t="s">
        <v>28</v>
      </c>
      <c r="C309" s="1">
        <v>45817</v>
      </c>
      <c r="D309" t="s">
        <v>10</v>
      </c>
      <c r="E309" s="20">
        <v>18811</v>
      </c>
      <c r="F309" s="6">
        <v>56</v>
      </c>
      <c r="G309" t="s">
        <v>17</v>
      </c>
      <c r="H309" t="s">
        <v>24</v>
      </c>
      <c r="I309" s="20">
        <f>Origen!$F309*Origen!$E309</f>
        <v>1053416</v>
      </c>
      <c r="J309" s="6">
        <f>VLOOKUP(A:A,Anexos!A:B,2,0)</f>
        <v>2025</v>
      </c>
      <c r="K309" s="6">
        <f>_xlfn.XLOOKUP(A:A,Anexos!A:A,Anexos!C:C,"No se encuentra",0)</f>
        <v>6</v>
      </c>
      <c r="L309" s="21" t="str">
        <f>VLOOKUP(A:A,Anexos!A:E,5,0)</f>
        <v>lunes</v>
      </c>
      <c r="M309" s="21" t="str">
        <f>VLOOKUP(A:A,Anexos!A:F,6,0)</f>
        <v>junio</v>
      </c>
    </row>
    <row r="310" spans="1:13" x14ac:dyDescent="0.3">
      <c r="A310" s="6">
        <v>309</v>
      </c>
      <c r="B310" s="6" t="s">
        <v>29</v>
      </c>
      <c r="C310" s="1">
        <v>45904</v>
      </c>
      <c r="D310" t="s">
        <v>11</v>
      </c>
      <c r="E310" s="20">
        <v>19176</v>
      </c>
      <c r="F310" s="6">
        <v>89</v>
      </c>
      <c r="G310" t="s">
        <v>18</v>
      </c>
      <c r="H310" t="s">
        <v>21</v>
      </c>
      <c r="I310" s="20">
        <f>Origen!$F310*Origen!$E310</f>
        <v>1706664</v>
      </c>
      <c r="J310" s="6">
        <f>VLOOKUP(A:A,Anexos!A:B,2,0)</f>
        <v>2025</v>
      </c>
      <c r="K310" s="6">
        <f>_xlfn.XLOOKUP(A:A,Anexos!A:A,Anexos!C:C,"No se encuentra",0)</f>
        <v>9</v>
      </c>
      <c r="L310" s="21" t="str">
        <f>VLOOKUP(A:A,Anexos!A:E,5,0)</f>
        <v>jueves</v>
      </c>
      <c r="M310" s="21" t="str">
        <f>VLOOKUP(A:A,Anexos!A:F,6,0)</f>
        <v>septiembre</v>
      </c>
    </row>
    <row r="311" spans="1:13" x14ac:dyDescent="0.3">
      <c r="A311" s="6">
        <v>310</v>
      </c>
      <c r="B311" s="6" t="s">
        <v>27</v>
      </c>
      <c r="C311" s="1">
        <v>45760</v>
      </c>
      <c r="D311" t="s">
        <v>12</v>
      </c>
      <c r="E311" s="20">
        <v>18185</v>
      </c>
      <c r="F311" s="6">
        <v>25</v>
      </c>
      <c r="G311" t="s">
        <v>19</v>
      </c>
      <c r="H311" t="s">
        <v>22</v>
      </c>
      <c r="I311" s="20">
        <f>Origen!$F311*Origen!$E311</f>
        <v>454625</v>
      </c>
      <c r="J311" s="6">
        <f>VLOOKUP(A:A,Anexos!A:B,2,0)</f>
        <v>2025</v>
      </c>
      <c r="K311" s="6">
        <f>_xlfn.XLOOKUP(A:A,Anexos!A:A,Anexos!C:C,"No se encuentra",0)</f>
        <v>4</v>
      </c>
      <c r="L311" s="21" t="str">
        <f>VLOOKUP(A:A,Anexos!A:E,5,0)</f>
        <v>domingo</v>
      </c>
      <c r="M311" s="21" t="str">
        <f>VLOOKUP(A:A,Anexos!A:F,6,0)</f>
        <v>abril</v>
      </c>
    </row>
    <row r="312" spans="1:13" x14ac:dyDescent="0.3">
      <c r="A312" s="6">
        <v>311</v>
      </c>
      <c r="B312" s="6" t="s">
        <v>28</v>
      </c>
      <c r="C312" s="1">
        <v>45067</v>
      </c>
      <c r="D312" t="s">
        <v>13</v>
      </c>
      <c r="E312" s="20">
        <v>15045</v>
      </c>
      <c r="F312" s="6">
        <v>63</v>
      </c>
      <c r="G312" t="s">
        <v>20</v>
      </c>
      <c r="H312" t="s">
        <v>23</v>
      </c>
      <c r="I312" s="20">
        <f>Origen!$F312*Origen!$E312</f>
        <v>947835</v>
      </c>
      <c r="J312" s="6">
        <f>VLOOKUP(A:A,Anexos!A:B,2,0)</f>
        <v>2023</v>
      </c>
      <c r="K312" s="6">
        <f>_xlfn.XLOOKUP(A:A,Anexos!A:A,Anexos!C:C,"No se encuentra",0)</f>
        <v>5</v>
      </c>
      <c r="L312" s="21" t="str">
        <f>VLOOKUP(A:A,Anexos!A:E,5,0)</f>
        <v>domingo</v>
      </c>
      <c r="M312" s="21" t="str">
        <f>VLOOKUP(A:A,Anexos!A:F,6,0)</f>
        <v>mayo</v>
      </c>
    </row>
    <row r="313" spans="1:13" x14ac:dyDescent="0.3">
      <c r="A313" s="6">
        <v>312</v>
      </c>
      <c r="B313" s="6" t="s">
        <v>29</v>
      </c>
      <c r="C313" s="1">
        <v>45830</v>
      </c>
      <c r="D313" t="s">
        <v>6</v>
      </c>
      <c r="E313" s="20">
        <v>15482</v>
      </c>
      <c r="F313" s="6">
        <v>24</v>
      </c>
      <c r="G313" t="s">
        <v>17</v>
      </c>
      <c r="H313" t="s">
        <v>24</v>
      </c>
      <c r="I313" s="20">
        <f>Origen!$F313*Origen!$E313</f>
        <v>371568</v>
      </c>
      <c r="J313" s="6">
        <f>VLOOKUP(A:A,Anexos!A:B,2,0)</f>
        <v>2025</v>
      </c>
      <c r="K313" s="6">
        <f>_xlfn.XLOOKUP(A:A,Anexos!A:A,Anexos!C:C,"No se encuentra",0)</f>
        <v>6</v>
      </c>
      <c r="L313" s="21" t="str">
        <f>VLOOKUP(A:A,Anexos!A:E,5,0)</f>
        <v>domingo</v>
      </c>
      <c r="M313" s="21" t="str">
        <f>VLOOKUP(A:A,Anexos!A:F,6,0)</f>
        <v>junio</v>
      </c>
    </row>
    <row r="314" spans="1:13" x14ac:dyDescent="0.3">
      <c r="A314" s="6">
        <v>313</v>
      </c>
      <c r="B314" s="6" t="s">
        <v>27</v>
      </c>
      <c r="C314" s="1">
        <v>44984</v>
      </c>
      <c r="D314" t="s">
        <v>7</v>
      </c>
      <c r="E314" s="20">
        <v>19159</v>
      </c>
      <c r="F314" s="6">
        <v>28</v>
      </c>
      <c r="G314" t="s">
        <v>18</v>
      </c>
      <c r="H314" t="s">
        <v>21</v>
      </c>
      <c r="I314" s="20">
        <f>Origen!$F314*Origen!$E314</f>
        <v>536452</v>
      </c>
      <c r="J314" s="6">
        <f>VLOOKUP(A:A,Anexos!A:B,2,0)</f>
        <v>2023</v>
      </c>
      <c r="K314" s="6">
        <f>_xlfn.XLOOKUP(A:A,Anexos!A:A,Anexos!C:C,"No se encuentra",0)</f>
        <v>2</v>
      </c>
      <c r="L314" s="21" t="str">
        <f>VLOOKUP(A:A,Anexos!A:E,5,0)</f>
        <v>lunes</v>
      </c>
      <c r="M314" s="21" t="str">
        <f>VLOOKUP(A:A,Anexos!A:F,6,0)</f>
        <v>febrero</v>
      </c>
    </row>
    <row r="315" spans="1:13" x14ac:dyDescent="0.3">
      <c r="A315" s="6">
        <v>314</v>
      </c>
      <c r="B315" s="6" t="s">
        <v>28</v>
      </c>
      <c r="C315" s="1">
        <v>45955</v>
      </c>
      <c r="D315" t="s">
        <v>6</v>
      </c>
      <c r="E315" s="20">
        <v>15482</v>
      </c>
      <c r="F315" s="6">
        <v>87</v>
      </c>
      <c r="G315" t="s">
        <v>19</v>
      </c>
      <c r="H315" t="s">
        <v>22</v>
      </c>
      <c r="I315" s="20">
        <f>Origen!$F315*Origen!$E315</f>
        <v>1346934</v>
      </c>
      <c r="J315" s="6">
        <f>VLOOKUP(A:A,Anexos!A:B,2,0)</f>
        <v>2025</v>
      </c>
      <c r="K315" s="6">
        <f>_xlfn.XLOOKUP(A:A,Anexos!A:A,Anexos!C:C,"No se encuentra",0)</f>
        <v>10</v>
      </c>
      <c r="L315" s="21" t="str">
        <f>VLOOKUP(A:A,Anexos!A:E,5,0)</f>
        <v>sábado</v>
      </c>
      <c r="M315" s="21" t="str">
        <f>VLOOKUP(A:A,Anexos!A:F,6,0)</f>
        <v>octubre</v>
      </c>
    </row>
    <row r="316" spans="1:13" x14ac:dyDescent="0.3">
      <c r="A316" s="6">
        <v>315</v>
      </c>
      <c r="B316" s="6" t="s">
        <v>29</v>
      </c>
      <c r="C316" s="1">
        <v>45670</v>
      </c>
      <c r="D316" t="s">
        <v>7</v>
      </c>
      <c r="E316" s="20">
        <v>19159</v>
      </c>
      <c r="F316" s="6">
        <v>33</v>
      </c>
      <c r="G316" t="s">
        <v>20</v>
      </c>
      <c r="H316" t="s">
        <v>23</v>
      </c>
      <c r="I316" s="20">
        <f>Origen!$F316*Origen!$E316</f>
        <v>632247</v>
      </c>
      <c r="J316" s="6">
        <f>VLOOKUP(A:A,Anexos!A:B,2,0)</f>
        <v>2025</v>
      </c>
      <c r="K316" s="6">
        <f>_xlfn.XLOOKUP(A:A,Anexos!A:A,Anexos!C:C,"No se encuentra",0)</f>
        <v>1</v>
      </c>
      <c r="L316" s="21" t="str">
        <f>VLOOKUP(A:A,Anexos!A:E,5,0)</f>
        <v>lunes</v>
      </c>
      <c r="M316" s="21" t="str">
        <f>VLOOKUP(A:A,Anexos!A:F,6,0)</f>
        <v>enero</v>
      </c>
    </row>
    <row r="317" spans="1:13" x14ac:dyDescent="0.3">
      <c r="A317" s="6">
        <v>316</v>
      </c>
      <c r="B317" s="6" t="s">
        <v>27</v>
      </c>
      <c r="C317" s="1">
        <v>45963</v>
      </c>
      <c r="D317" t="s">
        <v>8</v>
      </c>
      <c r="E317" s="20">
        <v>17523</v>
      </c>
      <c r="F317" s="6">
        <v>90</v>
      </c>
      <c r="G317" t="s">
        <v>17</v>
      </c>
      <c r="H317" t="s">
        <v>24</v>
      </c>
      <c r="I317" s="20">
        <f>Origen!$F317*Origen!$E317</f>
        <v>1577070</v>
      </c>
      <c r="J317" s="6">
        <f>VLOOKUP(A:A,Anexos!A:B,2,0)</f>
        <v>2025</v>
      </c>
      <c r="K317" s="6">
        <f>_xlfn.XLOOKUP(A:A,Anexos!A:A,Anexos!C:C,"No se encuentra",0)</f>
        <v>11</v>
      </c>
      <c r="L317" s="21" t="str">
        <f>VLOOKUP(A:A,Anexos!A:E,5,0)</f>
        <v>domingo</v>
      </c>
      <c r="M317" s="21" t="str">
        <f>VLOOKUP(A:A,Anexos!A:F,6,0)</f>
        <v>noviembre</v>
      </c>
    </row>
    <row r="318" spans="1:13" x14ac:dyDescent="0.3">
      <c r="A318" s="6">
        <v>317</v>
      </c>
      <c r="B318" s="6" t="s">
        <v>28</v>
      </c>
      <c r="C318" s="1">
        <v>45714</v>
      </c>
      <c r="D318" t="s">
        <v>9</v>
      </c>
      <c r="E318" s="20">
        <v>19473</v>
      </c>
      <c r="F318" s="6">
        <v>52</v>
      </c>
      <c r="G318" t="s">
        <v>18</v>
      </c>
      <c r="H318" t="s">
        <v>21</v>
      </c>
      <c r="I318" s="20">
        <f>Origen!$F318*Origen!$E318</f>
        <v>1012596</v>
      </c>
      <c r="J318" s="6">
        <f>VLOOKUP(A:A,Anexos!A:B,2,0)</f>
        <v>2025</v>
      </c>
      <c r="K318" s="6">
        <f>_xlfn.XLOOKUP(A:A,Anexos!A:A,Anexos!C:C,"No se encuentra",0)</f>
        <v>2</v>
      </c>
      <c r="L318" s="21" t="str">
        <f>VLOOKUP(A:A,Anexos!A:E,5,0)</f>
        <v>miércoles</v>
      </c>
      <c r="M318" s="21" t="str">
        <f>VLOOKUP(A:A,Anexos!A:F,6,0)</f>
        <v>febrero</v>
      </c>
    </row>
    <row r="319" spans="1:13" x14ac:dyDescent="0.3">
      <c r="A319" s="6">
        <v>318</v>
      </c>
      <c r="B319" s="6" t="s">
        <v>29</v>
      </c>
      <c r="C319" s="1">
        <v>45394</v>
      </c>
      <c r="D319" t="s">
        <v>10</v>
      </c>
      <c r="E319" s="20">
        <v>18811</v>
      </c>
      <c r="F319" s="6">
        <v>30</v>
      </c>
      <c r="G319" t="s">
        <v>19</v>
      </c>
      <c r="H319" t="s">
        <v>22</v>
      </c>
      <c r="I319" s="20">
        <f>Origen!$F319*Origen!$E319</f>
        <v>564330</v>
      </c>
      <c r="J319" s="6">
        <f>VLOOKUP(A:A,Anexos!A:B,2,0)</f>
        <v>2024</v>
      </c>
      <c r="K319" s="6">
        <f>_xlfn.XLOOKUP(A:A,Anexos!A:A,Anexos!C:C,"No se encuentra",0)</f>
        <v>4</v>
      </c>
      <c r="L319" s="21" t="str">
        <f>VLOOKUP(A:A,Anexos!A:E,5,0)</f>
        <v>viernes</v>
      </c>
      <c r="M319" s="21" t="str">
        <f>VLOOKUP(A:A,Anexos!A:F,6,0)</f>
        <v>abril</v>
      </c>
    </row>
    <row r="320" spans="1:13" x14ac:dyDescent="0.3">
      <c r="A320" s="6">
        <v>319</v>
      </c>
      <c r="B320" s="6" t="s">
        <v>27</v>
      </c>
      <c r="C320" s="1">
        <v>44961</v>
      </c>
      <c r="D320" t="s">
        <v>11</v>
      </c>
      <c r="E320" s="20">
        <v>19176</v>
      </c>
      <c r="F320" s="6">
        <v>49</v>
      </c>
      <c r="G320" t="s">
        <v>17</v>
      </c>
      <c r="H320" t="s">
        <v>23</v>
      </c>
      <c r="I320" s="20">
        <f>Origen!$F320*Origen!$E320</f>
        <v>939624</v>
      </c>
      <c r="J320" s="6">
        <f>VLOOKUP(A:A,Anexos!A:B,2,0)</f>
        <v>2023</v>
      </c>
      <c r="K320" s="6">
        <f>_xlfn.XLOOKUP(A:A,Anexos!A:A,Anexos!C:C,"No se encuentra",0)</f>
        <v>2</v>
      </c>
      <c r="L320" s="21" t="str">
        <f>VLOOKUP(A:A,Anexos!A:E,5,0)</f>
        <v>sábado</v>
      </c>
      <c r="M320" s="21" t="str">
        <f>VLOOKUP(A:A,Anexos!A:F,6,0)</f>
        <v>febrero</v>
      </c>
    </row>
    <row r="321" spans="1:13" x14ac:dyDescent="0.3">
      <c r="A321" s="6">
        <v>320</v>
      </c>
      <c r="B321" s="6" t="s">
        <v>28</v>
      </c>
      <c r="C321" s="1">
        <v>45802</v>
      </c>
      <c r="D321" t="s">
        <v>12</v>
      </c>
      <c r="E321" s="20">
        <v>18185</v>
      </c>
      <c r="F321" s="6">
        <v>65</v>
      </c>
      <c r="G321" t="s">
        <v>18</v>
      </c>
      <c r="H321" t="s">
        <v>24</v>
      </c>
      <c r="I321" s="20">
        <f>Origen!$F321*Origen!$E321</f>
        <v>1182025</v>
      </c>
      <c r="J321" s="6">
        <f>VLOOKUP(A:A,Anexos!A:B,2,0)</f>
        <v>2025</v>
      </c>
      <c r="K321" s="6">
        <f>_xlfn.XLOOKUP(A:A,Anexos!A:A,Anexos!C:C,"No se encuentra",0)</f>
        <v>5</v>
      </c>
      <c r="L321" s="21" t="str">
        <f>VLOOKUP(A:A,Anexos!A:E,5,0)</f>
        <v>domingo</v>
      </c>
      <c r="M321" s="21" t="str">
        <f>VLOOKUP(A:A,Anexos!A:F,6,0)</f>
        <v>mayo</v>
      </c>
    </row>
    <row r="322" spans="1:13" x14ac:dyDescent="0.3">
      <c r="A322" s="6">
        <v>321</v>
      </c>
      <c r="B322" s="6" t="s">
        <v>29</v>
      </c>
      <c r="C322" s="1">
        <v>45222</v>
      </c>
      <c r="D322" t="s">
        <v>13</v>
      </c>
      <c r="E322" s="20">
        <v>15045</v>
      </c>
      <c r="F322" s="6">
        <v>34</v>
      </c>
      <c r="G322" t="s">
        <v>19</v>
      </c>
      <c r="H322" t="s">
        <v>21</v>
      </c>
      <c r="I322" s="20">
        <f>Origen!$F322*Origen!$E322</f>
        <v>511530</v>
      </c>
      <c r="J322" s="6">
        <f>VLOOKUP(A:A,Anexos!A:B,2,0)</f>
        <v>2023</v>
      </c>
      <c r="K322" s="6">
        <f>_xlfn.XLOOKUP(A:A,Anexos!A:A,Anexos!C:C,"No se encuentra",0)</f>
        <v>10</v>
      </c>
      <c r="L322" s="21" t="str">
        <f>VLOOKUP(A:A,Anexos!A:E,5,0)</f>
        <v>lunes</v>
      </c>
      <c r="M322" s="21" t="str">
        <f>VLOOKUP(A:A,Anexos!A:F,6,0)</f>
        <v>octubre</v>
      </c>
    </row>
    <row r="323" spans="1:13" x14ac:dyDescent="0.3">
      <c r="A323" s="6">
        <v>322</v>
      </c>
      <c r="B323" s="6" t="s">
        <v>27</v>
      </c>
      <c r="C323" s="1">
        <v>45881</v>
      </c>
      <c r="D323" t="s">
        <v>14</v>
      </c>
      <c r="E323" s="20">
        <v>14271</v>
      </c>
      <c r="F323" s="6">
        <v>64</v>
      </c>
      <c r="G323" t="s">
        <v>20</v>
      </c>
      <c r="H323" t="s">
        <v>22</v>
      </c>
      <c r="I323" s="20">
        <f>Origen!$F323*Origen!$E323</f>
        <v>913344</v>
      </c>
      <c r="J323" s="6">
        <f>VLOOKUP(A:A,Anexos!A:B,2,0)</f>
        <v>2025</v>
      </c>
      <c r="K323" s="6">
        <f>_xlfn.XLOOKUP(A:A,Anexos!A:A,Anexos!C:C,"No se encuentra",0)</f>
        <v>8</v>
      </c>
      <c r="L323" s="21" t="str">
        <f>VLOOKUP(A:A,Anexos!A:E,5,0)</f>
        <v>martes</v>
      </c>
      <c r="M323" s="21" t="str">
        <f>VLOOKUP(A:A,Anexos!A:F,6,0)</f>
        <v>agosto</v>
      </c>
    </row>
    <row r="324" spans="1:13" x14ac:dyDescent="0.3">
      <c r="A324" s="6">
        <v>323</v>
      </c>
      <c r="B324" s="6" t="s">
        <v>28</v>
      </c>
      <c r="C324" s="1">
        <v>45658</v>
      </c>
      <c r="D324" t="s">
        <v>15</v>
      </c>
      <c r="E324" s="20">
        <v>12361</v>
      </c>
      <c r="F324" s="6">
        <v>52</v>
      </c>
      <c r="G324" t="s">
        <v>17</v>
      </c>
      <c r="H324" t="s">
        <v>23</v>
      </c>
      <c r="I324" s="20">
        <f>Origen!$F324*Origen!$E324</f>
        <v>642772</v>
      </c>
      <c r="J324" s="6">
        <f>VLOOKUP(A:A,Anexos!A:B,2,0)</f>
        <v>2025</v>
      </c>
      <c r="K324" s="6">
        <f>_xlfn.XLOOKUP(A:A,Anexos!A:A,Anexos!C:C,"No se encuentra",0)</f>
        <v>1</v>
      </c>
      <c r="L324" s="21" t="str">
        <f>VLOOKUP(A:A,Anexos!A:E,5,0)</f>
        <v>miércoles</v>
      </c>
      <c r="M324" s="21" t="str">
        <f>VLOOKUP(A:A,Anexos!A:F,6,0)</f>
        <v>enero</v>
      </c>
    </row>
    <row r="325" spans="1:13" x14ac:dyDescent="0.3">
      <c r="A325" s="6">
        <v>324</v>
      </c>
      <c r="B325" s="6" t="s">
        <v>29</v>
      </c>
      <c r="C325" s="1">
        <v>45483</v>
      </c>
      <c r="D325" t="s">
        <v>16</v>
      </c>
      <c r="E325" s="20">
        <v>14933</v>
      </c>
      <c r="F325" s="6">
        <v>71</v>
      </c>
      <c r="G325" t="s">
        <v>18</v>
      </c>
      <c r="H325" t="s">
        <v>24</v>
      </c>
      <c r="I325" s="20">
        <f>Origen!$F325*Origen!$E325</f>
        <v>1060243</v>
      </c>
      <c r="J325" s="6">
        <f>VLOOKUP(A:A,Anexos!A:B,2,0)</f>
        <v>2024</v>
      </c>
      <c r="K325" s="6">
        <f>_xlfn.XLOOKUP(A:A,Anexos!A:A,Anexos!C:C,"No se encuentra",0)</f>
        <v>7</v>
      </c>
      <c r="L325" s="21" t="str">
        <f>VLOOKUP(A:A,Anexos!A:E,5,0)</f>
        <v>miércoles</v>
      </c>
      <c r="M325" s="21" t="str">
        <f>VLOOKUP(A:A,Anexos!A:F,6,0)</f>
        <v>julio</v>
      </c>
    </row>
    <row r="326" spans="1:13" x14ac:dyDescent="0.3">
      <c r="A326" s="6">
        <v>325</v>
      </c>
      <c r="B326" s="6" t="s">
        <v>27</v>
      </c>
      <c r="C326" s="1">
        <v>45378</v>
      </c>
      <c r="D326" t="s">
        <v>6</v>
      </c>
      <c r="E326" s="20">
        <v>15482</v>
      </c>
      <c r="F326" s="6">
        <v>76</v>
      </c>
      <c r="G326" t="s">
        <v>19</v>
      </c>
      <c r="H326" t="s">
        <v>21</v>
      </c>
      <c r="I326" s="20">
        <f>Origen!$F326*Origen!$E326</f>
        <v>1176632</v>
      </c>
      <c r="J326" s="6">
        <f>VLOOKUP(A:A,Anexos!A:B,2,0)</f>
        <v>2024</v>
      </c>
      <c r="K326" s="6">
        <f>_xlfn.XLOOKUP(A:A,Anexos!A:A,Anexos!C:C,"No se encuentra",0)</f>
        <v>3</v>
      </c>
      <c r="L326" s="21" t="str">
        <f>VLOOKUP(A:A,Anexos!A:E,5,0)</f>
        <v>miércoles</v>
      </c>
      <c r="M326" s="21" t="str">
        <f>VLOOKUP(A:A,Anexos!A:F,6,0)</f>
        <v>marzo</v>
      </c>
    </row>
    <row r="327" spans="1:13" x14ac:dyDescent="0.3">
      <c r="A327" s="6">
        <v>326</v>
      </c>
      <c r="B327" s="6" t="s">
        <v>28</v>
      </c>
      <c r="C327" s="1">
        <v>45932</v>
      </c>
      <c r="D327" t="s">
        <v>7</v>
      </c>
      <c r="E327" s="20">
        <v>19159</v>
      </c>
      <c r="F327" s="6">
        <v>62</v>
      </c>
      <c r="G327" t="s">
        <v>20</v>
      </c>
      <c r="H327" t="s">
        <v>22</v>
      </c>
      <c r="I327" s="20">
        <f>Origen!$F327*Origen!$E327</f>
        <v>1187858</v>
      </c>
      <c r="J327" s="6">
        <f>VLOOKUP(A:A,Anexos!A:B,2,0)</f>
        <v>2025</v>
      </c>
      <c r="K327" s="6">
        <f>_xlfn.XLOOKUP(A:A,Anexos!A:A,Anexos!C:C,"No se encuentra",0)</f>
        <v>10</v>
      </c>
      <c r="L327" s="21" t="str">
        <f>VLOOKUP(A:A,Anexos!A:E,5,0)</f>
        <v>jueves</v>
      </c>
      <c r="M327" s="21" t="str">
        <f>VLOOKUP(A:A,Anexos!A:F,6,0)</f>
        <v>octubre</v>
      </c>
    </row>
    <row r="328" spans="1:13" x14ac:dyDescent="0.3">
      <c r="A328" s="6">
        <v>327</v>
      </c>
      <c r="B328" s="6" t="s">
        <v>29</v>
      </c>
      <c r="C328" s="1">
        <v>45685</v>
      </c>
      <c r="D328" t="s">
        <v>8</v>
      </c>
      <c r="E328" s="20">
        <v>17523</v>
      </c>
      <c r="F328" s="6">
        <v>23</v>
      </c>
      <c r="G328" t="s">
        <v>17</v>
      </c>
      <c r="H328" t="s">
        <v>23</v>
      </c>
      <c r="I328" s="20">
        <f>Origen!$F328*Origen!$E328</f>
        <v>403029</v>
      </c>
      <c r="J328" s="6">
        <f>VLOOKUP(A:A,Anexos!A:B,2,0)</f>
        <v>2025</v>
      </c>
      <c r="K328" s="6">
        <f>_xlfn.XLOOKUP(A:A,Anexos!A:A,Anexos!C:C,"No se encuentra",0)</f>
        <v>1</v>
      </c>
      <c r="L328" s="21" t="str">
        <f>VLOOKUP(A:A,Anexos!A:E,5,0)</f>
        <v>martes</v>
      </c>
      <c r="M328" s="21" t="str">
        <f>VLOOKUP(A:A,Anexos!A:F,6,0)</f>
        <v>enero</v>
      </c>
    </row>
    <row r="329" spans="1:13" x14ac:dyDescent="0.3">
      <c r="A329" s="6">
        <v>328</v>
      </c>
      <c r="B329" s="6" t="s">
        <v>27</v>
      </c>
      <c r="C329" s="1">
        <v>45691</v>
      </c>
      <c r="D329" t="s">
        <v>9</v>
      </c>
      <c r="E329" s="20">
        <v>19473</v>
      </c>
      <c r="F329" s="6">
        <v>72</v>
      </c>
      <c r="G329" t="s">
        <v>18</v>
      </c>
      <c r="H329" t="s">
        <v>24</v>
      </c>
      <c r="I329" s="20">
        <f>Origen!$F329*Origen!$E329</f>
        <v>1402056</v>
      </c>
      <c r="J329" s="6">
        <f>VLOOKUP(A:A,Anexos!A:B,2,0)</f>
        <v>2025</v>
      </c>
      <c r="K329" s="6">
        <f>_xlfn.XLOOKUP(A:A,Anexos!A:A,Anexos!C:C,"No se encuentra",0)</f>
        <v>2</v>
      </c>
      <c r="L329" s="21" t="str">
        <f>VLOOKUP(A:A,Anexos!A:E,5,0)</f>
        <v>lunes</v>
      </c>
      <c r="M329" s="21" t="str">
        <f>VLOOKUP(A:A,Anexos!A:F,6,0)</f>
        <v>febrero</v>
      </c>
    </row>
    <row r="330" spans="1:13" x14ac:dyDescent="0.3">
      <c r="A330" s="6">
        <v>329</v>
      </c>
      <c r="B330" s="6" t="s">
        <v>28</v>
      </c>
      <c r="C330" s="1">
        <v>45403</v>
      </c>
      <c r="D330" t="s">
        <v>10</v>
      </c>
      <c r="E330" s="20">
        <v>18811</v>
      </c>
      <c r="F330" s="6">
        <v>18</v>
      </c>
      <c r="G330" t="s">
        <v>19</v>
      </c>
      <c r="H330" t="s">
        <v>21</v>
      </c>
      <c r="I330" s="20">
        <f>Origen!$F330*Origen!$E330</f>
        <v>338598</v>
      </c>
      <c r="J330" s="6">
        <f>VLOOKUP(A:A,Anexos!A:B,2,0)</f>
        <v>2024</v>
      </c>
      <c r="K330" s="6">
        <f>_xlfn.XLOOKUP(A:A,Anexos!A:A,Anexos!C:C,"No se encuentra",0)</f>
        <v>4</v>
      </c>
      <c r="L330" s="21" t="str">
        <f>VLOOKUP(A:A,Anexos!A:E,5,0)</f>
        <v>domingo</v>
      </c>
      <c r="M330" s="21" t="str">
        <f>VLOOKUP(A:A,Anexos!A:F,6,0)</f>
        <v>abril</v>
      </c>
    </row>
    <row r="331" spans="1:13" x14ac:dyDescent="0.3">
      <c r="A331" s="6">
        <v>330</v>
      </c>
      <c r="B331" s="6" t="s">
        <v>29</v>
      </c>
      <c r="C331" s="1">
        <v>45890</v>
      </c>
      <c r="D331" t="s">
        <v>11</v>
      </c>
      <c r="E331" s="20">
        <v>19176</v>
      </c>
      <c r="F331" s="6">
        <v>26</v>
      </c>
      <c r="G331" t="s">
        <v>20</v>
      </c>
      <c r="H331" t="s">
        <v>22</v>
      </c>
      <c r="I331" s="20">
        <f>Origen!$F331*Origen!$E331</f>
        <v>498576</v>
      </c>
      <c r="J331" s="6">
        <f>VLOOKUP(A:A,Anexos!A:B,2,0)</f>
        <v>2025</v>
      </c>
      <c r="K331" s="6">
        <f>_xlfn.XLOOKUP(A:A,Anexos!A:A,Anexos!C:C,"No se encuentra",0)</f>
        <v>8</v>
      </c>
      <c r="L331" s="21" t="str">
        <f>VLOOKUP(A:A,Anexos!A:E,5,0)</f>
        <v>jueves</v>
      </c>
      <c r="M331" s="21" t="str">
        <f>VLOOKUP(A:A,Anexos!A:F,6,0)</f>
        <v>agosto</v>
      </c>
    </row>
    <row r="332" spans="1:13" x14ac:dyDescent="0.3">
      <c r="A332" s="6">
        <v>331</v>
      </c>
      <c r="B332" s="6" t="s">
        <v>27</v>
      </c>
      <c r="C332" s="1">
        <v>45941</v>
      </c>
      <c r="D332" t="s">
        <v>12</v>
      </c>
      <c r="E332" s="20">
        <v>18185</v>
      </c>
      <c r="F332" s="6">
        <v>44</v>
      </c>
      <c r="G332" t="s">
        <v>17</v>
      </c>
      <c r="H332" t="s">
        <v>23</v>
      </c>
      <c r="I332" s="20">
        <f>Origen!$F332*Origen!$E332</f>
        <v>800140</v>
      </c>
      <c r="J332" s="6">
        <f>VLOOKUP(A:A,Anexos!A:B,2,0)</f>
        <v>2025</v>
      </c>
      <c r="K332" s="6">
        <f>_xlfn.XLOOKUP(A:A,Anexos!A:A,Anexos!C:C,"No se encuentra",0)</f>
        <v>10</v>
      </c>
      <c r="L332" s="21" t="str">
        <f>VLOOKUP(A:A,Anexos!A:E,5,0)</f>
        <v>sábado</v>
      </c>
      <c r="M332" s="21" t="str">
        <f>VLOOKUP(A:A,Anexos!A:F,6,0)</f>
        <v>octubre</v>
      </c>
    </row>
    <row r="333" spans="1:13" x14ac:dyDescent="0.3">
      <c r="A333" s="6">
        <v>332</v>
      </c>
      <c r="B333" s="6" t="s">
        <v>28</v>
      </c>
      <c r="C333" s="1">
        <v>45644</v>
      </c>
      <c r="D333" t="s">
        <v>13</v>
      </c>
      <c r="E333" s="20">
        <v>15045</v>
      </c>
      <c r="F333" s="6">
        <v>73</v>
      </c>
      <c r="G333" t="s">
        <v>18</v>
      </c>
      <c r="H333" t="s">
        <v>24</v>
      </c>
      <c r="I333" s="20">
        <f>Origen!$F333*Origen!$E333</f>
        <v>1098285</v>
      </c>
      <c r="J333" s="6">
        <f>VLOOKUP(A:A,Anexos!A:B,2,0)</f>
        <v>2024</v>
      </c>
      <c r="K333" s="6">
        <f>_xlfn.XLOOKUP(A:A,Anexos!A:A,Anexos!C:C,"No se encuentra",0)</f>
        <v>12</v>
      </c>
      <c r="L333" s="21" t="str">
        <f>VLOOKUP(A:A,Anexos!A:E,5,0)</f>
        <v>miércoles</v>
      </c>
      <c r="M333" s="21" t="str">
        <f>VLOOKUP(A:A,Anexos!A:F,6,0)</f>
        <v>diciembre</v>
      </c>
    </row>
    <row r="334" spans="1:13" x14ac:dyDescent="0.3">
      <c r="A334" s="6">
        <v>333</v>
      </c>
      <c r="B334" s="6" t="s">
        <v>29</v>
      </c>
      <c r="C334" s="1">
        <v>45825</v>
      </c>
      <c r="D334" t="s">
        <v>14</v>
      </c>
      <c r="E334" s="20">
        <v>14271</v>
      </c>
      <c r="F334" s="6">
        <v>68</v>
      </c>
      <c r="G334" t="s">
        <v>19</v>
      </c>
      <c r="H334" t="s">
        <v>21</v>
      </c>
      <c r="I334" s="20">
        <f>Origen!$F334*Origen!$E334</f>
        <v>970428</v>
      </c>
      <c r="J334" s="6">
        <f>VLOOKUP(A:A,Anexos!A:B,2,0)</f>
        <v>2025</v>
      </c>
      <c r="K334" s="6">
        <f>_xlfn.XLOOKUP(A:A,Anexos!A:A,Anexos!C:C,"No se encuentra",0)</f>
        <v>6</v>
      </c>
      <c r="L334" s="21" t="str">
        <f>VLOOKUP(A:A,Anexos!A:E,5,0)</f>
        <v>martes</v>
      </c>
      <c r="M334" s="21" t="str">
        <f>VLOOKUP(A:A,Anexos!A:F,6,0)</f>
        <v>junio</v>
      </c>
    </row>
    <row r="335" spans="1:13" x14ac:dyDescent="0.3">
      <c r="A335" s="6">
        <v>334</v>
      </c>
      <c r="B335" s="6" t="s">
        <v>27</v>
      </c>
      <c r="C335" s="1">
        <v>44947</v>
      </c>
      <c r="D335" t="s">
        <v>15</v>
      </c>
      <c r="E335" s="20">
        <v>12361</v>
      </c>
      <c r="F335" s="6">
        <v>43</v>
      </c>
      <c r="G335" t="s">
        <v>17</v>
      </c>
      <c r="H335" t="s">
        <v>22</v>
      </c>
      <c r="I335" s="20">
        <f>Origen!$F335*Origen!$E335</f>
        <v>531523</v>
      </c>
      <c r="J335" s="6">
        <f>VLOOKUP(A:A,Anexos!A:B,2,0)</f>
        <v>2023</v>
      </c>
      <c r="K335" s="6">
        <f>_xlfn.XLOOKUP(A:A,Anexos!A:A,Anexos!C:C,"No se encuentra",0)</f>
        <v>1</v>
      </c>
      <c r="L335" s="21" t="str">
        <f>VLOOKUP(A:A,Anexos!A:E,5,0)</f>
        <v>sábado</v>
      </c>
      <c r="M335" s="21" t="str">
        <f>VLOOKUP(A:A,Anexos!A:F,6,0)</f>
        <v>enero</v>
      </c>
    </row>
    <row r="336" spans="1:13" x14ac:dyDescent="0.3">
      <c r="A336" s="6">
        <v>335</v>
      </c>
      <c r="B336" s="6" t="s">
        <v>28</v>
      </c>
      <c r="C336" s="1">
        <v>45769</v>
      </c>
      <c r="D336" t="s">
        <v>16</v>
      </c>
      <c r="E336" s="20">
        <v>14933</v>
      </c>
      <c r="F336" s="6">
        <v>20</v>
      </c>
      <c r="G336" t="s">
        <v>18</v>
      </c>
      <c r="H336" t="s">
        <v>23</v>
      </c>
      <c r="I336" s="20">
        <f>Origen!$F336*Origen!$E336</f>
        <v>298660</v>
      </c>
      <c r="J336" s="6">
        <f>VLOOKUP(A:A,Anexos!A:B,2,0)</f>
        <v>2025</v>
      </c>
      <c r="K336" s="6">
        <f>_xlfn.XLOOKUP(A:A,Anexos!A:A,Anexos!C:C,"No se encuentra",0)</f>
        <v>4</v>
      </c>
      <c r="L336" s="21" t="str">
        <f>VLOOKUP(A:A,Anexos!A:E,5,0)</f>
        <v>martes</v>
      </c>
      <c r="M336" s="21" t="str">
        <f>VLOOKUP(A:A,Anexos!A:F,6,0)</f>
        <v>abril</v>
      </c>
    </row>
    <row r="337" spans="1:13" x14ac:dyDescent="0.3">
      <c r="A337" s="6">
        <v>336</v>
      </c>
      <c r="B337" s="6" t="s">
        <v>29</v>
      </c>
      <c r="C337" s="1">
        <v>45918</v>
      </c>
      <c r="D337" t="s">
        <v>11</v>
      </c>
      <c r="E337" s="20">
        <v>19176</v>
      </c>
      <c r="F337" s="6">
        <v>37</v>
      </c>
      <c r="G337" t="s">
        <v>19</v>
      </c>
      <c r="H337" t="s">
        <v>24</v>
      </c>
      <c r="I337" s="20">
        <f>Origen!$F337*Origen!$E337</f>
        <v>709512</v>
      </c>
      <c r="J337" s="6">
        <f>VLOOKUP(A:A,Anexos!A:B,2,0)</f>
        <v>2025</v>
      </c>
      <c r="K337" s="6">
        <f>_xlfn.XLOOKUP(A:A,Anexos!A:A,Anexos!C:C,"No se encuentra",0)</f>
        <v>9</v>
      </c>
      <c r="L337" s="21" t="str">
        <f>VLOOKUP(A:A,Anexos!A:E,5,0)</f>
        <v>jueves</v>
      </c>
      <c r="M337" s="21" t="str">
        <f>VLOOKUP(A:A,Anexos!A:F,6,0)</f>
        <v>septiembre</v>
      </c>
    </row>
    <row r="338" spans="1:13" x14ac:dyDescent="0.3">
      <c r="A338" s="6">
        <v>337</v>
      </c>
      <c r="B338" s="6" t="s">
        <v>27</v>
      </c>
      <c r="C338" s="1">
        <v>45278</v>
      </c>
      <c r="D338" t="s">
        <v>12</v>
      </c>
      <c r="E338" s="20">
        <v>18185</v>
      </c>
      <c r="F338" s="6">
        <v>14</v>
      </c>
      <c r="G338" t="s">
        <v>20</v>
      </c>
      <c r="H338" t="s">
        <v>21</v>
      </c>
      <c r="I338" s="20">
        <f>Origen!$F338*Origen!$E338</f>
        <v>254590</v>
      </c>
      <c r="J338" s="6">
        <f>VLOOKUP(A:A,Anexos!A:B,2,0)</f>
        <v>2023</v>
      </c>
      <c r="K338" s="6">
        <f>_xlfn.XLOOKUP(A:A,Anexos!A:A,Anexos!C:C,"No se encuentra",0)</f>
        <v>12</v>
      </c>
      <c r="L338" s="21" t="str">
        <f>VLOOKUP(A:A,Anexos!A:E,5,0)</f>
        <v>lunes</v>
      </c>
      <c r="M338" s="21" t="str">
        <f>VLOOKUP(A:A,Anexos!A:F,6,0)</f>
        <v>diciembre</v>
      </c>
    </row>
    <row r="339" spans="1:13" x14ac:dyDescent="0.3">
      <c r="A339" s="6">
        <v>338</v>
      </c>
      <c r="B339" s="6" t="s">
        <v>28</v>
      </c>
      <c r="C339" s="1">
        <v>45025</v>
      </c>
      <c r="D339" t="s">
        <v>13</v>
      </c>
      <c r="E339" s="20">
        <v>15045</v>
      </c>
      <c r="F339" s="6">
        <v>78</v>
      </c>
      <c r="G339" t="s">
        <v>17</v>
      </c>
      <c r="H339" t="s">
        <v>22</v>
      </c>
      <c r="I339" s="20">
        <f>Origen!$F339*Origen!$E339</f>
        <v>1173510</v>
      </c>
      <c r="J339" s="6">
        <f>VLOOKUP(A:A,Anexos!A:B,2,0)</f>
        <v>2023</v>
      </c>
      <c r="K339" s="6">
        <f>_xlfn.XLOOKUP(A:A,Anexos!A:A,Anexos!C:C,"No se encuentra",0)</f>
        <v>4</v>
      </c>
      <c r="L339" s="21" t="str">
        <f>VLOOKUP(A:A,Anexos!A:E,5,0)</f>
        <v>domingo</v>
      </c>
      <c r="M339" s="21" t="str">
        <f>VLOOKUP(A:A,Anexos!A:F,6,0)</f>
        <v>abril</v>
      </c>
    </row>
    <row r="340" spans="1:13" x14ac:dyDescent="0.3">
      <c r="A340" s="6">
        <v>339</v>
      </c>
      <c r="B340" s="6" t="s">
        <v>29</v>
      </c>
      <c r="C340" s="1">
        <v>45474</v>
      </c>
      <c r="D340" t="s">
        <v>14</v>
      </c>
      <c r="E340" s="20">
        <v>14271</v>
      </c>
      <c r="F340" s="6">
        <v>35</v>
      </c>
      <c r="G340" t="s">
        <v>18</v>
      </c>
      <c r="H340" t="s">
        <v>23</v>
      </c>
      <c r="I340" s="20">
        <f>Origen!$F340*Origen!$E340</f>
        <v>499485</v>
      </c>
      <c r="J340" s="6">
        <f>VLOOKUP(A:A,Anexos!A:B,2,0)</f>
        <v>2024</v>
      </c>
      <c r="K340" s="6">
        <f>_xlfn.XLOOKUP(A:A,Anexos!A:A,Anexos!C:C,"No se encuentra",0)</f>
        <v>7</v>
      </c>
      <c r="L340" s="21" t="str">
        <f>VLOOKUP(A:A,Anexos!A:E,5,0)</f>
        <v>lunes</v>
      </c>
      <c r="M340" s="21" t="str">
        <f>VLOOKUP(A:A,Anexos!A:F,6,0)</f>
        <v>julio</v>
      </c>
    </row>
    <row r="341" spans="1:13" x14ac:dyDescent="0.3">
      <c r="A341" s="6">
        <v>340</v>
      </c>
      <c r="B341" s="6" t="s">
        <v>27</v>
      </c>
      <c r="C341" s="1">
        <v>45725</v>
      </c>
      <c r="D341" t="s">
        <v>15</v>
      </c>
      <c r="E341" s="20">
        <v>12361</v>
      </c>
      <c r="F341" s="6">
        <v>96</v>
      </c>
      <c r="G341" t="s">
        <v>19</v>
      </c>
      <c r="H341" t="s">
        <v>24</v>
      </c>
      <c r="I341" s="20">
        <f>Origen!$F341*Origen!$E341</f>
        <v>1186656</v>
      </c>
      <c r="J341" s="6">
        <f>VLOOKUP(A:A,Anexos!A:B,2,0)</f>
        <v>2025</v>
      </c>
      <c r="K341" s="6">
        <f>_xlfn.XLOOKUP(A:A,Anexos!A:A,Anexos!C:C,"No se encuentra",0)</f>
        <v>3</v>
      </c>
      <c r="L341" s="21" t="str">
        <f>VLOOKUP(A:A,Anexos!A:E,5,0)</f>
        <v>domingo</v>
      </c>
      <c r="M341" s="21" t="str">
        <f>VLOOKUP(A:A,Anexos!A:F,6,0)</f>
        <v>marzo</v>
      </c>
    </row>
    <row r="342" spans="1:13" x14ac:dyDescent="0.3">
      <c r="A342" s="6">
        <v>341</v>
      </c>
      <c r="B342" s="6" t="s">
        <v>28</v>
      </c>
      <c r="C342" s="1">
        <v>45767</v>
      </c>
      <c r="D342" t="s">
        <v>16</v>
      </c>
      <c r="E342" s="20">
        <v>14933</v>
      </c>
      <c r="F342" s="6">
        <v>16</v>
      </c>
      <c r="G342" t="s">
        <v>20</v>
      </c>
      <c r="H342" t="s">
        <v>21</v>
      </c>
      <c r="I342" s="20">
        <f>Origen!$F342*Origen!$E342</f>
        <v>238928</v>
      </c>
      <c r="J342" s="6">
        <f>VLOOKUP(A:A,Anexos!A:B,2,0)</f>
        <v>2025</v>
      </c>
      <c r="K342" s="6">
        <f>_xlfn.XLOOKUP(A:A,Anexos!A:A,Anexos!C:C,"No se encuentra",0)</f>
        <v>4</v>
      </c>
      <c r="L342" s="21" t="str">
        <f>VLOOKUP(A:A,Anexos!A:E,5,0)</f>
        <v>domingo</v>
      </c>
      <c r="M342" s="21" t="str">
        <f>VLOOKUP(A:A,Anexos!A:F,6,0)</f>
        <v>abril</v>
      </c>
    </row>
    <row r="343" spans="1:13" x14ac:dyDescent="0.3">
      <c r="A343" s="6">
        <v>342</v>
      </c>
      <c r="B343" s="6" t="s">
        <v>29</v>
      </c>
      <c r="C343" s="1">
        <v>45050</v>
      </c>
      <c r="D343" t="s">
        <v>6</v>
      </c>
      <c r="E343" s="20">
        <v>15482</v>
      </c>
      <c r="F343" s="6">
        <v>72</v>
      </c>
      <c r="G343" t="s">
        <v>17</v>
      </c>
      <c r="H343" t="s">
        <v>22</v>
      </c>
      <c r="I343" s="20">
        <f>Origen!$F343*Origen!$E343</f>
        <v>1114704</v>
      </c>
      <c r="J343" s="6">
        <f>VLOOKUP(A:A,Anexos!A:B,2,0)</f>
        <v>2023</v>
      </c>
      <c r="K343" s="6">
        <f>_xlfn.XLOOKUP(A:A,Anexos!A:A,Anexos!C:C,"No se encuentra",0)</f>
        <v>5</v>
      </c>
      <c r="L343" s="21" t="str">
        <f>VLOOKUP(A:A,Anexos!A:E,5,0)</f>
        <v>jueves</v>
      </c>
      <c r="M343" s="21" t="str">
        <f>VLOOKUP(A:A,Anexos!A:F,6,0)</f>
        <v>mayo</v>
      </c>
    </row>
    <row r="344" spans="1:13" x14ac:dyDescent="0.3">
      <c r="A344" s="6">
        <v>343</v>
      </c>
      <c r="B344" s="6" t="s">
        <v>27</v>
      </c>
      <c r="C344" s="1">
        <v>45780</v>
      </c>
      <c r="D344" t="s">
        <v>7</v>
      </c>
      <c r="E344" s="20">
        <v>19159</v>
      </c>
      <c r="F344" s="6">
        <v>77</v>
      </c>
      <c r="G344" t="s">
        <v>18</v>
      </c>
      <c r="H344" t="s">
        <v>23</v>
      </c>
      <c r="I344" s="20">
        <f>Origen!$F344*Origen!$E344</f>
        <v>1475243</v>
      </c>
      <c r="J344" s="6">
        <f>VLOOKUP(A:A,Anexos!A:B,2,0)</f>
        <v>2025</v>
      </c>
      <c r="K344" s="6">
        <f>_xlfn.XLOOKUP(A:A,Anexos!A:A,Anexos!C:C,"No se encuentra",0)</f>
        <v>5</v>
      </c>
      <c r="L344" s="21" t="str">
        <f>VLOOKUP(A:A,Anexos!A:E,5,0)</f>
        <v>sábado</v>
      </c>
      <c r="M344" s="21" t="str">
        <f>VLOOKUP(A:A,Anexos!A:F,6,0)</f>
        <v>mayo</v>
      </c>
    </row>
    <row r="345" spans="1:13" x14ac:dyDescent="0.3">
      <c r="A345" s="6">
        <v>344</v>
      </c>
      <c r="B345" s="6" t="s">
        <v>28</v>
      </c>
      <c r="C345" s="1">
        <v>45290</v>
      </c>
      <c r="D345" t="s">
        <v>8</v>
      </c>
      <c r="E345" s="20">
        <v>17523</v>
      </c>
      <c r="F345" s="6">
        <v>79</v>
      </c>
      <c r="G345" t="s">
        <v>19</v>
      </c>
      <c r="H345" t="s">
        <v>24</v>
      </c>
      <c r="I345" s="20">
        <f>Origen!$F345*Origen!$E345</f>
        <v>1384317</v>
      </c>
      <c r="J345" s="6">
        <f>VLOOKUP(A:A,Anexos!A:B,2,0)</f>
        <v>2023</v>
      </c>
      <c r="K345" s="6">
        <f>_xlfn.XLOOKUP(A:A,Anexos!A:A,Anexos!C:C,"No se encuentra",0)</f>
        <v>12</v>
      </c>
      <c r="L345" s="21" t="str">
        <f>VLOOKUP(A:A,Anexos!A:E,5,0)</f>
        <v>sábado</v>
      </c>
      <c r="M345" s="21" t="str">
        <f>VLOOKUP(A:A,Anexos!A:F,6,0)</f>
        <v>diciembre</v>
      </c>
    </row>
    <row r="346" spans="1:13" x14ac:dyDescent="0.3">
      <c r="A346" s="6">
        <v>345</v>
      </c>
      <c r="B346" s="6" t="s">
        <v>29</v>
      </c>
      <c r="C346" s="1">
        <v>45430</v>
      </c>
      <c r="D346" t="s">
        <v>9</v>
      </c>
      <c r="E346" s="20">
        <v>19473</v>
      </c>
      <c r="F346" s="6">
        <v>57</v>
      </c>
      <c r="G346" t="s">
        <v>20</v>
      </c>
      <c r="H346" t="s">
        <v>21</v>
      </c>
      <c r="I346" s="20">
        <f>Origen!$F346*Origen!$E346</f>
        <v>1109961</v>
      </c>
      <c r="J346" s="6">
        <f>VLOOKUP(A:A,Anexos!A:B,2,0)</f>
        <v>2024</v>
      </c>
      <c r="K346" s="6">
        <f>_xlfn.XLOOKUP(A:A,Anexos!A:A,Anexos!C:C,"No se encuentra",0)</f>
        <v>5</v>
      </c>
      <c r="L346" s="21" t="str">
        <f>VLOOKUP(A:A,Anexos!A:E,5,0)</f>
        <v>sábado</v>
      </c>
      <c r="M346" s="21" t="str">
        <f>VLOOKUP(A:A,Anexos!A:F,6,0)</f>
        <v>mayo</v>
      </c>
    </row>
    <row r="347" spans="1:13" x14ac:dyDescent="0.3">
      <c r="A347" s="6">
        <v>346</v>
      </c>
      <c r="B347" s="6" t="s">
        <v>27</v>
      </c>
      <c r="C347" s="1">
        <v>45967</v>
      </c>
      <c r="D347" t="s">
        <v>10</v>
      </c>
      <c r="E347" s="20">
        <v>18811</v>
      </c>
      <c r="F347" s="6">
        <v>72</v>
      </c>
      <c r="G347" t="s">
        <v>17</v>
      </c>
      <c r="H347" t="s">
        <v>22</v>
      </c>
      <c r="I347" s="20">
        <f>Origen!$F347*Origen!$E347</f>
        <v>1354392</v>
      </c>
      <c r="J347" s="6">
        <f>VLOOKUP(A:A,Anexos!A:B,2,0)</f>
        <v>2025</v>
      </c>
      <c r="K347" s="6">
        <f>_xlfn.XLOOKUP(A:A,Anexos!A:A,Anexos!C:C,"No se encuentra",0)</f>
        <v>11</v>
      </c>
      <c r="L347" s="21" t="str">
        <f>VLOOKUP(A:A,Anexos!A:E,5,0)</f>
        <v>jueves</v>
      </c>
      <c r="M347" s="21" t="str">
        <f>VLOOKUP(A:A,Anexos!A:F,6,0)</f>
        <v>noviembre</v>
      </c>
    </row>
    <row r="348" spans="1:13" x14ac:dyDescent="0.3">
      <c r="A348" s="6">
        <v>347</v>
      </c>
      <c r="B348" s="6" t="s">
        <v>28</v>
      </c>
      <c r="C348" s="1">
        <v>45718</v>
      </c>
      <c r="D348" t="s">
        <v>11</v>
      </c>
      <c r="E348" s="20">
        <v>19176</v>
      </c>
      <c r="F348" s="6">
        <v>49</v>
      </c>
      <c r="G348" t="s">
        <v>18</v>
      </c>
      <c r="H348" t="s">
        <v>23</v>
      </c>
      <c r="I348" s="20">
        <f>Origen!$F348*Origen!$E348</f>
        <v>939624</v>
      </c>
      <c r="J348" s="6">
        <f>VLOOKUP(A:A,Anexos!A:B,2,0)</f>
        <v>2025</v>
      </c>
      <c r="K348" s="6">
        <f>_xlfn.XLOOKUP(A:A,Anexos!A:A,Anexos!C:C,"No se encuentra",0)</f>
        <v>3</v>
      </c>
      <c r="L348" s="21" t="str">
        <f>VLOOKUP(A:A,Anexos!A:E,5,0)</f>
        <v>domingo</v>
      </c>
      <c r="M348" s="21" t="str">
        <f>VLOOKUP(A:A,Anexos!A:F,6,0)</f>
        <v>marzo</v>
      </c>
    </row>
    <row r="349" spans="1:13" x14ac:dyDescent="0.3">
      <c r="A349" s="6">
        <v>348</v>
      </c>
      <c r="B349" s="6" t="s">
        <v>29</v>
      </c>
      <c r="C349" s="1">
        <v>45124</v>
      </c>
      <c r="D349" t="s">
        <v>12</v>
      </c>
      <c r="E349" s="20">
        <v>18185</v>
      </c>
      <c r="F349" s="6">
        <v>69</v>
      </c>
      <c r="G349" t="s">
        <v>19</v>
      </c>
      <c r="H349" t="s">
        <v>24</v>
      </c>
      <c r="I349" s="20">
        <f>Origen!$F349*Origen!$E349</f>
        <v>1254765</v>
      </c>
      <c r="J349" s="6">
        <f>VLOOKUP(A:A,Anexos!A:B,2,0)</f>
        <v>2023</v>
      </c>
      <c r="K349" s="6">
        <f>_xlfn.XLOOKUP(A:A,Anexos!A:A,Anexos!C:C,"No se encuentra",0)</f>
        <v>7</v>
      </c>
      <c r="L349" s="21" t="str">
        <f>VLOOKUP(A:A,Anexos!A:E,5,0)</f>
        <v>lunes</v>
      </c>
      <c r="M349" s="21" t="str">
        <f>VLOOKUP(A:A,Anexos!A:F,6,0)</f>
        <v>julio</v>
      </c>
    </row>
    <row r="350" spans="1:13" x14ac:dyDescent="0.3">
      <c r="A350" s="6">
        <v>349</v>
      </c>
      <c r="B350" s="6" t="s">
        <v>27</v>
      </c>
      <c r="C350" s="1">
        <v>45090</v>
      </c>
      <c r="D350" t="s">
        <v>13</v>
      </c>
      <c r="E350" s="20">
        <v>15045</v>
      </c>
      <c r="F350" s="6">
        <v>64</v>
      </c>
      <c r="G350" t="s">
        <v>17</v>
      </c>
      <c r="H350" t="s">
        <v>21</v>
      </c>
      <c r="I350" s="20">
        <f>Origen!$F350*Origen!$E350</f>
        <v>962880</v>
      </c>
      <c r="J350" s="6">
        <f>VLOOKUP(A:A,Anexos!A:B,2,0)</f>
        <v>2023</v>
      </c>
      <c r="K350" s="6">
        <f>_xlfn.XLOOKUP(A:A,Anexos!A:A,Anexos!C:C,"No se encuentra",0)</f>
        <v>6</v>
      </c>
      <c r="L350" s="21" t="str">
        <f>VLOOKUP(A:A,Anexos!A:E,5,0)</f>
        <v>martes</v>
      </c>
      <c r="M350" s="21" t="str">
        <f>VLOOKUP(A:A,Anexos!A:F,6,0)</f>
        <v>junio</v>
      </c>
    </row>
    <row r="351" spans="1:13" x14ac:dyDescent="0.3">
      <c r="A351" s="6">
        <v>350</v>
      </c>
      <c r="B351" s="6" t="s">
        <v>28</v>
      </c>
      <c r="C351" s="1">
        <v>45986</v>
      </c>
      <c r="D351" t="s">
        <v>6</v>
      </c>
      <c r="E351" s="20">
        <v>15482</v>
      </c>
      <c r="F351" s="6">
        <v>85</v>
      </c>
      <c r="G351" t="s">
        <v>18</v>
      </c>
      <c r="H351" t="s">
        <v>22</v>
      </c>
      <c r="I351" s="20">
        <f>Origen!$F351*Origen!$E351</f>
        <v>1315970</v>
      </c>
      <c r="J351" s="6">
        <f>VLOOKUP(A:A,Anexos!A:B,2,0)</f>
        <v>2025</v>
      </c>
      <c r="K351" s="6">
        <f>_xlfn.XLOOKUP(A:A,Anexos!A:A,Anexos!C:C,"No se encuentra",0)</f>
        <v>11</v>
      </c>
      <c r="L351" s="21" t="str">
        <f>VLOOKUP(A:A,Anexos!A:E,5,0)</f>
        <v>martes</v>
      </c>
      <c r="M351" s="21" t="str">
        <f>VLOOKUP(A:A,Anexos!A:F,6,0)</f>
        <v>noviembre</v>
      </c>
    </row>
    <row r="352" spans="1:13" x14ac:dyDescent="0.3">
      <c r="A352" s="6">
        <v>351</v>
      </c>
      <c r="B352" s="6" t="s">
        <v>29</v>
      </c>
      <c r="C352" s="1">
        <v>45176</v>
      </c>
      <c r="D352" t="s">
        <v>7</v>
      </c>
      <c r="E352" s="20">
        <v>19159</v>
      </c>
      <c r="F352" s="6">
        <v>28</v>
      </c>
      <c r="G352" t="s">
        <v>19</v>
      </c>
      <c r="H352" t="s">
        <v>23</v>
      </c>
      <c r="I352" s="20">
        <f>Origen!$F352*Origen!$E352</f>
        <v>536452</v>
      </c>
      <c r="J352" s="6">
        <f>VLOOKUP(A:A,Anexos!A:B,2,0)</f>
        <v>2023</v>
      </c>
      <c r="K352" s="6">
        <f>_xlfn.XLOOKUP(A:A,Anexos!A:A,Anexos!C:C,"No se encuentra",0)</f>
        <v>9</v>
      </c>
      <c r="L352" s="21" t="str">
        <f>VLOOKUP(A:A,Anexos!A:E,5,0)</f>
        <v>jueves</v>
      </c>
      <c r="M352" s="21" t="str">
        <f>VLOOKUP(A:A,Anexos!A:F,6,0)</f>
        <v>septiembre</v>
      </c>
    </row>
    <row r="353" spans="1:13" x14ac:dyDescent="0.3">
      <c r="A353" s="6">
        <v>352</v>
      </c>
      <c r="B353" s="6" t="s">
        <v>27</v>
      </c>
      <c r="C353" s="1">
        <v>45257</v>
      </c>
      <c r="D353" t="s">
        <v>8</v>
      </c>
      <c r="E353" s="20">
        <v>17523</v>
      </c>
      <c r="F353" s="6">
        <v>53</v>
      </c>
      <c r="G353" t="s">
        <v>20</v>
      </c>
      <c r="H353" t="s">
        <v>24</v>
      </c>
      <c r="I353" s="20">
        <f>Origen!$F353*Origen!$E353</f>
        <v>928719</v>
      </c>
      <c r="J353" s="6">
        <f>VLOOKUP(A:A,Anexos!A:B,2,0)</f>
        <v>2023</v>
      </c>
      <c r="K353" s="6">
        <f>_xlfn.XLOOKUP(A:A,Anexos!A:A,Anexos!C:C,"No se encuentra",0)</f>
        <v>11</v>
      </c>
      <c r="L353" s="21" t="str">
        <f>VLOOKUP(A:A,Anexos!A:E,5,0)</f>
        <v>lunes</v>
      </c>
      <c r="M353" s="21" t="str">
        <f>VLOOKUP(A:A,Anexos!A:F,6,0)</f>
        <v>noviembre</v>
      </c>
    </row>
    <row r="354" spans="1:13" x14ac:dyDescent="0.3">
      <c r="A354" s="6">
        <v>353</v>
      </c>
      <c r="B354" s="6" t="s">
        <v>28</v>
      </c>
      <c r="C354" s="1">
        <v>45982</v>
      </c>
      <c r="D354" t="s">
        <v>9</v>
      </c>
      <c r="E354" s="20">
        <v>19473</v>
      </c>
      <c r="F354" s="6">
        <v>63</v>
      </c>
      <c r="G354" t="s">
        <v>17</v>
      </c>
      <c r="H354" t="s">
        <v>21</v>
      </c>
      <c r="I354" s="20">
        <f>Origen!$F354*Origen!$E354</f>
        <v>1226799</v>
      </c>
      <c r="J354" s="6">
        <f>VLOOKUP(A:A,Anexos!A:B,2,0)</f>
        <v>2025</v>
      </c>
      <c r="K354" s="6">
        <f>_xlfn.XLOOKUP(A:A,Anexos!A:A,Anexos!C:C,"No se encuentra",0)</f>
        <v>11</v>
      </c>
      <c r="L354" s="21" t="str">
        <f>VLOOKUP(A:A,Anexos!A:E,5,0)</f>
        <v>viernes</v>
      </c>
      <c r="M354" s="21" t="str">
        <f>VLOOKUP(A:A,Anexos!A:F,6,0)</f>
        <v>noviembre</v>
      </c>
    </row>
    <row r="355" spans="1:13" x14ac:dyDescent="0.3">
      <c r="A355" s="6">
        <v>354</v>
      </c>
      <c r="B355" s="6" t="s">
        <v>29</v>
      </c>
      <c r="C355" s="1">
        <v>45290</v>
      </c>
      <c r="D355" t="s">
        <v>10</v>
      </c>
      <c r="E355" s="20">
        <v>18811</v>
      </c>
      <c r="F355" s="6">
        <v>84</v>
      </c>
      <c r="G355" t="s">
        <v>18</v>
      </c>
      <c r="H355" t="s">
        <v>22</v>
      </c>
      <c r="I355" s="20">
        <f>Origen!$F355*Origen!$E355</f>
        <v>1580124</v>
      </c>
      <c r="J355" s="6">
        <f>VLOOKUP(A:A,Anexos!A:B,2,0)</f>
        <v>2023</v>
      </c>
      <c r="K355" s="6">
        <f>_xlfn.XLOOKUP(A:A,Anexos!A:A,Anexos!C:C,"No se encuentra",0)</f>
        <v>12</v>
      </c>
      <c r="L355" s="21" t="str">
        <f>VLOOKUP(A:A,Anexos!A:E,5,0)</f>
        <v>sábado</v>
      </c>
      <c r="M355" s="21" t="str">
        <f>VLOOKUP(A:A,Anexos!A:F,6,0)</f>
        <v>diciembre</v>
      </c>
    </row>
    <row r="356" spans="1:13" x14ac:dyDescent="0.3">
      <c r="A356" s="6">
        <v>355</v>
      </c>
      <c r="B356" s="6" t="s">
        <v>27</v>
      </c>
      <c r="C356" s="1">
        <v>45802</v>
      </c>
      <c r="D356" t="s">
        <v>11</v>
      </c>
      <c r="E356" s="20">
        <v>19176</v>
      </c>
      <c r="F356" s="6">
        <v>96</v>
      </c>
      <c r="G356" t="s">
        <v>19</v>
      </c>
      <c r="H356" t="s">
        <v>23</v>
      </c>
      <c r="I356" s="20">
        <f>Origen!$F356*Origen!$E356</f>
        <v>1840896</v>
      </c>
      <c r="J356" s="6">
        <f>VLOOKUP(A:A,Anexos!A:B,2,0)</f>
        <v>2025</v>
      </c>
      <c r="K356" s="6">
        <f>_xlfn.XLOOKUP(A:A,Anexos!A:A,Anexos!C:C,"No se encuentra",0)</f>
        <v>5</v>
      </c>
      <c r="L356" s="21" t="str">
        <f>VLOOKUP(A:A,Anexos!A:E,5,0)</f>
        <v>domingo</v>
      </c>
      <c r="M356" s="21" t="str">
        <f>VLOOKUP(A:A,Anexos!A:F,6,0)</f>
        <v>mayo</v>
      </c>
    </row>
    <row r="357" spans="1:13" x14ac:dyDescent="0.3">
      <c r="A357" s="6">
        <v>356</v>
      </c>
      <c r="B357" s="6" t="s">
        <v>28</v>
      </c>
      <c r="C357" s="1">
        <v>45376</v>
      </c>
      <c r="D357" t="s">
        <v>12</v>
      </c>
      <c r="E357" s="20">
        <v>18185</v>
      </c>
      <c r="F357" s="6">
        <v>36</v>
      </c>
      <c r="G357" t="s">
        <v>20</v>
      </c>
      <c r="H357" t="s">
        <v>24</v>
      </c>
      <c r="I357" s="20">
        <f>Origen!$F357*Origen!$E357</f>
        <v>654660</v>
      </c>
      <c r="J357" s="6">
        <f>VLOOKUP(A:A,Anexos!A:B,2,0)</f>
        <v>2024</v>
      </c>
      <c r="K357" s="6">
        <f>_xlfn.XLOOKUP(A:A,Anexos!A:A,Anexos!C:C,"No se encuentra",0)</f>
        <v>3</v>
      </c>
      <c r="L357" s="21" t="str">
        <f>VLOOKUP(A:A,Anexos!A:E,5,0)</f>
        <v>lunes</v>
      </c>
      <c r="M357" s="21" t="str">
        <f>VLOOKUP(A:A,Anexos!A:F,6,0)</f>
        <v>marzo</v>
      </c>
    </row>
    <row r="358" spans="1:13" x14ac:dyDescent="0.3">
      <c r="A358" s="6">
        <v>357</v>
      </c>
      <c r="B358" s="6" t="s">
        <v>29</v>
      </c>
      <c r="C358" s="1">
        <v>44953</v>
      </c>
      <c r="D358" t="s">
        <v>13</v>
      </c>
      <c r="E358" s="20">
        <v>15045</v>
      </c>
      <c r="F358" s="6">
        <v>26</v>
      </c>
      <c r="G358" t="s">
        <v>17</v>
      </c>
      <c r="H358" t="s">
        <v>21</v>
      </c>
      <c r="I358" s="20">
        <f>Origen!$F358*Origen!$E358</f>
        <v>391170</v>
      </c>
      <c r="J358" s="6">
        <f>VLOOKUP(A:A,Anexos!A:B,2,0)</f>
        <v>2023</v>
      </c>
      <c r="K358" s="6">
        <f>_xlfn.XLOOKUP(A:A,Anexos!A:A,Anexos!C:C,"No se encuentra",0)</f>
        <v>1</v>
      </c>
      <c r="L358" s="21" t="str">
        <f>VLOOKUP(A:A,Anexos!A:E,5,0)</f>
        <v>viernes</v>
      </c>
      <c r="M358" s="21" t="str">
        <f>VLOOKUP(A:A,Anexos!A:F,6,0)</f>
        <v>enero</v>
      </c>
    </row>
    <row r="359" spans="1:13" x14ac:dyDescent="0.3">
      <c r="A359" s="6">
        <v>358</v>
      </c>
      <c r="B359" s="6" t="s">
        <v>27</v>
      </c>
      <c r="C359" s="1">
        <v>45624</v>
      </c>
      <c r="D359" t="s">
        <v>14</v>
      </c>
      <c r="E359" s="20">
        <v>14271</v>
      </c>
      <c r="F359" s="6">
        <v>95</v>
      </c>
      <c r="G359" t="s">
        <v>18</v>
      </c>
      <c r="H359" t="s">
        <v>22</v>
      </c>
      <c r="I359" s="20">
        <f>Origen!$F359*Origen!$E359</f>
        <v>1355745</v>
      </c>
      <c r="J359" s="6">
        <f>VLOOKUP(A:A,Anexos!A:B,2,0)</f>
        <v>2024</v>
      </c>
      <c r="K359" s="6">
        <f>_xlfn.XLOOKUP(A:A,Anexos!A:A,Anexos!C:C,"No se encuentra",0)</f>
        <v>11</v>
      </c>
      <c r="L359" s="21" t="str">
        <f>VLOOKUP(A:A,Anexos!A:E,5,0)</f>
        <v>jueves</v>
      </c>
      <c r="M359" s="21" t="str">
        <f>VLOOKUP(A:A,Anexos!A:F,6,0)</f>
        <v>noviembre</v>
      </c>
    </row>
    <row r="360" spans="1:13" x14ac:dyDescent="0.3">
      <c r="A360" s="6">
        <v>359</v>
      </c>
      <c r="B360" s="6" t="s">
        <v>28</v>
      </c>
      <c r="C360" s="1">
        <v>45716</v>
      </c>
      <c r="D360" t="s">
        <v>15</v>
      </c>
      <c r="E360" s="20">
        <v>12361</v>
      </c>
      <c r="F360" s="6">
        <v>77</v>
      </c>
      <c r="G360" t="s">
        <v>19</v>
      </c>
      <c r="H360" t="s">
        <v>23</v>
      </c>
      <c r="I360" s="20">
        <f>Origen!$F360*Origen!$E360</f>
        <v>951797</v>
      </c>
      <c r="J360" s="6">
        <f>VLOOKUP(A:A,Anexos!A:B,2,0)</f>
        <v>2025</v>
      </c>
      <c r="K360" s="6">
        <f>_xlfn.XLOOKUP(A:A,Anexos!A:A,Anexos!C:C,"No se encuentra",0)</f>
        <v>2</v>
      </c>
      <c r="L360" s="21" t="str">
        <f>VLOOKUP(A:A,Anexos!A:E,5,0)</f>
        <v>viernes</v>
      </c>
      <c r="M360" s="21" t="str">
        <f>VLOOKUP(A:A,Anexos!A:F,6,0)</f>
        <v>febrero</v>
      </c>
    </row>
    <row r="361" spans="1:13" x14ac:dyDescent="0.3">
      <c r="A361" s="6">
        <v>360</v>
      </c>
      <c r="B361" s="6" t="s">
        <v>29</v>
      </c>
      <c r="C361" s="1">
        <v>45024</v>
      </c>
      <c r="D361" t="s">
        <v>16</v>
      </c>
      <c r="E361" s="20">
        <v>14933</v>
      </c>
      <c r="F361" s="6">
        <v>78</v>
      </c>
      <c r="G361" t="s">
        <v>20</v>
      </c>
      <c r="H361" t="s">
        <v>24</v>
      </c>
      <c r="I361" s="20">
        <f>Origen!$F361*Origen!$E361</f>
        <v>1164774</v>
      </c>
      <c r="J361" s="6">
        <f>VLOOKUP(A:A,Anexos!A:B,2,0)</f>
        <v>2023</v>
      </c>
      <c r="K361" s="6">
        <f>_xlfn.XLOOKUP(A:A,Anexos!A:A,Anexos!C:C,"No se encuentra",0)</f>
        <v>4</v>
      </c>
      <c r="L361" s="21" t="str">
        <f>VLOOKUP(A:A,Anexos!A:E,5,0)</f>
        <v>sábado</v>
      </c>
      <c r="M361" s="21" t="str">
        <f>VLOOKUP(A:A,Anexos!A:F,6,0)</f>
        <v>abril</v>
      </c>
    </row>
    <row r="362" spans="1:13" x14ac:dyDescent="0.3">
      <c r="A362" s="6">
        <v>361</v>
      </c>
      <c r="B362" s="6" t="s">
        <v>27</v>
      </c>
      <c r="C362" s="1">
        <v>45674</v>
      </c>
      <c r="D362" t="s">
        <v>6</v>
      </c>
      <c r="E362" s="20">
        <v>15482</v>
      </c>
      <c r="F362" s="6">
        <v>64</v>
      </c>
      <c r="G362" t="s">
        <v>17</v>
      </c>
      <c r="H362" t="s">
        <v>21</v>
      </c>
      <c r="I362" s="20">
        <f>Origen!$F362*Origen!$E362</f>
        <v>990848</v>
      </c>
      <c r="J362" s="6">
        <f>VLOOKUP(A:A,Anexos!A:B,2,0)</f>
        <v>2025</v>
      </c>
      <c r="K362" s="6">
        <f>_xlfn.XLOOKUP(A:A,Anexos!A:A,Anexos!C:C,"No se encuentra",0)</f>
        <v>1</v>
      </c>
      <c r="L362" s="21" t="str">
        <f>VLOOKUP(A:A,Anexos!A:E,5,0)</f>
        <v>viernes</v>
      </c>
      <c r="M362" s="21" t="str">
        <f>VLOOKUP(A:A,Anexos!A:F,6,0)</f>
        <v>enero</v>
      </c>
    </row>
    <row r="363" spans="1:13" x14ac:dyDescent="0.3">
      <c r="A363" s="6">
        <v>362</v>
      </c>
      <c r="B363" s="6" t="s">
        <v>28</v>
      </c>
      <c r="C363" s="1">
        <v>45692</v>
      </c>
      <c r="D363" t="s">
        <v>7</v>
      </c>
      <c r="E363" s="20">
        <v>19159</v>
      </c>
      <c r="F363" s="6">
        <v>99</v>
      </c>
      <c r="G363" t="s">
        <v>18</v>
      </c>
      <c r="H363" t="s">
        <v>22</v>
      </c>
      <c r="I363" s="20">
        <f>Origen!$F363*Origen!$E363</f>
        <v>1896741</v>
      </c>
      <c r="J363" s="6">
        <f>VLOOKUP(A:A,Anexos!A:B,2,0)</f>
        <v>2025</v>
      </c>
      <c r="K363" s="6">
        <f>_xlfn.XLOOKUP(A:A,Anexos!A:A,Anexos!C:C,"No se encuentra",0)</f>
        <v>2</v>
      </c>
      <c r="L363" s="21" t="str">
        <f>VLOOKUP(A:A,Anexos!A:E,5,0)</f>
        <v>martes</v>
      </c>
      <c r="M363" s="21" t="str">
        <f>VLOOKUP(A:A,Anexos!A:F,6,0)</f>
        <v>febrero</v>
      </c>
    </row>
    <row r="364" spans="1:13" x14ac:dyDescent="0.3">
      <c r="A364" s="6">
        <v>363</v>
      </c>
      <c r="B364" s="6" t="s">
        <v>29</v>
      </c>
      <c r="C364" s="1">
        <v>45094</v>
      </c>
      <c r="D364" t="s">
        <v>8</v>
      </c>
      <c r="E364" s="20">
        <v>17523</v>
      </c>
      <c r="F364" s="6">
        <v>74</v>
      </c>
      <c r="G364" t="s">
        <v>19</v>
      </c>
      <c r="H364" t="s">
        <v>23</v>
      </c>
      <c r="I364" s="20">
        <f>Origen!$F364*Origen!$E364</f>
        <v>1296702</v>
      </c>
      <c r="J364" s="6">
        <f>VLOOKUP(A:A,Anexos!A:B,2,0)</f>
        <v>2023</v>
      </c>
      <c r="K364" s="6">
        <f>_xlfn.XLOOKUP(A:A,Anexos!A:A,Anexos!C:C,"No se encuentra",0)</f>
        <v>6</v>
      </c>
      <c r="L364" s="21" t="str">
        <f>VLOOKUP(A:A,Anexos!A:E,5,0)</f>
        <v>sábado</v>
      </c>
      <c r="M364" s="21" t="str">
        <f>VLOOKUP(A:A,Anexos!A:F,6,0)</f>
        <v>junio</v>
      </c>
    </row>
    <row r="365" spans="1:13" x14ac:dyDescent="0.3">
      <c r="A365" s="6">
        <v>364</v>
      </c>
      <c r="B365" s="6" t="s">
        <v>27</v>
      </c>
      <c r="C365" s="1">
        <v>45396</v>
      </c>
      <c r="D365" t="s">
        <v>9</v>
      </c>
      <c r="E365" s="20">
        <v>19473</v>
      </c>
      <c r="F365" s="6">
        <v>70</v>
      </c>
      <c r="G365" t="s">
        <v>17</v>
      </c>
      <c r="H365" t="s">
        <v>24</v>
      </c>
      <c r="I365" s="20">
        <f>Origen!$F365*Origen!$E365</f>
        <v>1363110</v>
      </c>
      <c r="J365" s="6">
        <f>VLOOKUP(A:A,Anexos!A:B,2,0)</f>
        <v>2024</v>
      </c>
      <c r="K365" s="6">
        <f>_xlfn.XLOOKUP(A:A,Anexos!A:A,Anexos!C:C,"No se encuentra",0)</f>
        <v>4</v>
      </c>
      <c r="L365" s="21" t="str">
        <f>VLOOKUP(A:A,Anexos!A:E,5,0)</f>
        <v>domingo</v>
      </c>
      <c r="M365" s="21" t="str">
        <f>VLOOKUP(A:A,Anexos!A:F,6,0)</f>
        <v>abril</v>
      </c>
    </row>
    <row r="366" spans="1:13" x14ac:dyDescent="0.3">
      <c r="A366" s="6">
        <v>365</v>
      </c>
      <c r="B366" s="6" t="s">
        <v>28</v>
      </c>
      <c r="C366" s="1">
        <v>45842</v>
      </c>
      <c r="D366" t="s">
        <v>10</v>
      </c>
      <c r="E366" s="20">
        <v>18811</v>
      </c>
      <c r="F366" s="6">
        <v>82</v>
      </c>
      <c r="G366" t="s">
        <v>18</v>
      </c>
      <c r="H366" t="s">
        <v>21</v>
      </c>
      <c r="I366" s="20">
        <f>Origen!$F366*Origen!$E366</f>
        <v>1542502</v>
      </c>
      <c r="J366" s="6">
        <f>VLOOKUP(A:A,Anexos!A:B,2,0)</f>
        <v>2025</v>
      </c>
      <c r="K366" s="6">
        <f>_xlfn.XLOOKUP(A:A,Anexos!A:A,Anexos!C:C,"No se encuentra",0)</f>
        <v>7</v>
      </c>
      <c r="L366" s="21" t="str">
        <f>VLOOKUP(A:A,Anexos!A:E,5,0)</f>
        <v>viernes</v>
      </c>
      <c r="M366" s="21" t="str">
        <f>VLOOKUP(A:A,Anexos!A:F,6,0)</f>
        <v>julio</v>
      </c>
    </row>
    <row r="367" spans="1:13" x14ac:dyDescent="0.3">
      <c r="A367" s="6">
        <v>366</v>
      </c>
      <c r="B367" s="6" t="s">
        <v>29</v>
      </c>
      <c r="C367" s="1">
        <v>45494</v>
      </c>
      <c r="D367" t="s">
        <v>11</v>
      </c>
      <c r="E367" s="20">
        <v>19176</v>
      </c>
      <c r="F367" s="6">
        <v>91</v>
      </c>
      <c r="G367" t="s">
        <v>19</v>
      </c>
      <c r="H367" t="s">
        <v>22</v>
      </c>
      <c r="I367" s="20">
        <f>Origen!$F367*Origen!$E367</f>
        <v>1745016</v>
      </c>
      <c r="J367" s="6">
        <f>VLOOKUP(A:A,Anexos!A:B,2,0)</f>
        <v>2024</v>
      </c>
      <c r="K367" s="6">
        <f>_xlfn.XLOOKUP(A:A,Anexos!A:A,Anexos!C:C,"No se encuentra",0)</f>
        <v>7</v>
      </c>
      <c r="L367" s="21" t="str">
        <f>VLOOKUP(A:A,Anexos!A:E,5,0)</f>
        <v>domingo</v>
      </c>
      <c r="M367" s="21" t="str">
        <f>VLOOKUP(A:A,Anexos!A:F,6,0)</f>
        <v>julio</v>
      </c>
    </row>
    <row r="368" spans="1:13" x14ac:dyDescent="0.3">
      <c r="A368" s="6">
        <v>367</v>
      </c>
      <c r="B368" s="6" t="s">
        <v>27</v>
      </c>
      <c r="C368" s="1">
        <v>45612</v>
      </c>
      <c r="D368" t="s">
        <v>12</v>
      </c>
      <c r="E368" s="20">
        <v>18185</v>
      </c>
      <c r="F368" s="6">
        <v>18</v>
      </c>
      <c r="G368" t="s">
        <v>20</v>
      </c>
      <c r="H368" t="s">
        <v>23</v>
      </c>
      <c r="I368" s="20">
        <f>Origen!$F368*Origen!$E368</f>
        <v>327330</v>
      </c>
      <c r="J368" s="6">
        <f>VLOOKUP(A:A,Anexos!A:B,2,0)</f>
        <v>2024</v>
      </c>
      <c r="K368" s="6">
        <f>_xlfn.XLOOKUP(A:A,Anexos!A:A,Anexos!C:C,"No se encuentra",0)</f>
        <v>11</v>
      </c>
      <c r="L368" s="21" t="str">
        <f>VLOOKUP(A:A,Anexos!A:E,5,0)</f>
        <v>sábado</v>
      </c>
      <c r="M368" s="21" t="str">
        <f>VLOOKUP(A:A,Anexos!A:F,6,0)</f>
        <v>noviembre</v>
      </c>
    </row>
    <row r="369" spans="1:13" x14ac:dyDescent="0.3">
      <c r="A369" s="6">
        <v>368</v>
      </c>
      <c r="B369" s="6" t="s">
        <v>28</v>
      </c>
      <c r="C369" s="1">
        <v>45735</v>
      </c>
      <c r="D369" t="s">
        <v>13</v>
      </c>
      <c r="E369" s="20">
        <v>15045</v>
      </c>
      <c r="F369" s="6">
        <v>30</v>
      </c>
      <c r="G369" t="s">
        <v>17</v>
      </c>
      <c r="H369" t="s">
        <v>24</v>
      </c>
      <c r="I369" s="20">
        <f>Origen!$F369*Origen!$E369</f>
        <v>451350</v>
      </c>
      <c r="J369" s="6">
        <f>VLOOKUP(A:A,Anexos!A:B,2,0)</f>
        <v>2025</v>
      </c>
      <c r="K369" s="6">
        <f>_xlfn.XLOOKUP(A:A,Anexos!A:A,Anexos!C:C,"No se encuentra",0)</f>
        <v>3</v>
      </c>
      <c r="L369" s="21" t="str">
        <f>VLOOKUP(A:A,Anexos!A:E,5,0)</f>
        <v>miércoles</v>
      </c>
      <c r="M369" s="21" t="str">
        <f>VLOOKUP(A:A,Anexos!A:F,6,0)</f>
        <v>marzo</v>
      </c>
    </row>
    <row r="370" spans="1:13" x14ac:dyDescent="0.3">
      <c r="A370" s="6">
        <v>369</v>
      </c>
      <c r="B370" s="6" t="s">
        <v>29</v>
      </c>
      <c r="C370" s="1">
        <v>45287</v>
      </c>
      <c r="D370" t="s">
        <v>14</v>
      </c>
      <c r="E370" s="20">
        <v>14271</v>
      </c>
      <c r="F370" s="6">
        <v>66</v>
      </c>
      <c r="G370" t="s">
        <v>18</v>
      </c>
      <c r="H370" t="s">
        <v>21</v>
      </c>
      <c r="I370" s="20">
        <f>Origen!$F370*Origen!$E370</f>
        <v>941886</v>
      </c>
      <c r="J370" s="6">
        <f>VLOOKUP(A:A,Anexos!A:B,2,0)</f>
        <v>2023</v>
      </c>
      <c r="K370" s="6">
        <f>_xlfn.XLOOKUP(A:A,Anexos!A:A,Anexos!C:C,"No se encuentra",0)</f>
        <v>12</v>
      </c>
      <c r="L370" s="21" t="str">
        <f>VLOOKUP(A:A,Anexos!A:E,5,0)</f>
        <v>miércoles</v>
      </c>
      <c r="M370" s="21" t="str">
        <f>VLOOKUP(A:A,Anexos!A:F,6,0)</f>
        <v>diciembre</v>
      </c>
    </row>
    <row r="371" spans="1:13" x14ac:dyDescent="0.3">
      <c r="A371" s="6">
        <v>370</v>
      </c>
      <c r="B371" s="6" t="s">
        <v>27</v>
      </c>
      <c r="C371" s="1">
        <v>45867</v>
      </c>
      <c r="D371" t="s">
        <v>15</v>
      </c>
      <c r="E371" s="20">
        <v>12361</v>
      </c>
      <c r="F371" s="6">
        <v>83</v>
      </c>
      <c r="G371" t="s">
        <v>19</v>
      </c>
      <c r="H371" t="s">
        <v>22</v>
      </c>
      <c r="I371" s="20">
        <f>Origen!$F371*Origen!$E371</f>
        <v>1025963</v>
      </c>
      <c r="J371" s="6">
        <f>VLOOKUP(A:A,Anexos!A:B,2,0)</f>
        <v>2025</v>
      </c>
      <c r="K371" s="6">
        <f>_xlfn.XLOOKUP(A:A,Anexos!A:A,Anexos!C:C,"No se encuentra",0)</f>
        <v>7</v>
      </c>
      <c r="L371" s="21" t="str">
        <f>VLOOKUP(A:A,Anexos!A:E,5,0)</f>
        <v>martes</v>
      </c>
      <c r="M371" s="21" t="str">
        <f>VLOOKUP(A:A,Anexos!A:F,6,0)</f>
        <v>julio</v>
      </c>
    </row>
    <row r="372" spans="1:13" x14ac:dyDescent="0.3">
      <c r="A372" s="6">
        <v>371</v>
      </c>
      <c r="B372" s="6" t="s">
        <v>28</v>
      </c>
      <c r="C372" s="1">
        <v>45144</v>
      </c>
      <c r="D372" t="s">
        <v>16</v>
      </c>
      <c r="E372" s="20">
        <v>14933</v>
      </c>
      <c r="F372" s="6">
        <v>38</v>
      </c>
      <c r="G372" t="s">
        <v>20</v>
      </c>
      <c r="H372" t="s">
        <v>23</v>
      </c>
      <c r="I372" s="20">
        <f>Origen!$F372*Origen!$E372</f>
        <v>567454</v>
      </c>
      <c r="J372" s="6">
        <f>VLOOKUP(A:A,Anexos!A:B,2,0)</f>
        <v>2023</v>
      </c>
      <c r="K372" s="6">
        <f>_xlfn.XLOOKUP(A:A,Anexos!A:A,Anexos!C:C,"No se encuentra",0)</f>
        <v>8</v>
      </c>
      <c r="L372" s="21" t="str">
        <f>VLOOKUP(A:A,Anexos!A:E,5,0)</f>
        <v>domingo</v>
      </c>
      <c r="M372" s="21" t="str">
        <f>VLOOKUP(A:A,Anexos!A:F,6,0)</f>
        <v>agosto</v>
      </c>
    </row>
    <row r="373" spans="1:13" x14ac:dyDescent="0.3">
      <c r="A373" s="6">
        <v>372</v>
      </c>
      <c r="B373" s="6" t="s">
        <v>29</v>
      </c>
      <c r="C373" s="1">
        <v>45145</v>
      </c>
      <c r="D373" t="s">
        <v>11</v>
      </c>
      <c r="E373" s="20">
        <v>19176</v>
      </c>
      <c r="F373" s="6">
        <v>72</v>
      </c>
      <c r="G373" t="s">
        <v>17</v>
      </c>
      <c r="H373" t="s">
        <v>24</v>
      </c>
      <c r="I373" s="20">
        <f>Origen!$F373*Origen!$E373</f>
        <v>1380672</v>
      </c>
      <c r="J373" s="6">
        <f>VLOOKUP(A:A,Anexos!A:B,2,0)</f>
        <v>2023</v>
      </c>
      <c r="K373" s="6">
        <f>_xlfn.XLOOKUP(A:A,Anexos!A:A,Anexos!C:C,"No se encuentra",0)</f>
        <v>8</v>
      </c>
      <c r="L373" s="21" t="str">
        <f>VLOOKUP(A:A,Anexos!A:E,5,0)</f>
        <v>lunes</v>
      </c>
      <c r="M373" s="21" t="str">
        <f>VLOOKUP(A:A,Anexos!A:F,6,0)</f>
        <v>agosto</v>
      </c>
    </row>
    <row r="374" spans="1:13" x14ac:dyDescent="0.3">
      <c r="A374" s="6">
        <v>373</v>
      </c>
      <c r="B374" s="6" t="s">
        <v>27</v>
      </c>
      <c r="C374" s="1">
        <v>45346</v>
      </c>
      <c r="D374" t="s">
        <v>12</v>
      </c>
      <c r="E374" s="20">
        <v>18185</v>
      </c>
      <c r="F374" s="6">
        <v>16</v>
      </c>
      <c r="G374" t="s">
        <v>20</v>
      </c>
      <c r="H374" t="s">
        <v>21</v>
      </c>
      <c r="I374" s="20">
        <f>Origen!$F374*Origen!$E374</f>
        <v>290960</v>
      </c>
      <c r="J374" s="6">
        <f>VLOOKUP(A:A,Anexos!A:B,2,0)</f>
        <v>2024</v>
      </c>
      <c r="K374" s="6">
        <f>_xlfn.XLOOKUP(A:A,Anexos!A:A,Anexos!C:C,"No se encuentra",0)</f>
        <v>2</v>
      </c>
      <c r="L374" s="21" t="str">
        <f>VLOOKUP(A:A,Anexos!A:E,5,0)</f>
        <v>sábado</v>
      </c>
      <c r="M374" s="21" t="str">
        <f>VLOOKUP(A:A,Anexos!A:F,6,0)</f>
        <v>febrero</v>
      </c>
    </row>
    <row r="375" spans="1:13" x14ac:dyDescent="0.3">
      <c r="A375" s="6">
        <v>374</v>
      </c>
      <c r="B375" s="6" t="s">
        <v>28</v>
      </c>
      <c r="C375" s="1">
        <v>45372</v>
      </c>
      <c r="D375" t="s">
        <v>13</v>
      </c>
      <c r="E375" s="20">
        <v>15045</v>
      </c>
      <c r="F375" s="6">
        <v>72</v>
      </c>
      <c r="G375" t="s">
        <v>17</v>
      </c>
      <c r="H375" t="s">
        <v>22</v>
      </c>
      <c r="I375" s="20">
        <f>Origen!$F375*Origen!$E375</f>
        <v>1083240</v>
      </c>
      <c r="J375" s="6">
        <f>VLOOKUP(A:A,Anexos!A:B,2,0)</f>
        <v>2024</v>
      </c>
      <c r="K375" s="6">
        <f>_xlfn.XLOOKUP(A:A,Anexos!A:A,Anexos!C:C,"No se encuentra",0)</f>
        <v>3</v>
      </c>
      <c r="L375" s="21" t="str">
        <f>VLOOKUP(A:A,Anexos!A:E,5,0)</f>
        <v>jueves</v>
      </c>
      <c r="M375" s="21" t="str">
        <f>VLOOKUP(A:A,Anexos!A:F,6,0)</f>
        <v>marzo</v>
      </c>
    </row>
    <row r="376" spans="1:13" x14ac:dyDescent="0.3">
      <c r="A376" s="6">
        <v>375</v>
      </c>
      <c r="B376" s="6" t="s">
        <v>29</v>
      </c>
      <c r="C376" s="1">
        <v>45036</v>
      </c>
      <c r="D376" t="s">
        <v>14</v>
      </c>
      <c r="E376" s="20">
        <v>14271</v>
      </c>
      <c r="F376" s="6">
        <v>77</v>
      </c>
      <c r="G376" t="s">
        <v>18</v>
      </c>
      <c r="H376" t="s">
        <v>23</v>
      </c>
      <c r="I376" s="20">
        <f>Origen!$F376*Origen!$E376</f>
        <v>1098867</v>
      </c>
      <c r="J376" s="6">
        <f>VLOOKUP(A:A,Anexos!A:B,2,0)</f>
        <v>2023</v>
      </c>
      <c r="K376" s="6">
        <f>_xlfn.XLOOKUP(A:A,Anexos!A:A,Anexos!C:C,"No se encuentra",0)</f>
        <v>4</v>
      </c>
      <c r="L376" s="21" t="str">
        <f>VLOOKUP(A:A,Anexos!A:E,5,0)</f>
        <v>jueves</v>
      </c>
      <c r="M376" s="21" t="str">
        <f>VLOOKUP(A:A,Anexos!A:F,6,0)</f>
        <v>abril</v>
      </c>
    </row>
    <row r="377" spans="1:13" x14ac:dyDescent="0.3">
      <c r="A377" s="6">
        <v>376</v>
      </c>
      <c r="B377" s="6" t="s">
        <v>27</v>
      </c>
      <c r="C377" s="1">
        <v>45932</v>
      </c>
      <c r="D377" t="s">
        <v>15</v>
      </c>
      <c r="E377" s="20">
        <v>12361</v>
      </c>
      <c r="F377" s="6">
        <v>79</v>
      </c>
      <c r="G377" t="s">
        <v>19</v>
      </c>
      <c r="H377" t="s">
        <v>24</v>
      </c>
      <c r="I377" s="20">
        <f>Origen!$F377*Origen!$E377</f>
        <v>976519</v>
      </c>
      <c r="J377" s="6">
        <f>VLOOKUP(A:A,Anexos!A:B,2,0)</f>
        <v>2025</v>
      </c>
      <c r="K377" s="6">
        <f>_xlfn.XLOOKUP(A:A,Anexos!A:A,Anexos!C:C,"No se encuentra",0)</f>
        <v>10</v>
      </c>
      <c r="L377" s="21" t="str">
        <f>VLOOKUP(A:A,Anexos!A:E,5,0)</f>
        <v>jueves</v>
      </c>
      <c r="M377" s="21" t="str">
        <f>VLOOKUP(A:A,Anexos!A:F,6,0)</f>
        <v>octubre</v>
      </c>
    </row>
    <row r="378" spans="1:13" x14ac:dyDescent="0.3">
      <c r="A378" s="6">
        <v>377</v>
      </c>
      <c r="B378" s="6" t="s">
        <v>28</v>
      </c>
      <c r="C378" s="1">
        <v>45302</v>
      </c>
      <c r="D378" t="s">
        <v>16</v>
      </c>
      <c r="E378" s="20">
        <v>14933</v>
      </c>
      <c r="F378" s="6">
        <v>57</v>
      </c>
      <c r="G378" t="s">
        <v>20</v>
      </c>
      <c r="H378" t="s">
        <v>21</v>
      </c>
      <c r="I378" s="20">
        <f>Origen!$F378*Origen!$E378</f>
        <v>851181</v>
      </c>
      <c r="J378" s="6">
        <f>VLOOKUP(A:A,Anexos!A:B,2,0)</f>
        <v>2024</v>
      </c>
      <c r="K378" s="6">
        <f>_xlfn.XLOOKUP(A:A,Anexos!A:A,Anexos!C:C,"No se encuentra",0)</f>
        <v>1</v>
      </c>
      <c r="L378" s="21" t="str">
        <f>VLOOKUP(A:A,Anexos!A:E,5,0)</f>
        <v>jueves</v>
      </c>
      <c r="M378" s="21" t="str">
        <f>VLOOKUP(A:A,Anexos!A:F,6,0)</f>
        <v>enero</v>
      </c>
    </row>
    <row r="379" spans="1:13" x14ac:dyDescent="0.3">
      <c r="A379" s="6">
        <v>378</v>
      </c>
      <c r="B379" s="6" t="s">
        <v>29</v>
      </c>
      <c r="C379" s="1">
        <v>44928</v>
      </c>
      <c r="D379" t="s">
        <v>6</v>
      </c>
      <c r="E379" s="20">
        <v>15482</v>
      </c>
      <c r="F379" s="6">
        <v>72</v>
      </c>
      <c r="G379" t="s">
        <v>17</v>
      </c>
      <c r="H379" t="s">
        <v>22</v>
      </c>
      <c r="I379" s="20">
        <f>Origen!$F379*Origen!$E379</f>
        <v>1114704</v>
      </c>
      <c r="J379" s="6">
        <f>VLOOKUP(A:A,Anexos!A:B,2,0)</f>
        <v>2023</v>
      </c>
      <c r="K379" s="6">
        <f>_xlfn.XLOOKUP(A:A,Anexos!A:A,Anexos!C:C,"No se encuentra",0)</f>
        <v>1</v>
      </c>
      <c r="L379" s="21" t="str">
        <f>VLOOKUP(A:A,Anexos!A:E,5,0)</f>
        <v>lunes</v>
      </c>
      <c r="M379" s="21" t="str">
        <f>VLOOKUP(A:A,Anexos!A:F,6,0)</f>
        <v>enero</v>
      </c>
    </row>
    <row r="380" spans="1:13" x14ac:dyDescent="0.3">
      <c r="A380" s="6">
        <v>379</v>
      </c>
      <c r="B380" s="6" t="s">
        <v>27</v>
      </c>
      <c r="C380" s="1">
        <v>45623</v>
      </c>
      <c r="D380" t="s">
        <v>7</v>
      </c>
      <c r="E380" s="20">
        <v>19159</v>
      </c>
      <c r="F380" s="6">
        <v>49</v>
      </c>
      <c r="G380" t="s">
        <v>18</v>
      </c>
      <c r="H380" t="s">
        <v>23</v>
      </c>
      <c r="I380" s="20">
        <f>Origen!$F380*Origen!$E380</f>
        <v>938791</v>
      </c>
      <c r="J380" s="6">
        <f>VLOOKUP(A:A,Anexos!A:B,2,0)</f>
        <v>2024</v>
      </c>
      <c r="K380" s="6">
        <f>_xlfn.XLOOKUP(A:A,Anexos!A:A,Anexos!C:C,"No se encuentra",0)</f>
        <v>11</v>
      </c>
      <c r="L380" s="21" t="str">
        <f>VLOOKUP(A:A,Anexos!A:E,5,0)</f>
        <v>miércoles</v>
      </c>
      <c r="M380" s="21" t="str">
        <f>VLOOKUP(A:A,Anexos!A:F,6,0)</f>
        <v>noviembre</v>
      </c>
    </row>
    <row r="381" spans="1:13" x14ac:dyDescent="0.3">
      <c r="A381" s="6">
        <v>380</v>
      </c>
      <c r="B381" s="6" t="s">
        <v>28</v>
      </c>
      <c r="C381" s="1">
        <v>45625</v>
      </c>
      <c r="D381" t="s">
        <v>8</v>
      </c>
      <c r="E381" s="20">
        <v>17523</v>
      </c>
      <c r="F381" s="6">
        <v>69</v>
      </c>
      <c r="G381" t="s">
        <v>19</v>
      </c>
      <c r="H381" t="s">
        <v>24</v>
      </c>
      <c r="I381" s="20">
        <f>Origen!$F381*Origen!$E381</f>
        <v>1209087</v>
      </c>
      <c r="J381" s="6">
        <f>VLOOKUP(A:A,Anexos!A:B,2,0)</f>
        <v>2024</v>
      </c>
      <c r="K381" s="6">
        <f>_xlfn.XLOOKUP(A:A,Anexos!A:A,Anexos!C:C,"No se encuentra",0)</f>
        <v>11</v>
      </c>
      <c r="L381" s="21" t="str">
        <f>VLOOKUP(A:A,Anexos!A:E,5,0)</f>
        <v>viernes</v>
      </c>
      <c r="M381" s="21" t="str">
        <f>VLOOKUP(A:A,Anexos!A:F,6,0)</f>
        <v>noviembre</v>
      </c>
    </row>
    <row r="382" spans="1:13" x14ac:dyDescent="0.3">
      <c r="A382" s="6">
        <v>381</v>
      </c>
      <c r="B382" s="6" t="s">
        <v>29</v>
      </c>
      <c r="C382" s="1">
        <v>45153</v>
      </c>
      <c r="D382" t="s">
        <v>9</v>
      </c>
      <c r="E382" s="20">
        <v>19473</v>
      </c>
      <c r="F382" s="6">
        <v>64</v>
      </c>
      <c r="G382" t="s">
        <v>17</v>
      </c>
      <c r="H382" t="s">
        <v>21</v>
      </c>
      <c r="I382" s="20">
        <f>Origen!$F382*Origen!$E382</f>
        <v>1246272</v>
      </c>
      <c r="J382" s="6">
        <f>VLOOKUP(A:A,Anexos!A:B,2,0)</f>
        <v>2023</v>
      </c>
      <c r="K382" s="6">
        <f>_xlfn.XLOOKUP(A:A,Anexos!A:A,Anexos!C:C,"No se encuentra",0)</f>
        <v>8</v>
      </c>
      <c r="L382" s="21" t="str">
        <f>VLOOKUP(A:A,Anexos!A:E,5,0)</f>
        <v>martes</v>
      </c>
      <c r="M382" s="21" t="str">
        <f>VLOOKUP(A:A,Anexos!A:F,6,0)</f>
        <v>agosto</v>
      </c>
    </row>
    <row r="383" spans="1:13" x14ac:dyDescent="0.3">
      <c r="A383" s="6">
        <v>382</v>
      </c>
      <c r="B383" s="6" t="s">
        <v>27</v>
      </c>
      <c r="C383" s="1">
        <v>45783</v>
      </c>
      <c r="D383" t="s">
        <v>10</v>
      </c>
      <c r="E383" s="20">
        <v>18811</v>
      </c>
      <c r="F383" s="6">
        <v>85</v>
      </c>
      <c r="G383" t="s">
        <v>18</v>
      </c>
      <c r="H383" t="s">
        <v>22</v>
      </c>
      <c r="I383" s="20">
        <f>Origen!$F383*Origen!$E383</f>
        <v>1598935</v>
      </c>
      <c r="J383" s="6">
        <f>VLOOKUP(A:A,Anexos!A:B,2,0)</f>
        <v>2025</v>
      </c>
      <c r="K383" s="6">
        <f>_xlfn.XLOOKUP(A:A,Anexos!A:A,Anexos!C:C,"No se encuentra",0)</f>
        <v>5</v>
      </c>
      <c r="L383" s="21" t="str">
        <f>VLOOKUP(A:A,Anexos!A:E,5,0)</f>
        <v>martes</v>
      </c>
      <c r="M383" s="21" t="str">
        <f>VLOOKUP(A:A,Anexos!A:F,6,0)</f>
        <v>mayo</v>
      </c>
    </row>
    <row r="384" spans="1:13" x14ac:dyDescent="0.3">
      <c r="A384" s="6">
        <v>383</v>
      </c>
      <c r="B384" s="6" t="s">
        <v>28</v>
      </c>
      <c r="C384" s="1">
        <v>45250</v>
      </c>
      <c r="D384" t="s">
        <v>11</v>
      </c>
      <c r="E384" s="20">
        <v>19176</v>
      </c>
      <c r="F384" s="6">
        <v>28</v>
      </c>
      <c r="G384" t="s">
        <v>19</v>
      </c>
      <c r="H384" t="s">
        <v>23</v>
      </c>
      <c r="I384" s="20">
        <f>Origen!$F384*Origen!$E384</f>
        <v>536928</v>
      </c>
      <c r="J384" s="6">
        <f>VLOOKUP(A:A,Anexos!A:B,2,0)</f>
        <v>2023</v>
      </c>
      <c r="K384" s="6">
        <f>_xlfn.XLOOKUP(A:A,Anexos!A:A,Anexos!C:C,"No se encuentra",0)</f>
        <v>11</v>
      </c>
      <c r="L384" s="21" t="str">
        <f>VLOOKUP(A:A,Anexos!A:E,5,0)</f>
        <v>lunes</v>
      </c>
      <c r="M384" s="21" t="str">
        <f>VLOOKUP(A:A,Anexos!A:F,6,0)</f>
        <v>noviembre</v>
      </c>
    </row>
    <row r="385" spans="1:13" x14ac:dyDescent="0.3">
      <c r="A385" s="6">
        <v>384</v>
      </c>
      <c r="B385" s="6" t="s">
        <v>29</v>
      </c>
      <c r="C385" s="1">
        <v>45451</v>
      </c>
      <c r="D385" t="s">
        <v>12</v>
      </c>
      <c r="E385" s="20">
        <v>18185</v>
      </c>
      <c r="F385" s="6">
        <v>53</v>
      </c>
      <c r="G385" t="s">
        <v>20</v>
      </c>
      <c r="H385" t="s">
        <v>24</v>
      </c>
      <c r="I385" s="20">
        <f>Origen!$F385*Origen!$E385</f>
        <v>963805</v>
      </c>
      <c r="J385" s="6">
        <f>VLOOKUP(A:A,Anexos!A:B,2,0)</f>
        <v>2024</v>
      </c>
      <c r="K385" s="6">
        <f>_xlfn.XLOOKUP(A:A,Anexos!A:A,Anexos!C:C,"No se encuentra",0)</f>
        <v>6</v>
      </c>
      <c r="L385" s="21" t="str">
        <f>VLOOKUP(A:A,Anexos!A:E,5,0)</f>
        <v>sábado</v>
      </c>
      <c r="M385" s="21" t="str">
        <f>VLOOKUP(A:A,Anexos!A:F,6,0)</f>
        <v>junio</v>
      </c>
    </row>
    <row r="386" spans="1:13" x14ac:dyDescent="0.3">
      <c r="A386" s="6">
        <v>385</v>
      </c>
      <c r="B386" s="6" t="s">
        <v>27</v>
      </c>
      <c r="C386" s="1">
        <v>45800</v>
      </c>
      <c r="D386" t="s">
        <v>13</v>
      </c>
      <c r="E386" s="20">
        <v>15045</v>
      </c>
      <c r="F386" s="6">
        <v>63</v>
      </c>
      <c r="G386" t="s">
        <v>17</v>
      </c>
      <c r="H386" t="s">
        <v>21</v>
      </c>
      <c r="I386" s="20">
        <f>Origen!$F386*Origen!$E386</f>
        <v>947835</v>
      </c>
      <c r="J386" s="6">
        <f>VLOOKUP(A:A,Anexos!A:B,2,0)</f>
        <v>2025</v>
      </c>
      <c r="K386" s="6">
        <f>_xlfn.XLOOKUP(A:A,Anexos!A:A,Anexos!C:C,"No se encuentra",0)</f>
        <v>5</v>
      </c>
      <c r="L386" s="21" t="str">
        <f>VLOOKUP(A:A,Anexos!A:E,5,0)</f>
        <v>viernes</v>
      </c>
      <c r="M386" s="21" t="str">
        <f>VLOOKUP(A:A,Anexos!A:F,6,0)</f>
        <v>mayo</v>
      </c>
    </row>
    <row r="387" spans="1:13" x14ac:dyDescent="0.3">
      <c r="A387" s="6">
        <v>386</v>
      </c>
      <c r="B387" s="6" t="s">
        <v>28</v>
      </c>
      <c r="C387" s="1">
        <v>45403</v>
      </c>
      <c r="D387" t="s">
        <v>12</v>
      </c>
      <c r="E387" s="20">
        <v>18185</v>
      </c>
      <c r="F387" s="6">
        <v>84</v>
      </c>
      <c r="G387" t="s">
        <v>18</v>
      </c>
      <c r="H387" t="s">
        <v>22</v>
      </c>
      <c r="I387" s="20">
        <f>Origen!$F387*Origen!$E387</f>
        <v>1527540</v>
      </c>
      <c r="J387" s="6">
        <f>VLOOKUP(A:A,Anexos!A:B,2,0)</f>
        <v>2024</v>
      </c>
      <c r="K387" s="6">
        <f>_xlfn.XLOOKUP(A:A,Anexos!A:A,Anexos!C:C,"No se encuentra",0)</f>
        <v>4</v>
      </c>
      <c r="L387" s="21" t="str">
        <f>VLOOKUP(A:A,Anexos!A:E,5,0)</f>
        <v>domingo</v>
      </c>
      <c r="M387" s="21" t="str">
        <f>VLOOKUP(A:A,Anexos!A:F,6,0)</f>
        <v>abril</v>
      </c>
    </row>
    <row r="388" spans="1:13" x14ac:dyDescent="0.3">
      <c r="A388" s="6">
        <v>387</v>
      </c>
      <c r="B388" s="6" t="s">
        <v>29</v>
      </c>
      <c r="C388" s="1">
        <v>45509</v>
      </c>
      <c r="D388" t="s">
        <v>13</v>
      </c>
      <c r="E388" s="20">
        <v>15045</v>
      </c>
      <c r="F388" s="6">
        <v>96</v>
      </c>
      <c r="G388" t="s">
        <v>19</v>
      </c>
      <c r="H388" t="s">
        <v>23</v>
      </c>
      <c r="I388" s="20">
        <f>Origen!$F388*Origen!$E388</f>
        <v>1444320</v>
      </c>
      <c r="J388" s="6">
        <f>VLOOKUP(A:A,Anexos!A:B,2,0)</f>
        <v>2024</v>
      </c>
      <c r="K388" s="6">
        <f>_xlfn.XLOOKUP(A:A,Anexos!A:A,Anexos!C:C,"No se encuentra",0)</f>
        <v>8</v>
      </c>
      <c r="L388" s="21" t="str">
        <f>VLOOKUP(A:A,Anexos!A:E,5,0)</f>
        <v>lunes</v>
      </c>
      <c r="M388" s="21" t="str">
        <f>VLOOKUP(A:A,Anexos!A:F,6,0)</f>
        <v>agosto</v>
      </c>
    </row>
    <row r="389" spans="1:13" x14ac:dyDescent="0.3">
      <c r="A389" s="6">
        <v>388</v>
      </c>
      <c r="B389" s="6" t="s">
        <v>27</v>
      </c>
      <c r="C389" s="1">
        <v>45746</v>
      </c>
      <c r="D389" t="s">
        <v>14</v>
      </c>
      <c r="E389" s="20">
        <v>14271</v>
      </c>
      <c r="F389" s="6">
        <v>36</v>
      </c>
      <c r="G389" t="s">
        <v>20</v>
      </c>
      <c r="H389" t="s">
        <v>24</v>
      </c>
      <c r="I389" s="20">
        <f>Origen!$F389*Origen!$E389</f>
        <v>513756</v>
      </c>
      <c r="J389" s="6">
        <f>VLOOKUP(A:A,Anexos!A:B,2,0)</f>
        <v>2025</v>
      </c>
      <c r="K389" s="6">
        <f>_xlfn.XLOOKUP(A:A,Anexos!A:A,Anexos!C:C,"No se encuentra",0)</f>
        <v>3</v>
      </c>
      <c r="L389" s="21" t="str">
        <f>VLOOKUP(A:A,Anexos!A:E,5,0)</f>
        <v>domingo</v>
      </c>
      <c r="M389" s="21" t="str">
        <f>VLOOKUP(A:A,Anexos!A:F,6,0)</f>
        <v>marzo</v>
      </c>
    </row>
    <row r="390" spans="1:13" x14ac:dyDescent="0.3">
      <c r="A390" s="6">
        <v>389</v>
      </c>
      <c r="B390" s="6" t="s">
        <v>28</v>
      </c>
      <c r="C390" s="1">
        <v>44977</v>
      </c>
      <c r="D390" t="s">
        <v>15</v>
      </c>
      <c r="E390" s="20">
        <v>12361</v>
      </c>
      <c r="F390" s="6">
        <v>26</v>
      </c>
      <c r="G390" t="s">
        <v>17</v>
      </c>
      <c r="H390" t="s">
        <v>21</v>
      </c>
      <c r="I390" s="20">
        <f>Origen!$F390*Origen!$E390</f>
        <v>321386</v>
      </c>
      <c r="J390" s="6">
        <f>VLOOKUP(A:A,Anexos!A:B,2,0)</f>
        <v>2023</v>
      </c>
      <c r="K390" s="6">
        <f>_xlfn.XLOOKUP(A:A,Anexos!A:A,Anexos!C:C,"No se encuentra",0)</f>
        <v>2</v>
      </c>
      <c r="L390" s="21" t="str">
        <f>VLOOKUP(A:A,Anexos!A:E,5,0)</f>
        <v>lunes</v>
      </c>
      <c r="M390" s="21" t="str">
        <f>VLOOKUP(A:A,Anexos!A:F,6,0)</f>
        <v>febrero</v>
      </c>
    </row>
    <row r="391" spans="1:13" x14ac:dyDescent="0.3">
      <c r="A391" s="6">
        <v>390</v>
      </c>
      <c r="B391" s="6" t="s">
        <v>29</v>
      </c>
      <c r="C391" s="1">
        <v>45566</v>
      </c>
      <c r="D391" t="s">
        <v>16</v>
      </c>
      <c r="E391" s="20">
        <v>14933</v>
      </c>
      <c r="F391" s="6">
        <v>95</v>
      </c>
      <c r="G391" t="s">
        <v>18</v>
      </c>
      <c r="H391" t="s">
        <v>22</v>
      </c>
      <c r="I391" s="20">
        <f>Origen!$F391*Origen!$E391</f>
        <v>1418635</v>
      </c>
      <c r="J391" s="6">
        <f>VLOOKUP(A:A,Anexos!A:B,2,0)</f>
        <v>2024</v>
      </c>
      <c r="K391" s="6">
        <f>_xlfn.XLOOKUP(A:A,Anexos!A:A,Anexos!C:C,"No se encuentra",0)</f>
        <v>10</v>
      </c>
      <c r="L391" s="21" t="str">
        <f>VLOOKUP(A:A,Anexos!A:E,5,0)</f>
        <v>martes</v>
      </c>
      <c r="M391" s="21" t="str">
        <f>VLOOKUP(A:A,Anexos!A:F,6,0)</f>
        <v>octubre</v>
      </c>
    </row>
    <row r="392" spans="1:13" x14ac:dyDescent="0.3">
      <c r="A392" s="6">
        <v>391</v>
      </c>
      <c r="B392" s="6" t="s">
        <v>27</v>
      </c>
      <c r="C392" s="1">
        <v>45822</v>
      </c>
      <c r="D392" t="s">
        <v>11</v>
      </c>
      <c r="E392" s="20">
        <v>19176</v>
      </c>
      <c r="F392" s="6">
        <v>77</v>
      </c>
      <c r="G392" t="s">
        <v>19</v>
      </c>
      <c r="H392" t="s">
        <v>23</v>
      </c>
      <c r="I392" s="20">
        <f>Origen!$F392*Origen!$E392</f>
        <v>1476552</v>
      </c>
      <c r="J392" s="6">
        <f>VLOOKUP(A:A,Anexos!A:B,2,0)</f>
        <v>2025</v>
      </c>
      <c r="K392" s="6">
        <f>_xlfn.XLOOKUP(A:A,Anexos!A:A,Anexos!C:C,"No se encuentra",0)</f>
        <v>6</v>
      </c>
      <c r="L392" s="21" t="str">
        <f>VLOOKUP(A:A,Anexos!A:E,5,0)</f>
        <v>sábado</v>
      </c>
      <c r="M392" s="21" t="str">
        <f>VLOOKUP(A:A,Anexos!A:F,6,0)</f>
        <v>junio</v>
      </c>
    </row>
    <row r="393" spans="1:13" x14ac:dyDescent="0.3">
      <c r="A393" s="6">
        <v>392</v>
      </c>
      <c r="B393" s="6" t="s">
        <v>28</v>
      </c>
      <c r="C393" s="1">
        <v>45989</v>
      </c>
      <c r="D393" t="s">
        <v>12</v>
      </c>
      <c r="E393" s="20">
        <v>18185</v>
      </c>
      <c r="F393" s="6">
        <v>78</v>
      </c>
      <c r="G393" t="s">
        <v>20</v>
      </c>
      <c r="H393" t="s">
        <v>24</v>
      </c>
      <c r="I393" s="20">
        <f>Origen!$F393*Origen!$E393</f>
        <v>1418430</v>
      </c>
      <c r="J393" s="6">
        <f>VLOOKUP(A:A,Anexos!A:B,2,0)</f>
        <v>2025</v>
      </c>
      <c r="K393" s="6">
        <f>_xlfn.XLOOKUP(A:A,Anexos!A:A,Anexos!C:C,"No se encuentra",0)</f>
        <v>11</v>
      </c>
      <c r="L393" s="21" t="str">
        <f>VLOOKUP(A:A,Anexos!A:E,5,0)</f>
        <v>viernes</v>
      </c>
      <c r="M393" s="21" t="str">
        <f>VLOOKUP(A:A,Anexos!A:F,6,0)</f>
        <v>noviembre</v>
      </c>
    </row>
    <row r="394" spans="1:13" x14ac:dyDescent="0.3">
      <c r="A394" s="6">
        <v>393</v>
      </c>
      <c r="B394" s="6" t="s">
        <v>29</v>
      </c>
      <c r="C394" s="1">
        <v>45319</v>
      </c>
      <c r="D394" t="s">
        <v>13</v>
      </c>
      <c r="E394" s="20">
        <v>15045</v>
      </c>
      <c r="F394" s="6">
        <v>64</v>
      </c>
      <c r="G394" t="s">
        <v>17</v>
      </c>
      <c r="H394" t="s">
        <v>21</v>
      </c>
      <c r="I394" s="20">
        <f>Origen!$F394*Origen!$E394</f>
        <v>962880</v>
      </c>
      <c r="J394" s="6">
        <f>VLOOKUP(A:A,Anexos!A:B,2,0)</f>
        <v>2024</v>
      </c>
      <c r="K394" s="6">
        <f>_xlfn.XLOOKUP(A:A,Anexos!A:A,Anexos!C:C,"No se encuentra",0)</f>
        <v>1</v>
      </c>
      <c r="L394" s="21" t="str">
        <f>VLOOKUP(A:A,Anexos!A:E,5,0)</f>
        <v>domingo</v>
      </c>
      <c r="M394" s="21" t="str">
        <f>VLOOKUP(A:A,Anexos!A:F,6,0)</f>
        <v>enero</v>
      </c>
    </row>
    <row r="395" spans="1:13" x14ac:dyDescent="0.3">
      <c r="A395" s="6">
        <v>394</v>
      </c>
      <c r="B395" s="6" t="s">
        <v>27</v>
      </c>
      <c r="C395" s="1">
        <v>45776</v>
      </c>
      <c r="D395" t="s">
        <v>14</v>
      </c>
      <c r="E395" s="20">
        <v>14271</v>
      </c>
      <c r="F395" s="6">
        <v>99</v>
      </c>
      <c r="G395" t="s">
        <v>18</v>
      </c>
      <c r="H395" t="s">
        <v>22</v>
      </c>
      <c r="I395" s="20">
        <f>Origen!$F395*Origen!$E395</f>
        <v>1412829</v>
      </c>
      <c r="J395" s="6">
        <f>VLOOKUP(A:A,Anexos!A:B,2,0)</f>
        <v>2025</v>
      </c>
      <c r="K395" s="6">
        <f>_xlfn.XLOOKUP(A:A,Anexos!A:A,Anexos!C:C,"No se encuentra",0)</f>
        <v>4</v>
      </c>
      <c r="L395" s="21" t="str">
        <f>VLOOKUP(A:A,Anexos!A:E,5,0)</f>
        <v>martes</v>
      </c>
      <c r="M395" s="21" t="str">
        <f>VLOOKUP(A:A,Anexos!A:F,6,0)</f>
        <v>abril</v>
      </c>
    </row>
    <row r="396" spans="1:13" x14ac:dyDescent="0.3">
      <c r="A396" s="6">
        <v>395</v>
      </c>
      <c r="B396" s="6" t="s">
        <v>28</v>
      </c>
      <c r="C396" s="1">
        <v>44988</v>
      </c>
      <c r="D396" t="s">
        <v>15</v>
      </c>
      <c r="E396" s="20">
        <v>12361</v>
      </c>
      <c r="F396" s="6">
        <v>74</v>
      </c>
      <c r="G396" t="s">
        <v>19</v>
      </c>
      <c r="H396" t="s">
        <v>23</v>
      </c>
      <c r="I396" s="20">
        <f>Origen!$F396*Origen!$E396</f>
        <v>914714</v>
      </c>
      <c r="J396" s="6">
        <f>VLOOKUP(A:A,Anexos!A:B,2,0)</f>
        <v>2023</v>
      </c>
      <c r="K396" s="6">
        <f>_xlfn.XLOOKUP(A:A,Anexos!A:A,Anexos!C:C,"No se encuentra",0)</f>
        <v>3</v>
      </c>
      <c r="L396" s="21" t="str">
        <f>VLOOKUP(A:A,Anexos!A:E,5,0)</f>
        <v>viernes</v>
      </c>
      <c r="M396" s="21" t="str">
        <f>VLOOKUP(A:A,Anexos!A:F,6,0)</f>
        <v>marzo</v>
      </c>
    </row>
    <row r="397" spans="1:13" x14ac:dyDescent="0.3">
      <c r="A397" s="6">
        <v>396</v>
      </c>
      <c r="B397" s="6" t="s">
        <v>29</v>
      </c>
      <c r="C397" s="1">
        <v>45833</v>
      </c>
      <c r="D397" t="s">
        <v>16</v>
      </c>
      <c r="E397" s="20">
        <v>14933</v>
      </c>
      <c r="F397" s="6">
        <v>70</v>
      </c>
      <c r="G397" t="s">
        <v>17</v>
      </c>
      <c r="H397" t="s">
        <v>24</v>
      </c>
      <c r="I397" s="20">
        <f>Origen!$F397*Origen!$E397</f>
        <v>1045310</v>
      </c>
      <c r="J397" s="6">
        <f>VLOOKUP(A:A,Anexos!A:B,2,0)</f>
        <v>2025</v>
      </c>
      <c r="K397" s="6">
        <f>_xlfn.XLOOKUP(A:A,Anexos!A:A,Anexos!C:C,"No se encuentra",0)</f>
        <v>6</v>
      </c>
      <c r="L397" s="21" t="str">
        <f>VLOOKUP(A:A,Anexos!A:E,5,0)</f>
        <v>miércoles</v>
      </c>
      <c r="M397" s="21" t="str">
        <f>VLOOKUP(A:A,Anexos!A:F,6,0)</f>
        <v>junio</v>
      </c>
    </row>
    <row r="398" spans="1:13" x14ac:dyDescent="0.3">
      <c r="A398" s="6">
        <v>397</v>
      </c>
      <c r="B398" s="6" t="s">
        <v>27</v>
      </c>
      <c r="C398" s="1">
        <v>44972</v>
      </c>
      <c r="D398" t="s">
        <v>6</v>
      </c>
      <c r="E398" s="20">
        <v>15482</v>
      </c>
      <c r="F398" s="6">
        <v>82</v>
      </c>
      <c r="G398" t="s">
        <v>18</v>
      </c>
      <c r="H398" t="s">
        <v>21</v>
      </c>
      <c r="I398" s="20">
        <f>Origen!$F398*Origen!$E398</f>
        <v>1269524</v>
      </c>
      <c r="J398" s="6">
        <f>VLOOKUP(A:A,Anexos!A:B,2,0)</f>
        <v>2023</v>
      </c>
      <c r="K398" s="6">
        <f>_xlfn.XLOOKUP(A:A,Anexos!A:A,Anexos!C:C,"No se encuentra",0)</f>
        <v>2</v>
      </c>
      <c r="L398" s="21" t="str">
        <f>VLOOKUP(A:A,Anexos!A:E,5,0)</f>
        <v>miércoles</v>
      </c>
      <c r="M398" s="21" t="str">
        <f>VLOOKUP(A:A,Anexos!A:F,6,0)</f>
        <v>febrero</v>
      </c>
    </row>
    <row r="399" spans="1:13" x14ac:dyDescent="0.3">
      <c r="A399" s="6">
        <v>398</v>
      </c>
      <c r="B399" s="6" t="s">
        <v>28</v>
      </c>
      <c r="C399" s="1">
        <v>45666</v>
      </c>
      <c r="D399" t="s">
        <v>7</v>
      </c>
      <c r="E399" s="20">
        <v>19159</v>
      </c>
      <c r="F399" s="6">
        <v>91</v>
      </c>
      <c r="G399" t="s">
        <v>19</v>
      </c>
      <c r="H399" t="s">
        <v>22</v>
      </c>
      <c r="I399" s="20">
        <f>Origen!$F399*Origen!$E399</f>
        <v>1743469</v>
      </c>
      <c r="J399" s="6">
        <f>VLOOKUP(A:A,Anexos!A:B,2,0)</f>
        <v>2025</v>
      </c>
      <c r="K399" s="6">
        <f>_xlfn.XLOOKUP(A:A,Anexos!A:A,Anexos!C:C,"No se encuentra",0)</f>
        <v>1</v>
      </c>
      <c r="L399" s="21" t="str">
        <f>VLOOKUP(A:A,Anexos!A:E,5,0)</f>
        <v>jueves</v>
      </c>
      <c r="M399" s="21" t="str">
        <f>VLOOKUP(A:A,Anexos!A:F,6,0)</f>
        <v>enero</v>
      </c>
    </row>
    <row r="400" spans="1:13" x14ac:dyDescent="0.3">
      <c r="A400" s="6">
        <v>399</v>
      </c>
      <c r="B400" s="6" t="s">
        <v>29</v>
      </c>
      <c r="C400" s="1">
        <v>45135</v>
      </c>
      <c r="D400" t="s">
        <v>8</v>
      </c>
      <c r="E400" s="20">
        <v>17523</v>
      </c>
      <c r="F400" s="6">
        <v>18</v>
      </c>
      <c r="G400" t="s">
        <v>20</v>
      </c>
      <c r="H400" t="s">
        <v>23</v>
      </c>
      <c r="I400" s="20">
        <f>Origen!$F400*Origen!$E400</f>
        <v>315414</v>
      </c>
      <c r="J400" s="6">
        <f>VLOOKUP(A:A,Anexos!A:B,2,0)</f>
        <v>2023</v>
      </c>
      <c r="K400" s="6">
        <f>_xlfn.XLOOKUP(A:A,Anexos!A:A,Anexos!C:C,"No se encuentra",0)</f>
        <v>7</v>
      </c>
      <c r="L400" s="21" t="str">
        <f>VLOOKUP(A:A,Anexos!A:E,5,0)</f>
        <v>viernes</v>
      </c>
      <c r="M400" s="21" t="str">
        <f>VLOOKUP(A:A,Anexos!A:F,6,0)</f>
        <v>julio</v>
      </c>
    </row>
    <row r="401" spans="1:13" x14ac:dyDescent="0.3">
      <c r="A401" s="6">
        <v>400</v>
      </c>
      <c r="B401" s="6" t="s">
        <v>27</v>
      </c>
      <c r="C401" s="1">
        <v>45939</v>
      </c>
      <c r="D401" t="s">
        <v>9</v>
      </c>
      <c r="E401" s="20">
        <v>19473</v>
      </c>
      <c r="F401" s="6">
        <v>30</v>
      </c>
      <c r="G401" t="s">
        <v>17</v>
      </c>
      <c r="H401" t="s">
        <v>24</v>
      </c>
      <c r="I401" s="20">
        <f>Origen!$F401*Origen!$E401</f>
        <v>584190</v>
      </c>
      <c r="J401" s="6">
        <f>VLOOKUP(A:A,Anexos!A:B,2,0)</f>
        <v>2025</v>
      </c>
      <c r="K401" s="6">
        <f>_xlfn.XLOOKUP(A:A,Anexos!A:A,Anexos!C:C,"No se encuentra",0)</f>
        <v>10</v>
      </c>
      <c r="L401" s="21" t="str">
        <f>VLOOKUP(A:A,Anexos!A:E,5,0)</f>
        <v>jueves</v>
      </c>
      <c r="M401" s="21" t="str">
        <f>VLOOKUP(A:A,Anexos!A:F,6,0)</f>
        <v>octubre</v>
      </c>
    </row>
    <row r="402" spans="1:13" x14ac:dyDescent="0.3">
      <c r="A402" s="6">
        <v>401</v>
      </c>
      <c r="B402" s="6" t="s">
        <v>28</v>
      </c>
      <c r="C402" s="1">
        <v>45718</v>
      </c>
      <c r="D402" t="s">
        <v>10</v>
      </c>
      <c r="E402" s="20">
        <v>18811</v>
      </c>
      <c r="F402" s="6">
        <v>66</v>
      </c>
      <c r="G402" t="s">
        <v>18</v>
      </c>
      <c r="H402" t="s">
        <v>21</v>
      </c>
      <c r="I402" s="20">
        <f>Origen!$F402*Origen!$E402</f>
        <v>1241526</v>
      </c>
      <c r="J402" s="6">
        <f>VLOOKUP(A:A,Anexos!A:B,2,0)</f>
        <v>2025</v>
      </c>
      <c r="K402" s="6">
        <f>_xlfn.XLOOKUP(A:A,Anexos!A:A,Anexos!C:C,"No se encuentra",0)</f>
        <v>3</v>
      </c>
      <c r="L402" s="21" t="str">
        <f>VLOOKUP(A:A,Anexos!A:E,5,0)</f>
        <v>domingo</v>
      </c>
      <c r="M402" s="21" t="str">
        <f>VLOOKUP(A:A,Anexos!A:F,6,0)</f>
        <v>marzo</v>
      </c>
    </row>
    <row r="403" spans="1:13" x14ac:dyDescent="0.3">
      <c r="A403" s="6">
        <v>402</v>
      </c>
      <c r="B403" s="6" t="s">
        <v>29</v>
      </c>
      <c r="C403" s="1">
        <v>45173</v>
      </c>
      <c r="D403" t="s">
        <v>11</v>
      </c>
      <c r="E403" s="20">
        <v>19176</v>
      </c>
      <c r="F403" s="6">
        <v>83</v>
      </c>
      <c r="G403" t="s">
        <v>19</v>
      </c>
      <c r="H403" t="s">
        <v>22</v>
      </c>
      <c r="I403" s="20">
        <f>Origen!$F403*Origen!$E403</f>
        <v>1591608</v>
      </c>
      <c r="J403" s="6">
        <f>VLOOKUP(A:A,Anexos!A:B,2,0)</f>
        <v>2023</v>
      </c>
      <c r="K403" s="6">
        <f>_xlfn.XLOOKUP(A:A,Anexos!A:A,Anexos!C:C,"No se encuentra",0)</f>
        <v>9</v>
      </c>
      <c r="L403" s="21" t="str">
        <f>VLOOKUP(A:A,Anexos!A:E,5,0)</f>
        <v>lunes</v>
      </c>
      <c r="M403" s="21" t="str">
        <f>VLOOKUP(A:A,Anexos!A:F,6,0)</f>
        <v>septiembre</v>
      </c>
    </row>
    <row r="404" spans="1:13" x14ac:dyDescent="0.3">
      <c r="A404" s="6">
        <v>403</v>
      </c>
      <c r="B404" s="6" t="s">
        <v>27</v>
      </c>
      <c r="C404" s="1">
        <v>45755</v>
      </c>
      <c r="D404" t="s">
        <v>12</v>
      </c>
      <c r="E404" s="20">
        <v>18185</v>
      </c>
      <c r="F404" s="6">
        <v>38</v>
      </c>
      <c r="G404" t="s">
        <v>20</v>
      </c>
      <c r="H404" t="s">
        <v>23</v>
      </c>
      <c r="I404" s="20">
        <f>Origen!$F404*Origen!$E404</f>
        <v>691030</v>
      </c>
      <c r="J404" s="6">
        <f>VLOOKUP(A:A,Anexos!A:B,2,0)</f>
        <v>2025</v>
      </c>
      <c r="K404" s="6">
        <f>_xlfn.XLOOKUP(A:A,Anexos!A:A,Anexos!C:C,"No se encuentra",0)</f>
        <v>4</v>
      </c>
      <c r="L404" s="21" t="str">
        <f>VLOOKUP(A:A,Anexos!A:E,5,0)</f>
        <v>martes</v>
      </c>
      <c r="M404" s="21" t="str">
        <f>VLOOKUP(A:A,Anexos!A:F,6,0)</f>
        <v>abril</v>
      </c>
    </row>
    <row r="405" spans="1:13" x14ac:dyDescent="0.3">
      <c r="A405" s="6">
        <v>404</v>
      </c>
      <c r="B405" s="6" t="s">
        <v>28</v>
      </c>
      <c r="C405" s="1">
        <v>45564</v>
      </c>
      <c r="D405" t="s">
        <v>13</v>
      </c>
      <c r="E405" s="20">
        <v>15045</v>
      </c>
      <c r="F405" s="6">
        <v>72</v>
      </c>
      <c r="G405" t="s">
        <v>17</v>
      </c>
      <c r="H405" t="s">
        <v>24</v>
      </c>
      <c r="I405" s="20">
        <f>Origen!$F405*Origen!$E405</f>
        <v>1083240</v>
      </c>
      <c r="J405" s="6">
        <f>VLOOKUP(A:A,Anexos!A:B,2,0)</f>
        <v>2024</v>
      </c>
      <c r="K405" s="6">
        <f>_xlfn.XLOOKUP(A:A,Anexos!A:A,Anexos!C:C,"No se encuentra",0)</f>
        <v>9</v>
      </c>
      <c r="L405" s="21" t="str">
        <f>VLOOKUP(A:A,Anexos!A:E,5,0)</f>
        <v>domingo</v>
      </c>
      <c r="M405" s="21" t="str">
        <f>VLOOKUP(A:A,Anexos!A:F,6,0)</f>
        <v>septiembre</v>
      </c>
    </row>
    <row r="406" spans="1:13" x14ac:dyDescent="0.3">
      <c r="A406" s="6">
        <v>405</v>
      </c>
      <c r="B406" s="6" t="s">
        <v>29</v>
      </c>
      <c r="C406" s="1">
        <v>45894</v>
      </c>
      <c r="D406" t="s">
        <v>6</v>
      </c>
      <c r="E406" s="20">
        <v>15482</v>
      </c>
      <c r="F406" s="6">
        <v>16</v>
      </c>
      <c r="G406" t="s">
        <v>20</v>
      </c>
      <c r="H406" t="s">
        <v>21</v>
      </c>
      <c r="I406" s="20">
        <f>Origen!$F406*Origen!$E406</f>
        <v>247712</v>
      </c>
      <c r="J406" s="6">
        <f>VLOOKUP(A:A,Anexos!A:B,2,0)</f>
        <v>2025</v>
      </c>
      <c r="K406" s="6">
        <f>_xlfn.XLOOKUP(A:A,Anexos!A:A,Anexos!C:C,"No se encuentra",0)</f>
        <v>8</v>
      </c>
      <c r="L406" s="21" t="str">
        <f>VLOOKUP(A:A,Anexos!A:E,5,0)</f>
        <v>lunes</v>
      </c>
      <c r="M406" s="21" t="str">
        <f>VLOOKUP(A:A,Anexos!A:F,6,0)</f>
        <v>agosto</v>
      </c>
    </row>
    <row r="407" spans="1:13" x14ac:dyDescent="0.3">
      <c r="A407" s="6">
        <v>406</v>
      </c>
      <c r="B407" s="6" t="s">
        <v>27</v>
      </c>
      <c r="C407" s="1">
        <v>45947</v>
      </c>
      <c r="D407" t="s">
        <v>7</v>
      </c>
      <c r="E407" s="20">
        <v>19159</v>
      </c>
      <c r="F407" s="6">
        <v>72</v>
      </c>
      <c r="G407" t="s">
        <v>17</v>
      </c>
      <c r="H407" t="s">
        <v>22</v>
      </c>
      <c r="I407" s="20">
        <f>Origen!$F407*Origen!$E407</f>
        <v>1379448</v>
      </c>
      <c r="J407" s="6">
        <f>VLOOKUP(A:A,Anexos!A:B,2,0)</f>
        <v>2025</v>
      </c>
      <c r="K407" s="6">
        <f>_xlfn.XLOOKUP(A:A,Anexos!A:A,Anexos!C:C,"No se encuentra",0)</f>
        <v>10</v>
      </c>
      <c r="L407" s="21" t="str">
        <f>VLOOKUP(A:A,Anexos!A:E,5,0)</f>
        <v>viernes</v>
      </c>
      <c r="M407" s="21" t="str">
        <f>VLOOKUP(A:A,Anexos!A:F,6,0)</f>
        <v>octubre</v>
      </c>
    </row>
    <row r="408" spans="1:13" x14ac:dyDescent="0.3">
      <c r="A408" s="6">
        <v>407</v>
      </c>
      <c r="B408" s="6" t="s">
        <v>28</v>
      </c>
      <c r="C408" s="1">
        <v>45346</v>
      </c>
      <c r="D408" t="s">
        <v>12</v>
      </c>
      <c r="E408" s="20">
        <v>18185</v>
      </c>
      <c r="F408" s="6">
        <v>77</v>
      </c>
      <c r="G408" t="s">
        <v>18</v>
      </c>
      <c r="H408" t="s">
        <v>23</v>
      </c>
      <c r="I408" s="20">
        <f>Origen!$F408*Origen!$E408</f>
        <v>1400245</v>
      </c>
      <c r="J408" s="6">
        <f>VLOOKUP(A:A,Anexos!A:B,2,0)</f>
        <v>2024</v>
      </c>
      <c r="K408" s="6">
        <f>_xlfn.XLOOKUP(A:A,Anexos!A:A,Anexos!C:C,"No se encuentra",0)</f>
        <v>2</v>
      </c>
      <c r="L408" s="21" t="str">
        <f>VLOOKUP(A:A,Anexos!A:E,5,0)</f>
        <v>sábado</v>
      </c>
      <c r="M408" s="21" t="str">
        <f>VLOOKUP(A:A,Anexos!A:F,6,0)</f>
        <v>febrero</v>
      </c>
    </row>
    <row r="409" spans="1:13" x14ac:dyDescent="0.3">
      <c r="A409" s="6">
        <v>408</v>
      </c>
      <c r="B409" s="6" t="s">
        <v>29</v>
      </c>
      <c r="C409" s="1">
        <v>45372</v>
      </c>
      <c r="D409" t="s">
        <v>13</v>
      </c>
      <c r="E409" s="20">
        <v>15045</v>
      </c>
      <c r="F409" s="6">
        <v>79</v>
      </c>
      <c r="G409" t="s">
        <v>19</v>
      </c>
      <c r="H409" t="s">
        <v>24</v>
      </c>
      <c r="I409" s="20">
        <f>Origen!$F409*Origen!$E409</f>
        <v>1188555</v>
      </c>
      <c r="J409" s="6">
        <f>VLOOKUP(A:A,Anexos!A:B,2,0)</f>
        <v>2024</v>
      </c>
      <c r="K409" s="6">
        <f>_xlfn.XLOOKUP(A:A,Anexos!A:A,Anexos!C:C,"No se encuentra",0)</f>
        <v>3</v>
      </c>
      <c r="L409" s="21" t="str">
        <f>VLOOKUP(A:A,Anexos!A:E,5,0)</f>
        <v>jueves</v>
      </c>
      <c r="M409" s="21" t="str">
        <f>VLOOKUP(A:A,Anexos!A:F,6,0)</f>
        <v>marzo</v>
      </c>
    </row>
    <row r="410" spans="1:13" x14ac:dyDescent="0.3">
      <c r="A410" s="6">
        <v>409</v>
      </c>
      <c r="B410" s="6" t="s">
        <v>27</v>
      </c>
      <c r="C410" s="1">
        <v>45036</v>
      </c>
      <c r="D410" t="s">
        <v>14</v>
      </c>
      <c r="E410" s="20">
        <v>14271</v>
      </c>
      <c r="F410" s="6">
        <v>57</v>
      </c>
      <c r="G410" t="s">
        <v>20</v>
      </c>
      <c r="H410" t="s">
        <v>21</v>
      </c>
      <c r="I410" s="20">
        <f>Origen!$F410*Origen!$E410</f>
        <v>813447</v>
      </c>
      <c r="J410" s="6">
        <f>VLOOKUP(A:A,Anexos!A:B,2,0)</f>
        <v>2023</v>
      </c>
      <c r="K410" s="6">
        <f>_xlfn.XLOOKUP(A:A,Anexos!A:A,Anexos!C:C,"No se encuentra",0)</f>
        <v>4</v>
      </c>
      <c r="L410" s="21" t="str">
        <f>VLOOKUP(A:A,Anexos!A:E,5,0)</f>
        <v>jueves</v>
      </c>
      <c r="M410" s="21" t="str">
        <f>VLOOKUP(A:A,Anexos!A:F,6,0)</f>
        <v>abril</v>
      </c>
    </row>
    <row r="411" spans="1:13" x14ac:dyDescent="0.3">
      <c r="A411" s="6">
        <v>410</v>
      </c>
      <c r="B411" s="6" t="s">
        <v>28</v>
      </c>
      <c r="C411" s="1">
        <v>45932</v>
      </c>
      <c r="D411" t="s">
        <v>15</v>
      </c>
      <c r="E411" s="20">
        <v>12361</v>
      </c>
      <c r="F411" s="6">
        <v>72</v>
      </c>
      <c r="G411" t="s">
        <v>17</v>
      </c>
      <c r="H411" t="s">
        <v>22</v>
      </c>
      <c r="I411" s="20">
        <f>Origen!$F411*Origen!$E411</f>
        <v>889992</v>
      </c>
      <c r="J411" s="6">
        <f>VLOOKUP(A:A,Anexos!A:B,2,0)</f>
        <v>2025</v>
      </c>
      <c r="K411" s="6">
        <f>_xlfn.XLOOKUP(A:A,Anexos!A:A,Anexos!C:C,"No se encuentra",0)</f>
        <v>10</v>
      </c>
      <c r="L411" s="21" t="str">
        <f>VLOOKUP(A:A,Anexos!A:E,5,0)</f>
        <v>jueves</v>
      </c>
      <c r="M411" s="21" t="str">
        <f>VLOOKUP(A:A,Anexos!A:F,6,0)</f>
        <v>octubre</v>
      </c>
    </row>
    <row r="412" spans="1:13" x14ac:dyDescent="0.3">
      <c r="A412" s="6">
        <v>411</v>
      </c>
      <c r="B412" s="6" t="s">
        <v>29</v>
      </c>
      <c r="C412" s="1">
        <v>45302</v>
      </c>
      <c r="D412" t="s">
        <v>16</v>
      </c>
      <c r="E412" s="20">
        <v>14933</v>
      </c>
      <c r="F412" s="6">
        <v>49</v>
      </c>
      <c r="G412" t="s">
        <v>18</v>
      </c>
      <c r="H412" t="s">
        <v>23</v>
      </c>
      <c r="I412" s="20">
        <f>Origen!$F412*Origen!$E412</f>
        <v>731717</v>
      </c>
      <c r="J412" s="6">
        <f>VLOOKUP(A:A,Anexos!A:B,2,0)</f>
        <v>2024</v>
      </c>
      <c r="K412" s="6">
        <f>_xlfn.XLOOKUP(A:A,Anexos!A:A,Anexos!C:C,"No se encuentra",0)</f>
        <v>1</v>
      </c>
      <c r="L412" s="21" t="str">
        <f>VLOOKUP(A:A,Anexos!A:E,5,0)</f>
        <v>jueves</v>
      </c>
      <c r="M412" s="21" t="str">
        <f>VLOOKUP(A:A,Anexos!A:F,6,0)</f>
        <v>enero</v>
      </c>
    </row>
    <row r="413" spans="1:13" x14ac:dyDescent="0.3">
      <c r="A413" s="6">
        <v>412</v>
      </c>
      <c r="B413" s="6" t="s">
        <v>27</v>
      </c>
      <c r="C413" s="1">
        <v>44928</v>
      </c>
      <c r="D413" t="s">
        <v>6</v>
      </c>
      <c r="E413" s="20">
        <v>15482</v>
      </c>
      <c r="F413" s="6">
        <v>69</v>
      </c>
      <c r="G413" t="s">
        <v>19</v>
      </c>
      <c r="H413" t="s">
        <v>24</v>
      </c>
      <c r="I413" s="20">
        <f>Origen!$F413*Origen!$E413</f>
        <v>1068258</v>
      </c>
      <c r="J413" s="6">
        <f>VLOOKUP(A:A,Anexos!A:B,2,0)</f>
        <v>2023</v>
      </c>
      <c r="K413" s="6">
        <f>_xlfn.XLOOKUP(A:A,Anexos!A:A,Anexos!C:C,"No se encuentra",0)</f>
        <v>1</v>
      </c>
      <c r="L413" s="21" t="str">
        <f>VLOOKUP(A:A,Anexos!A:E,5,0)</f>
        <v>lunes</v>
      </c>
      <c r="M413" s="21" t="str">
        <f>VLOOKUP(A:A,Anexos!A:F,6,0)</f>
        <v>enero</v>
      </c>
    </row>
    <row r="414" spans="1:13" x14ac:dyDescent="0.3">
      <c r="A414" s="6">
        <v>413</v>
      </c>
      <c r="B414" s="6" t="s">
        <v>28</v>
      </c>
      <c r="C414" s="1">
        <v>45623</v>
      </c>
      <c r="D414" t="s">
        <v>7</v>
      </c>
      <c r="E414" s="20">
        <v>19159</v>
      </c>
      <c r="F414" s="6">
        <v>64</v>
      </c>
      <c r="G414" t="s">
        <v>17</v>
      </c>
      <c r="H414" t="s">
        <v>21</v>
      </c>
      <c r="I414" s="20">
        <f>Origen!$F414*Origen!$E414</f>
        <v>1226176</v>
      </c>
      <c r="J414" s="6">
        <f>VLOOKUP(A:A,Anexos!A:B,2,0)</f>
        <v>2024</v>
      </c>
      <c r="K414" s="6">
        <f>_xlfn.XLOOKUP(A:A,Anexos!A:A,Anexos!C:C,"No se encuentra",0)</f>
        <v>11</v>
      </c>
      <c r="L414" s="21" t="str">
        <f>VLOOKUP(A:A,Anexos!A:E,5,0)</f>
        <v>miércoles</v>
      </c>
      <c r="M414" s="21" t="str">
        <f>VLOOKUP(A:A,Anexos!A:F,6,0)</f>
        <v>noviembre</v>
      </c>
    </row>
    <row r="415" spans="1:13" x14ac:dyDescent="0.3">
      <c r="A415" s="6">
        <v>414</v>
      </c>
      <c r="B415" s="6" t="s">
        <v>29</v>
      </c>
      <c r="C415" s="1">
        <v>45625</v>
      </c>
      <c r="D415" t="s">
        <v>8</v>
      </c>
      <c r="E415" s="20">
        <v>17523</v>
      </c>
      <c r="F415" s="6">
        <v>85</v>
      </c>
      <c r="G415" t="s">
        <v>18</v>
      </c>
      <c r="H415" t="s">
        <v>22</v>
      </c>
      <c r="I415" s="20">
        <f>Origen!$F415*Origen!$E415</f>
        <v>1489455</v>
      </c>
      <c r="J415" s="6">
        <f>VLOOKUP(A:A,Anexos!A:B,2,0)</f>
        <v>2024</v>
      </c>
      <c r="K415" s="6">
        <f>_xlfn.XLOOKUP(A:A,Anexos!A:A,Anexos!C:C,"No se encuentra",0)</f>
        <v>11</v>
      </c>
      <c r="L415" s="21" t="str">
        <f>VLOOKUP(A:A,Anexos!A:E,5,0)</f>
        <v>viernes</v>
      </c>
      <c r="M415" s="21" t="str">
        <f>VLOOKUP(A:A,Anexos!A:F,6,0)</f>
        <v>noviembre</v>
      </c>
    </row>
    <row r="416" spans="1:13" x14ac:dyDescent="0.3">
      <c r="A416" s="6">
        <v>415</v>
      </c>
      <c r="B416" s="6" t="s">
        <v>27</v>
      </c>
      <c r="C416" s="1">
        <v>45153</v>
      </c>
      <c r="D416" t="s">
        <v>9</v>
      </c>
      <c r="E416" s="20">
        <v>19473</v>
      </c>
      <c r="F416" s="6">
        <v>28</v>
      </c>
      <c r="G416" t="s">
        <v>19</v>
      </c>
      <c r="H416" t="s">
        <v>23</v>
      </c>
      <c r="I416" s="20">
        <f>Origen!$F416*Origen!$E416</f>
        <v>545244</v>
      </c>
      <c r="J416" s="6">
        <f>VLOOKUP(A:A,Anexos!A:B,2,0)</f>
        <v>2023</v>
      </c>
      <c r="K416" s="6">
        <f>_xlfn.XLOOKUP(A:A,Anexos!A:A,Anexos!C:C,"No se encuentra",0)</f>
        <v>8</v>
      </c>
      <c r="L416" s="21" t="str">
        <f>VLOOKUP(A:A,Anexos!A:E,5,0)</f>
        <v>martes</v>
      </c>
      <c r="M416" s="21" t="str">
        <f>VLOOKUP(A:A,Anexos!A:F,6,0)</f>
        <v>agosto</v>
      </c>
    </row>
    <row r="417" spans="1:13" x14ac:dyDescent="0.3">
      <c r="A417" s="6">
        <v>416</v>
      </c>
      <c r="B417" s="6" t="s">
        <v>28</v>
      </c>
      <c r="C417" s="1">
        <v>45783</v>
      </c>
      <c r="D417" t="s">
        <v>10</v>
      </c>
      <c r="E417" s="20">
        <v>18811</v>
      </c>
      <c r="F417" s="6">
        <v>53</v>
      </c>
      <c r="G417" t="s">
        <v>20</v>
      </c>
      <c r="H417" t="s">
        <v>24</v>
      </c>
      <c r="I417" s="20">
        <f>Origen!$F417*Origen!$E417</f>
        <v>996983</v>
      </c>
      <c r="J417" s="6">
        <f>VLOOKUP(A:A,Anexos!A:B,2,0)</f>
        <v>2025</v>
      </c>
      <c r="K417" s="6">
        <f>_xlfn.XLOOKUP(A:A,Anexos!A:A,Anexos!C:C,"No se encuentra",0)</f>
        <v>5</v>
      </c>
      <c r="L417" s="21" t="str">
        <f>VLOOKUP(A:A,Anexos!A:E,5,0)</f>
        <v>martes</v>
      </c>
      <c r="M417" s="21" t="str">
        <f>VLOOKUP(A:A,Anexos!A:F,6,0)</f>
        <v>mayo</v>
      </c>
    </row>
    <row r="418" spans="1:13" x14ac:dyDescent="0.3">
      <c r="A418" s="6">
        <v>417</v>
      </c>
      <c r="B418" s="6" t="s">
        <v>29</v>
      </c>
      <c r="C418" s="1">
        <v>45250</v>
      </c>
      <c r="D418" t="s">
        <v>11</v>
      </c>
      <c r="E418" s="20">
        <v>19176</v>
      </c>
      <c r="F418" s="6">
        <v>63</v>
      </c>
      <c r="G418" t="s">
        <v>17</v>
      </c>
      <c r="H418" t="s">
        <v>21</v>
      </c>
      <c r="I418" s="20">
        <f>Origen!$F418*Origen!$E418</f>
        <v>1208088</v>
      </c>
      <c r="J418" s="6">
        <f>VLOOKUP(A:A,Anexos!A:B,2,0)</f>
        <v>2023</v>
      </c>
      <c r="K418" s="6">
        <f>_xlfn.XLOOKUP(A:A,Anexos!A:A,Anexos!C:C,"No se encuentra",0)</f>
        <v>11</v>
      </c>
      <c r="L418" s="21" t="str">
        <f>VLOOKUP(A:A,Anexos!A:E,5,0)</f>
        <v>lunes</v>
      </c>
      <c r="M418" s="21" t="str">
        <f>VLOOKUP(A:A,Anexos!A:F,6,0)</f>
        <v>noviembre</v>
      </c>
    </row>
    <row r="419" spans="1:13" x14ac:dyDescent="0.3">
      <c r="A419" s="6">
        <v>418</v>
      </c>
      <c r="B419" s="6" t="s">
        <v>27</v>
      </c>
      <c r="C419" s="1">
        <v>45451</v>
      </c>
      <c r="D419" t="s">
        <v>12</v>
      </c>
      <c r="E419" s="20">
        <v>18185</v>
      </c>
      <c r="F419" s="6">
        <v>84</v>
      </c>
      <c r="G419" t="s">
        <v>18</v>
      </c>
      <c r="H419" t="s">
        <v>22</v>
      </c>
      <c r="I419" s="20">
        <f>Origen!$F419*Origen!$E419</f>
        <v>1527540</v>
      </c>
      <c r="J419" s="6">
        <f>VLOOKUP(A:A,Anexos!A:B,2,0)</f>
        <v>2024</v>
      </c>
      <c r="K419" s="6">
        <f>_xlfn.XLOOKUP(A:A,Anexos!A:A,Anexos!C:C,"No se encuentra",0)</f>
        <v>6</v>
      </c>
      <c r="L419" s="21" t="str">
        <f>VLOOKUP(A:A,Anexos!A:E,5,0)</f>
        <v>sábado</v>
      </c>
      <c r="M419" s="21" t="str">
        <f>VLOOKUP(A:A,Anexos!A:F,6,0)</f>
        <v>junio</v>
      </c>
    </row>
    <row r="420" spans="1:13" x14ac:dyDescent="0.3">
      <c r="A420" s="6">
        <v>419</v>
      </c>
      <c r="B420" s="6" t="s">
        <v>28</v>
      </c>
      <c r="C420" s="1">
        <v>45800</v>
      </c>
      <c r="D420" t="s">
        <v>13</v>
      </c>
      <c r="E420" s="20">
        <v>15045</v>
      </c>
      <c r="F420" s="6">
        <v>96</v>
      </c>
      <c r="G420" t="s">
        <v>19</v>
      </c>
      <c r="H420" t="s">
        <v>23</v>
      </c>
      <c r="I420" s="20">
        <f>Origen!$F420*Origen!$E420</f>
        <v>1444320</v>
      </c>
      <c r="J420" s="6">
        <f>VLOOKUP(A:A,Anexos!A:B,2,0)</f>
        <v>2025</v>
      </c>
      <c r="K420" s="6">
        <f>_xlfn.XLOOKUP(A:A,Anexos!A:A,Anexos!C:C,"No se encuentra",0)</f>
        <v>5</v>
      </c>
      <c r="L420" s="21" t="str">
        <f>VLOOKUP(A:A,Anexos!A:E,5,0)</f>
        <v>viernes</v>
      </c>
      <c r="M420" s="21" t="str">
        <f>VLOOKUP(A:A,Anexos!A:F,6,0)</f>
        <v>mayo</v>
      </c>
    </row>
    <row r="421" spans="1:13" x14ac:dyDescent="0.3">
      <c r="A421" s="6">
        <v>420</v>
      </c>
      <c r="B421" s="6" t="s">
        <v>29</v>
      </c>
      <c r="C421" s="1">
        <v>45403</v>
      </c>
      <c r="D421" t="s">
        <v>12</v>
      </c>
      <c r="E421" s="20">
        <v>18185</v>
      </c>
      <c r="F421" s="6">
        <v>36</v>
      </c>
      <c r="G421" t="s">
        <v>20</v>
      </c>
      <c r="H421" t="s">
        <v>24</v>
      </c>
      <c r="I421" s="20">
        <f>Origen!$F421*Origen!$E421</f>
        <v>654660</v>
      </c>
      <c r="J421" s="6">
        <f>VLOOKUP(A:A,Anexos!A:B,2,0)</f>
        <v>2024</v>
      </c>
      <c r="K421" s="6">
        <f>_xlfn.XLOOKUP(A:A,Anexos!A:A,Anexos!C:C,"No se encuentra",0)</f>
        <v>4</v>
      </c>
      <c r="L421" s="21" t="str">
        <f>VLOOKUP(A:A,Anexos!A:E,5,0)</f>
        <v>domingo</v>
      </c>
      <c r="M421" s="21" t="str">
        <f>VLOOKUP(A:A,Anexos!A:F,6,0)</f>
        <v>abril</v>
      </c>
    </row>
    <row r="422" spans="1:13" x14ac:dyDescent="0.3">
      <c r="A422" s="6">
        <v>421</v>
      </c>
      <c r="B422" s="6" t="s">
        <v>27</v>
      </c>
      <c r="C422" s="1">
        <v>45509</v>
      </c>
      <c r="D422" t="s">
        <v>13</v>
      </c>
      <c r="E422" s="20">
        <v>15045</v>
      </c>
      <c r="F422" s="6">
        <v>26</v>
      </c>
      <c r="G422" t="s">
        <v>17</v>
      </c>
      <c r="H422" t="s">
        <v>21</v>
      </c>
      <c r="I422" s="20">
        <f>Origen!$F422*Origen!$E422</f>
        <v>391170</v>
      </c>
      <c r="J422" s="6">
        <f>VLOOKUP(A:A,Anexos!A:B,2,0)</f>
        <v>2024</v>
      </c>
      <c r="K422" s="6">
        <f>_xlfn.XLOOKUP(A:A,Anexos!A:A,Anexos!C:C,"No se encuentra",0)</f>
        <v>8</v>
      </c>
      <c r="L422" s="21" t="str">
        <f>VLOOKUP(A:A,Anexos!A:E,5,0)</f>
        <v>lunes</v>
      </c>
      <c r="M422" s="21" t="str">
        <f>VLOOKUP(A:A,Anexos!A:F,6,0)</f>
        <v>agosto</v>
      </c>
    </row>
    <row r="423" spans="1:13" x14ac:dyDescent="0.3">
      <c r="A423" s="6">
        <v>422</v>
      </c>
      <c r="B423" s="6" t="s">
        <v>28</v>
      </c>
      <c r="C423" s="1">
        <v>45746</v>
      </c>
      <c r="D423" t="s">
        <v>14</v>
      </c>
      <c r="E423" s="20">
        <v>14271</v>
      </c>
      <c r="F423" s="6">
        <v>95</v>
      </c>
      <c r="G423" t="s">
        <v>18</v>
      </c>
      <c r="H423" t="s">
        <v>22</v>
      </c>
      <c r="I423" s="20">
        <f>Origen!$F423*Origen!$E423</f>
        <v>1355745</v>
      </c>
      <c r="J423" s="6">
        <f>VLOOKUP(A:A,Anexos!A:B,2,0)</f>
        <v>2025</v>
      </c>
      <c r="K423" s="6">
        <f>_xlfn.XLOOKUP(A:A,Anexos!A:A,Anexos!C:C,"No se encuentra",0)</f>
        <v>3</v>
      </c>
      <c r="L423" s="21" t="str">
        <f>VLOOKUP(A:A,Anexos!A:E,5,0)</f>
        <v>domingo</v>
      </c>
      <c r="M423" s="21" t="str">
        <f>VLOOKUP(A:A,Anexos!A:F,6,0)</f>
        <v>marzo</v>
      </c>
    </row>
    <row r="424" spans="1:13" x14ac:dyDescent="0.3">
      <c r="A424" s="6">
        <v>423</v>
      </c>
      <c r="B424" s="6" t="s">
        <v>29</v>
      </c>
      <c r="C424" s="1">
        <v>44977</v>
      </c>
      <c r="D424" t="s">
        <v>15</v>
      </c>
      <c r="E424" s="20">
        <v>12361</v>
      </c>
      <c r="F424" s="6">
        <v>77</v>
      </c>
      <c r="G424" t="s">
        <v>19</v>
      </c>
      <c r="H424" t="s">
        <v>23</v>
      </c>
      <c r="I424" s="20">
        <f>Origen!$F424*Origen!$E424</f>
        <v>951797</v>
      </c>
      <c r="J424" s="6">
        <f>VLOOKUP(A:A,Anexos!A:B,2,0)</f>
        <v>2023</v>
      </c>
      <c r="K424" s="6">
        <f>_xlfn.XLOOKUP(A:A,Anexos!A:A,Anexos!C:C,"No se encuentra",0)</f>
        <v>2</v>
      </c>
      <c r="L424" s="21" t="str">
        <f>VLOOKUP(A:A,Anexos!A:E,5,0)</f>
        <v>lunes</v>
      </c>
      <c r="M424" s="21" t="str">
        <f>VLOOKUP(A:A,Anexos!A:F,6,0)</f>
        <v>febrero</v>
      </c>
    </row>
    <row r="425" spans="1:13" x14ac:dyDescent="0.3">
      <c r="A425" s="6">
        <v>424</v>
      </c>
      <c r="B425" s="6" t="s">
        <v>27</v>
      </c>
      <c r="C425" s="1">
        <v>45566</v>
      </c>
      <c r="D425" t="s">
        <v>16</v>
      </c>
      <c r="E425" s="20">
        <v>14933</v>
      </c>
      <c r="F425" s="6">
        <v>78</v>
      </c>
      <c r="G425" t="s">
        <v>20</v>
      </c>
      <c r="H425" t="s">
        <v>24</v>
      </c>
      <c r="I425" s="20">
        <f>Origen!$F425*Origen!$E425</f>
        <v>1164774</v>
      </c>
      <c r="J425" s="6">
        <f>VLOOKUP(A:A,Anexos!A:B,2,0)</f>
        <v>2024</v>
      </c>
      <c r="K425" s="6">
        <f>_xlfn.XLOOKUP(A:A,Anexos!A:A,Anexos!C:C,"No se encuentra",0)</f>
        <v>10</v>
      </c>
      <c r="L425" s="21" t="str">
        <f>VLOOKUP(A:A,Anexos!A:E,5,0)</f>
        <v>martes</v>
      </c>
      <c r="M425" s="21" t="str">
        <f>VLOOKUP(A:A,Anexos!A:F,6,0)</f>
        <v>octubre</v>
      </c>
    </row>
    <row r="426" spans="1:13" x14ac:dyDescent="0.3">
      <c r="A426" s="6">
        <v>425</v>
      </c>
      <c r="B426" s="6" t="s">
        <v>28</v>
      </c>
      <c r="C426" s="1">
        <v>45822</v>
      </c>
      <c r="D426" t="s">
        <v>11</v>
      </c>
      <c r="E426" s="20">
        <v>19176</v>
      </c>
      <c r="F426" s="6">
        <v>64</v>
      </c>
      <c r="G426" t="s">
        <v>17</v>
      </c>
      <c r="H426" t="s">
        <v>21</v>
      </c>
      <c r="I426" s="20">
        <f>Origen!$F426*Origen!$E426</f>
        <v>1227264</v>
      </c>
      <c r="J426" s="6">
        <f>VLOOKUP(A:A,Anexos!A:B,2,0)</f>
        <v>2025</v>
      </c>
      <c r="K426" s="6">
        <f>_xlfn.XLOOKUP(A:A,Anexos!A:A,Anexos!C:C,"No se encuentra",0)</f>
        <v>6</v>
      </c>
      <c r="L426" s="21" t="str">
        <f>VLOOKUP(A:A,Anexos!A:E,5,0)</f>
        <v>sábado</v>
      </c>
      <c r="M426" s="21" t="str">
        <f>VLOOKUP(A:A,Anexos!A:F,6,0)</f>
        <v>junio</v>
      </c>
    </row>
    <row r="427" spans="1:13" x14ac:dyDescent="0.3">
      <c r="A427" s="6">
        <v>426</v>
      </c>
      <c r="B427" s="6" t="s">
        <v>29</v>
      </c>
      <c r="C427" s="1">
        <v>45989</v>
      </c>
      <c r="D427" t="s">
        <v>12</v>
      </c>
      <c r="E427" s="20">
        <v>18185</v>
      </c>
      <c r="F427" s="6">
        <v>99</v>
      </c>
      <c r="G427" t="s">
        <v>18</v>
      </c>
      <c r="H427" t="s">
        <v>22</v>
      </c>
      <c r="I427" s="20">
        <f>Origen!$F427*Origen!$E427</f>
        <v>1800315</v>
      </c>
      <c r="J427" s="6">
        <f>VLOOKUP(A:A,Anexos!A:B,2,0)</f>
        <v>2025</v>
      </c>
      <c r="K427" s="6">
        <f>_xlfn.XLOOKUP(A:A,Anexos!A:A,Anexos!C:C,"No se encuentra",0)</f>
        <v>11</v>
      </c>
      <c r="L427" s="21" t="str">
        <f>VLOOKUP(A:A,Anexos!A:E,5,0)</f>
        <v>viernes</v>
      </c>
      <c r="M427" s="21" t="str">
        <f>VLOOKUP(A:A,Anexos!A:F,6,0)</f>
        <v>noviembre</v>
      </c>
    </row>
    <row r="428" spans="1:13" x14ac:dyDescent="0.3">
      <c r="A428" s="6">
        <v>427</v>
      </c>
      <c r="B428" s="6" t="s">
        <v>27</v>
      </c>
      <c r="C428" s="1">
        <v>45319</v>
      </c>
      <c r="D428" t="s">
        <v>13</v>
      </c>
      <c r="E428" s="20">
        <v>15045</v>
      </c>
      <c r="F428" s="6">
        <v>74</v>
      </c>
      <c r="G428" t="s">
        <v>19</v>
      </c>
      <c r="H428" t="s">
        <v>23</v>
      </c>
      <c r="I428" s="20">
        <f>Origen!$F428*Origen!$E428</f>
        <v>1113330</v>
      </c>
      <c r="J428" s="6">
        <f>VLOOKUP(A:A,Anexos!A:B,2,0)</f>
        <v>2024</v>
      </c>
      <c r="K428" s="6">
        <f>_xlfn.XLOOKUP(A:A,Anexos!A:A,Anexos!C:C,"No se encuentra",0)</f>
        <v>1</v>
      </c>
      <c r="L428" s="21" t="str">
        <f>VLOOKUP(A:A,Anexos!A:E,5,0)</f>
        <v>domingo</v>
      </c>
      <c r="M428" s="21" t="str">
        <f>VLOOKUP(A:A,Anexos!A:F,6,0)</f>
        <v>enero</v>
      </c>
    </row>
    <row r="429" spans="1:13" x14ac:dyDescent="0.3">
      <c r="A429" s="6">
        <v>428</v>
      </c>
      <c r="B429" s="6" t="s">
        <v>28</v>
      </c>
      <c r="C429" s="1">
        <v>45776</v>
      </c>
      <c r="D429" t="s">
        <v>14</v>
      </c>
      <c r="E429" s="20">
        <v>14271</v>
      </c>
      <c r="F429" s="6">
        <v>70</v>
      </c>
      <c r="G429" t="s">
        <v>17</v>
      </c>
      <c r="H429" t="s">
        <v>24</v>
      </c>
      <c r="I429" s="20">
        <f>Origen!$F429*Origen!$E429</f>
        <v>998970</v>
      </c>
      <c r="J429" s="6">
        <f>VLOOKUP(A:A,Anexos!A:B,2,0)</f>
        <v>2025</v>
      </c>
      <c r="K429" s="6">
        <f>_xlfn.XLOOKUP(A:A,Anexos!A:A,Anexos!C:C,"No se encuentra",0)</f>
        <v>4</v>
      </c>
      <c r="L429" s="21" t="str">
        <f>VLOOKUP(A:A,Anexos!A:E,5,0)</f>
        <v>martes</v>
      </c>
      <c r="M429" s="21" t="str">
        <f>VLOOKUP(A:A,Anexos!A:F,6,0)</f>
        <v>abril</v>
      </c>
    </row>
    <row r="430" spans="1:13" x14ac:dyDescent="0.3">
      <c r="A430" s="6">
        <v>429</v>
      </c>
      <c r="B430" s="6" t="s">
        <v>29</v>
      </c>
      <c r="C430" s="1">
        <v>44988</v>
      </c>
      <c r="D430" t="s">
        <v>15</v>
      </c>
      <c r="E430" s="20">
        <v>12361</v>
      </c>
      <c r="F430" s="6">
        <v>82</v>
      </c>
      <c r="G430" t="s">
        <v>18</v>
      </c>
      <c r="H430" t="s">
        <v>21</v>
      </c>
      <c r="I430" s="20">
        <f>Origen!$F430*Origen!$E430</f>
        <v>1013602</v>
      </c>
      <c r="J430" s="6">
        <f>VLOOKUP(A:A,Anexos!A:B,2,0)</f>
        <v>2023</v>
      </c>
      <c r="K430" s="6">
        <f>_xlfn.XLOOKUP(A:A,Anexos!A:A,Anexos!C:C,"No se encuentra",0)</f>
        <v>3</v>
      </c>
      <c r="L430" s="21" t="str">
        <f>VLOOKUP(A:A,Anexos!A:E,5,0)</f>
        <v>viernes</v>
      </c>
      <c r="M430" s="21" t="str">
        <f>VLOOKUP(A:A,Anexos!A:F,6,0)</f>
        <v>marzo</v>
      </c>
    </row>
    <row r="431" spans="1:13" x14ac:dyDescent="0.3">
      <c r="A431" s="6">
        <v>430</v>
      </c>
      <c r="B431" s="6" t="s">
        <v>27</v>
      </c>
      <c r="C431" s="1">
        <v>45833</v>
      </c>
      <c r="D431" t="s">
        <v>16</v>
      </c>
      <c r="E431" s="20">
        <v>14933</v>
      </c>
      <c r="F431" s="6">
        <v>91</v>
      </c>
      <c r="G431" t="s">
        <v>19</v>
      </c>
      <c r="H431" t="s">
        <v>22</v>
      </c>
      <c r="I431" s="20">
        <f>Origen!$F431*Origen!$E431</f>
        <v>1358903</v>
      </c>
      <c r="J431" s="6">
        <f>VLOOKUP(A:A,Anexos!A:B,2,0)</f>
        <v>2025</v>
      </c>
      <c r="K431" s="6">
        <f>_xlfn.XLOOKUP(A:A,Anexos!A:A,Anexos!C:C,"No se encuentra",0)</f>
        <v>6</v>
      </c>
      <c r="L431" s="21" t="str">
        <f>VLOOKUP(A:A,Anexos!A:E,5,0)</f>
        <v>miércoles</v>
      </c>
      <c r="M431" s="21" t="str">
        <f>VLOOKUP(A:A,Anexos!A:F,6,0)</f>
        <v>junio</v>
      </c>
    </row>
  </sheetData>
  <mergeCells count="1">
    <mergeCell ref="P1:Q1"/>
  </mergeCells>
  <phoneticPr fontId="2" type="noConversion"/>
  <pageMargins left="0.7" right="0.7" top="0.75" bottom="0.75" header="0.3" footer="0.3"/>
  <headerFooter>
    <oddHeader>&amp;L&amp;"Aptos"&amp;6&amp;K0000FF Documento/Email Para uso compartido Público&amp;1#_x000D_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B171B-B9A2-4C00-97E4-5EA0ABFDC1B2}">
  <dimension ref="A1:H431"/>
  <sheetViews>
    <sheetView workbookViewId="0">
      <selection activeCell="D8" sqref="D8"/>
    </sheetView>
  </sheetViews>
  <sheetFormatPr baseColWidth="10" defaultRowHeight="14.4" x14ac:dyDescent="0.3"/>
  <cols>
    <col min="7" max="7" width="16.21875" customWidth="1"/>
    <col min="8" max="8" width="18.6640625" customWidth="1"/>
  </cols>
  <sheetData>
    <row r="1" spans="1:8" x14ac:dyDescent="0.3">
      <c r="A1" s="6" t="s">
        <v>30</v>
      </c>
      <c r="B1" s="6" t="s">
        <v>39</v>
      </c>
      <c r="C1" s="6" t="s">
        <v>40</v>
      </c>
      <c r="D1" s="6" t="s">
        <v>41</v>
      </c>
      <c r="E1" s="6" t="s">
        <v>44</v>
      </c>
      <c r="F1" s="6" t="s">
        <v>42</v>
      </c>
      <c r="G1" s="6" t="s">
        <v>43</v>
      </c>
      <c r="H1" s="6" t="s">
        <v>45</v>
      </c>
    </row>
    <row r="2" spans="1:8" x14ac:dyDescent="0.3">
      <c r="A2" s="6">
        <v>1</v>
      </c>
      <c r="B2" s="6">
        <f>YEAR(Base1[[#This Row],[Fechas]])</f>
        <v>2024</v>
      </c>
      <c r="C2" s="6">
        <f>MONTH(Base1[[#This Row],[Fechas]])</f>
        <v>7</v>
      </c>
      <c r="D2" s="6">
        <f>DAY(Base1[[#This Row],[Fechas]])</f>
        <v>15</v>
      </c>
      <c r="E2" s="6" t="str">
        <f>TEXT(Base1[[#This Row],[Fechas]],"DDDD")</f>
        <v>lunes</v>
      </c>
      <c r="F2" s="6" t="str">
        <f>TEXT(Base1[[#This Row],[Fechas]],"MMMM")</f>
        <v>julio</v>
      </c>
      <c r="G2" s="6">
        <f ca="1">_xlfn.DAYS(TODAY(),Base1[[#This Row],[Fechas]])</f>
        <v>709</v>
      </c>
      <c r="H2" s="7">
        <f ca="1">BaseA[[#This Row],[Días Transcurridos]]/360</f>
        <v>1.9694444444444446</v>
      </c>
    </row>
    <row r="3" spans="1:8" x14ac:dyDescent="0.3">
      <c r="A3" s="6">
        <v>2</v>
      </c>
      <c r="B3" s="6">
        <f>YEAR(Base1[[#This Row],[Fechas]])</f>
        <v>2024</v>
      </c>
      <c r="C3" s="6">
        <f>MONTH(Base1[[#This Row],[Fechas]])</f>
        <v>1</v>
      </c>
      <c r="D3" s="6">
        <f>DAY(Base1[[#This Row],[Fechas]])</f>
        <v>20</v>
      </c>
      <c r="E3" s="6" t="str">
        <f>TEXT(Base1[[#This Row],[Fechas]],"DDDD")</f>
        <v>sábado</v>
      </c>
      <c r="F3" s="6" t="str">
        <f>TEXT(Base1[[#This Row],[Fechas]],"MMMM")</f>
        <v>enero</v>
      </c>
      <c r="G3" s="6">
        <f ca="1">_xlfn.DAYS(TODAY(),Base1[[#This Row],[Fechas]])</f>
        <v>886</v>
      </c>
      <c r="H3" s="7">
        <f ca="1">BaseA[[#This Row],[Días Transcurridos]]/360</f>
        <v>2.4611111111111112</v>
      </c>
    </row>
    <row r="4" spans="1:8" x14ac:dyDescent="0.3">
      <c r="A4" s="6">
        <v>3</v>
      </c>
      <c r="B4" s="6">
        <f>YEAR(Base1[[#This Row],[Fechas]])</f>
        <v>2023</v>
      </c>
      <c r="C4" s="6">
        <f>MONTH(Base1[[#This Row],[Fechas]])</f>
        <v>8</v>
      </c>
      <c r="D4" s="6">
        <f>DAY(Base1[[#This Row],[Fechas]])</f>
        <v>3</v>
      </c>
      <c r="E4" s="6" t="str">
        <f>TEXT(Base1[[#This Row],[Fechas]],"DDDD")</f>
        <v>jueves</v>
      </c>
      <c r="F4" s="6" t="str">
        <f>TEXT(Base1[[#This Row],[Fechas]],"MMMM")</f>
        <v>agosto</v>
      </c>
      <c r="G4" s="6">
        <f ca="1">_xlfn.DAYS(TODAY(),Base1[[#This Row],[Fechas]])</f>
        <v>1056</v>
      </c>
      <c r="H4" s="7">
        <f ca="1">BaseA[[#This Row],[Días Transcurridos]]/360</f>
        <v>2.9333333333333331</v>
      </c>
    </row>
    <row r="5" spans="1:8" x14ac:dyDescent="0.3">
      <c r="A5" s="6">
        <v>4</v>
      </c>
      <c r="B5" s="6">
        <f>YEAR(Base1[[#This Row],[Fechas]])</f>
        <v>2024</v>
      </c>
      <c r="C5" s="6">
        <f>MONTH(Base1[[#This Row],[Fechas]])</f>
        <v>1</v>
      </c>
      <c r="D5" s="6">
        <f>DAY(Base1[[#This Row],[Fechas]])</f>
        <v>11</v>
      </c>
      <c r="E5" s="6" t="str">
        <f>TEXT(Base1[[#This Row],[Fechas]],"DDDD")</f>
        <v>jueves</v>
      </c>
      <c r="F5" s="6" t="str">
        <f>TEXT(Base1[[#This Row],[Fechas]],"MMMM")</f>
        <v>enero</v>
      </c>
      <c r="G5" s="6">
        <f ca="1">_xlfn.DAYS(TODAY(),Base1[[#This Row],[Fechas]])</f>
        <v>895</v>
      </c>
      <c r="H5" s="7">
        <f ca="1">BaseA[[#This Row],[Días Transcurridos]]/360</f>
        <v>2.4861111111111112</v>
      </c>
    </row>
    <row r="6" spans="1:8" x14ac:dyDescent="0.3">
      <c r="A6" s="6">
        <v>5</v>
      </c>
      <c r="B6" s="6">
        <f>YEAR(Base1[[#This Row],[Fechas]])</f>
        <v>2025</v>
      </c>
      <c r="C6" s="6">
        <f>MONTH(Base1[[#This Row],[Fechas]])</f>
        <v>10</v>
      </c>
      <c r="D6" s="6">
        <f>DAY(Base1[[#This Row],[Fechas]])</f>
        <v>9</v>
      </c>
      <c r="E6" s="6" t="str">
        <f>TEXT(Base1[[#This Row],[Fechas]],"DDDD")</f>
        <v>jueves</v>
      </c>
      <c r="F6" s="6" t="str">
        <f>TEXT(Base1[[#This Row],[Fechas]],"MMMM")</f>
        <v>octubre</v>
      </c>
      <c r="G6" s="6">
        <f ca="1">_xlfn.DAYS(TODAY(),Base1[[#This Row],[Fechas]])</f>
        <v>258</v>
      </c>
      <c r="H6" s="7">
        <f ca="1">BaseA[[#This Row],[Días Transcurridos]]/360</f>
        <v>0.71666666666666667</v>
      </c>
    </row>
    <row r="7" spans="1:8" x14ac:dyDescent="0.3">
      <c r="A7" s="6">
        <v>6</v>
      </c>
      <c r="B7" s="6">
        <f>YEAR(Base1[[#This Row],[Fechas]])</f>
        <v>2025</v>
      </c>
      <c r="C7" s="6">
        <f>MONTH(Base1[[#This Row],[Fechas]])</f>
        <v>3</v>
      </c>
      <c r="D7" s="6">
        <f>DAY(Base1[[#This Row],[Fechas]])</f>
        <v>24</v>
      </c>
      <c r="E7" s="6" t="str">
        <f>TEXT(Base1[[#This Row],[Fechas]],"DDDD")</f>
        <v>lunes</v>
      </c>
      <c r="F7" s="6" t="str">
        <f>TEXT(Base1[[#This Row],[Fechas]],"MMMM")</f>
        <v>marzo</v>
      </c>
      <c r="G7" s="6">
        <f ca="1">_xlfn.DAYS(TODAY(),Base1[[#This Row],[Fechas]])</f>
        <v>457</v>
      </c>
      <c r="H7" s="7">
        <f ca="1">BaseA[[#This Row],[Días Transcurridos]]/360</f>
        <v>1.2694444444444444</v>
      </c>
    </row>
    <row r="8" spans="1:8" x14ac:dyDescent="0.3">
      <c r="A8" s="6">
        <v>7</v>
      </c>
      <c r="B8" s="6">
        <f>YEAR(Base1[[#This Row],[Fechas]])</f>
        <v>2025</v>
      </c>
      <c r="C8" s="6">
        <f>MONTH(Base1[[#This Row],[Fechas]])</f>
        <v>5</v>
      </c>
      <c r="D8" s="6">
        <f>DAY(Base1[[#This Row],[Fechas]])</f>
        <v>17</v>
      </c>
      <c r="E8" s="6" t="str">
        <f>TEXT(Base1[[#This Row],[Fechas]],"DDDD")</f>
        <v>sábado</v>
      </c>
      <c r="F8" s="6" t="str">
        <f>TEXT(Base1[[#This Row],[Fechas]],"MMMM")</f>
        <v>mayo</v>
      </c>
      <c r="G8" s="6">
        <f ca="1">_xlfn.DAYS(TODAY(),Base1[[#This Row],[Fechas]])</f>
        <v>403</v>
      </c>
      <c r="H8" s="7">
        <f ca="1">BaseA[[#This Row],[Días Transcurridos]]/360</f>
        <v>1.1194444444444445</v>
      </c>
    </row>
    <row r="9" spans="1:8" x14ac:dyDescent="0.3">
      <c r="A9" s="6">
        <v>8</v>
      </c>
      <c r="B9" s="6">
        <f>YEAR(Base1[[#This Row],[Fechas]])</f>
        <v>2023</v>
      </c>
      <c r="C9" s="6">
        <f>MONTH(Base1[[#This Row],[Fechas]])</f>
        <v>4</v>
      </c>
      <c r="D9" s="6">
        <f>DAY(Base1[[#This Row],[Fechas]])</f>
        <v>12</v>
      </c>
      <c r="E9" s="6" t="str">
        <f>TEXT(Base1[[#This Row],[Fechas]],"DDDD")</f>
        <v>miércoles</v>
      </c>
      <c r="F9" s="6" t="str">
        <f>TEXT(Base1[[#This Row],[Fechas]],"MMMM")</f>
        <v>abril</v>
      </c>
      <c r="G9" s="6">
        <f ca="1">_xlfn.DAYS(TODAY(),Base1[[#This Row],[Fechas]])</f>
        <v>1169</v>
      </c>
      <c r="H9" s="7">
        <f ca="1">BaseA[[#This Row],[Días Transcurridos]]/360</f>
        <v>3.2472222222222222</v>
      </c>
    </row>
    <row r="10" spans="1:8" x14ac:dyDescent="0.3">
      <c r="A10" s="6">
        <v>9</v>
      </c>
      <c r="B10" s="6">
        <f>YEAR(Base1[[#This Row],[Fechas]])</f>
        <v>2025</v>
      </c>
      <c r="C10" s="6">
        <f>MONTH(Base1[[#This Row],[Fechas]])</f>
        <v>11</v>
      </c>
      <c r="D10" s="6">
        <f>DAY(Base1[[#This Row],[Fechas]])</f>
        <v>8</v>
      </c>
      <c r="E10" s="6" t="str">
        <f>TEXT(Base1[[#This Row],[Fechas]],"DDDD")</f>
        <v>sábado</v>
      </c>
      <c r="F10" s="6" t="str">
        <f>TEXT(Base1[[#This Row],[Fechas]],"MMMM")</f>
        <v>noviembre</v>
      </c>
      <c r="G10" s="6">
        <f ca="1">_xlfn.DAYS(TODAY(),Base1[[#This Row],[Fechas]])</f>
        <v>228</v>
      </c>
      <c r="H10" s="7">
        <f ca="1">BaseA[[#This Row],[Días Transcurridos]]/360</f>
        <v>0.6333333333333333</v>
      </c>
    </row>
    <row r="11" spans="1:8" x14ac:dyDescent="0.3">
      <c r="A11" s="6">
        <v>10</v>
      </c>
      <c r="B11" s="6">
        <f>YEAR(Base1[[#This Row],[Fechas]])</f>
        <v>2025</v>
      </c>
      <c r="C11" s="6">
        <f>MONTH(Base1[[#This Row],[Fechas]])</f>
        <v>10</v>
      </c>
      <c r="D11" s="6">
        <f>DAY(Base1[[#This Row],[Fechas]])</f>
        <v>24</v>
      </c>
      <c r="E11" s="6" t="str">
        <f>TEXT(Base1[[#This Row],[Fechas]],"DDDD")</f>
        <v>viernes</v>
      </c>
      <c r="F11" s="6" t="str">
        <f>TEXT(Base1[[#This Row],[Fechas]],"MMMM")</f>
        <v>octubre</v>
      </c>
      <c r="G11" s="6">
        <f ca="1">_xlfn.DAYS(TODAY(),Base1[[#This Row],[Fechas]])</f>
        <v>243</v>
      </c>
      <c r="H11" s="7">
        <f ca="1">BaseA[[#This Row],[Días Transcurridos]]/360</f>
        <v>0.67500000000000004</v>
      </c>
    </row>
    <row r="12" spans="1:8" x14ac:dyDescent="0.3">
      <c r="A12" s="6">
        <v>11</v>
      </c>
      <c r="B12" s="6">
        <f>YEAR(Base1[[#This Row],[Fechas]])</f>
        <v>2024</v>
      </c>
      <c r="C12" s="6">
        <f>MONTH(Base1[[#This Row],[Fechas]])</f>
        <v>2</v>
      </c>
      <c r="D12" s="6">
        <f>DAY(Base1[[#This Row],[Fechas]])</f>
        <v>20</v>
      </c>
      <c r="E12" s="6" t="str">
        <f>TEXT(Base1[[#This Row],[Fechas]],"DDDD")</f>
        <v>martes</v>
      </c>
      <c r="F12" s="6" t="str">
        <f>TEXT(Base1[[#This Row],[Fechas]],"MMMM")</f>
        <v>febrero</v>
      </c>
      <c r="G12" s="6">
        <f ca="1">_xlfn.DAYS(TODAY(),Base1[[#This Row],[Fechas]])</f>
        <v>855</v>
      </c>
      <c r="H12" s="7">
        <f ca="1">BaseA[[#This Row],[Días Transcurridos]]/360</f>
        <v>2.375</v>
      </c>
    </row>
    <row r="13" spans="1:8" x14ac:dyDescent="0.3">
      <c r="A13" s="6">
        <v>12</v>
      </c>
      <c r="B13" s="6">
        <f>YEAR(Base1[[#This Row],[Fechas]])</f>
        <v>2024</v>
      </c>
      <c r="C13" s="6">
        <f>MONTH(Base1[[#This Row],[Fechas]])</f>
        <v>2</v>
      </c>
      <c r="D13" s="6">
        <f>DAY(Base1[[#This Row],[Fechas]])</f>
        <v>24</v>
      </c>
      <c r="E13" s="6" t="str">
        <f>TEXT(Base1[[#This Row],[Fechas]],"DDDD")</f>
        <v>sábado</v>
      </c>
      <c r="F13" s="6" t="str">
        <f>TEXT(Base1[[#This Row],[Fechas]],"MMMM")</f>
        <v>febrero</v>
      </c>
      <c r="G13" s="6">
        <f ca="1">_xlfn.DAYS(TODAY(),Base1[[#This Row],[Fechas]])</f>
        <v>851</v>
      </c>
      <c r="H13" s="7">
        <f ca="1">BaseA[[#This Row],[Días Transcurridos]]/360</f>
        <v>2.3638888888888889</v>
      </c>
    </row>
    <row r="14" spans="1:8" x14ac:dyDescent="0.3">
      <c r="A14" s="6">
        <v>13</v>
      </c>
      <c r="B14" s="6">
        <f>YEAR(Base1[[#This Row],[Fechas]])</f>
        <v>2024</v>
      </c>
      <c r="C14" s="6">
        <f>MONTH(Base1[[#This Row],[Fechas]])</f>
        <v>10</v>
      </c>
      <c r="D14" s="6">
        <f>DAY(Base1[[#This Row],[Fechas]])</f>
        <v>14</v>
      </c>
      <c r="E14" s="6" t="str">
        <f>TEXT(Base1[[#This Row],[Fechas]],"DDDD")</f>
        <v>lunes</v>
      </c>
      <c r="F14" s="6" t="str">
        <f>TEXT(Base1[[#This Row],[Fechas]],"MMMM")</f>
        <v>octubre</v>
      </c>
      <c r="G14" s="6">
        <f ca="1">_xlfn.DAYS(TODAY(),Base1[[#This Row],[Fechas]])</f>
        <v>618</v>
      </c>
      <c r="H14" s="7">
        <f ca="1">BaseA[[#This Row],[Días Transcurridos]]/360</f>
        <v>1.7166666666666666</v>
      </c>
    </row>
    <row r="15" spans="1:8" x14ac:dyDescent="0.3">
      <c r="A15" s="6">
        <v>14</v>
      </c>
      <c r="B15" s="6">
        <f>YEAR(Base1[[#This Row],[Fechas]])</f>
        <v>2025</v>
      </c>
      <c r="C15" s="6">
        <f>MONTH(Base1[[#This Row],[Fechas]])</f>
        <v>1</v>
      </c>
      <c r="D15" s="6">
        <f>DAY(Base1[[#This Row],[Fechas]])</f>
        <v>7</v>
      </c>
      <c r="E15" s="6" t="str">
        <f>TEXT(Base1[[#This Row],[Fechas]],"DDDD")</f>
        <v>martes</v>
      </c>
      <c r="F15" s="6" t="str">
        <f>TEXT(Base1[[#This Row],[Fechas]],"MMMM")</f>
        <v>enero</v>
      </c>
      <c r="G15" s="6">
        <f ca="1">_xlfn.DAYS(TODAY(),Base1[[#This Row],[Fechas]])</f>
        <v>533</v>
      </c>
      <c r="H15" s="7">
        <f ca="1">BaseA[[#This Row],[Días Transcurridos]]/360</f>
        <v>1.4805555555555556</v>
      </c>
    </row>
    <row r="16" spans="1:8" x14ac:dyDescent="0.3">
      <c r="A16" s="6">
        <v>15</v>
      </c>
      <c r="B16" s="6">
        <f>YEAR(Base1[[#This Row],[Fechas]])</f>
        <v>2025</v>
      </c>
      <c r="C16" s="6">
        <f>MONTH(Base1[[#This Row],[Fechas]])</f>
        <v>9</v>
      </c>
      <c r="D16" s="6">
        <f>DAY(Base1[[#This Row],[Fechas]])</f>
        <v>7</v>
      </c>
      <c r="E16" s="6" t="str">
        <f>TEXT(Base1[[#This Row],[Fechas]],"DDDD")</f>
        <v>domingo</v>
      </c>
      <c r="F16" s="6" t="str">
        <f>TEXT(Base1[[#This Row],[Fechas]],"MMMM")</f>
        <v>septiembre</v>
      </c>
      <c r="G16" s="6">
        <f ca="1">_xlfn.DAYS(TODAY(),Base1[[#This Row],[Fechas]])</f>
        <v>290</v>
      </c>
      <c r="H16" s="7">
        <f ca="1">BaseA[[#This Row],[Días Transcurridos]]/360</f>
        <v>0.80555555555555558</v>
      </c>
    </row>
    <row r="17" spans="1:8" x14ac:dyDescent="0.3">
      <c r="A17" s="6">
        <v>16</v>
      </c>
      <c r="B17" s="6">
        <f>YEAR(Base1[[#This Row],[Fechas]])</f>
        <v>2024</v>
      </c>
      <c r="C17" s="6">
        <f>MONTH(Base1[[#This Row],[Fechas]])</f>
        <v>7</v>
      </c>
      <c r="D17" s="6">
        <f>DAY(Base1[[#This Row],[Fechas]])</f>
        <v>29</v>
      </c>
      <c r="E17" s="6" t="str">
        <f>TEXT(Base1[[#This Row],[Fechas]],"DDDD")</f>
        <v>lunes</v>
      </c>
      <c r="F17" s="6" t="str">
        <f>TEXT(Base1[[#This Row],[Fechas]],"MMMM")</f>
        <v>julio</v>
      </c>
      <c r="G17" s="6">
        <f ca="1">_xlfn.DAYS(TODAY(),Base1[[#This Row],[Fechas]])</f>
        <v>695</v>
      </c>
      <c r="H17" s="7">
        <f ca="1">BaseA[[#This Row],[Días Transcurridos]]/360</f>
        <v>1.9305555555555556</v>
      </c>
    </row>
    <row r="18" spans="1:8" x14ac:dyDescent="0.3">
      <c r="A18" s="6">
        <v>17</v>
      </c>
      <c r="B18" s="6">
        <f>YEAR(Base1[[#This Row],[Fechas]])</f>
        <v>2023</v>
      </c>
      <c r="C18" s="6">
        <f>MONTH(Base1[[#This Row],[Fechas]])</f>
        <v>4</v>
      </c>
      <c r="D18" s="6">
        <f>DAY(Base1[[#This Row],[Fechas]])</f>
        <v>7</v>
      </c>
      <c r="E18" s="6" t="str">
        <f>TEXT(Base1[[#This Row],[Fechas]],"DDDD")</f>
        <v>viernes</v>
      </c>
      <c r="F18" s="6" t="str">
        <f>TEXT(Base1[[#This Row],[Fechas]],"MMMM")</f>
        <v>abril</v>
      </c>
      <c r="G18" s="6">
        <f ca="1">_xlfn.DAYS(TODAY(),Base1[[#This Row],[Fechas]])</f>
        <v>1174</v>
      </c>
      <c r="H18" s="7">
        <f ca="1">BaseA[[#This Row],[Días Transcurridos]]/360</f>
        <v>3.2611111111111111</v>
      </c>
    </row>
    <row r="19" spans="1:8" x14ac:dyDescent="0.3">
      <c r="A19" s="6">
        <v>18</v>
      </c>
      <c r="B19" s="6">
        <f>YEAR(Base1[[#This Row],[Fechas]])</f>
        <v>2023</v>
      </c>
      <c r="C19" s="6">
        <f>MONTH(Base1[[#This Row],[Fechas]])</f>
        <v>10</v>
      </c>
      <c r="D19" s="6">
        <f>DAY(Base1[[#This Row],[Fechas]])</f>
        <v>12</v>
      </c>
      <c r="E19" s="6" t="str">
        <f>TEXT(Base1[[#This Row],[Fechas]],"DDDD")</f>
        <v>jueves</v>
      </c>
      <c r="F19" s="6" t="str">
        <f>TEXT(Base1[[#This Row],[Fechas]],"MMMM")</f>
        <v>octubre</v>
      </c>
      <c r="G19" s="6">
        <f ca="1">_xlfn.DAYS(TODAY(),Base1[[#This Row],[Fechas]])</f>
        <v>986</v>
      </c>
      <c r="H19" s="7">
        <f ca="1">BaseA[[#This Row],[Días Transcurridos]]/360</f>
        <v>2.7388888888888889</v>
      </c>
    </row>
    <row r="20" spans="1:8" x14ac:dyDescent="0.3">
      <c r="A20" s="6">
        <v>19</v>
      </c>
      <c r="B20" s="6">
        <f>YEAR(Base1[[#This Row],[Fechas]])</f>
        <v>2024</v>
      </c>
      <c r="C20" s="6">
        <f>MONTH(Base1[[#This Row],[Fechas]])</f>
        <v>5</v>
      </c>
      <c r="D20" s="6">
        <f>DAY(Base1[[#This Row],[Fechas]])</f>
        <v>13</v>
      </c>
      <c r="E20" s="6" t="str">
        <f>TEXT(Base1[[#This Row],[Fechas]],"DDDD")</f>
        <v>lunes</v>
      </c>
      <c r="F20" s="6" t="str">
        <f>TEXT(Base1[[#This Row],[Fechas]],"MMMM")</f>
        <v>mayo</v>
      </c>
      <c r="G20" s="6">
        <f ca="1">_xlfn.DAYS(TODAY(),Base1[[#This Row],[Fechas]])</f>
        <v>772</v>
      </c>
      <c r="H20" s="7">
        <f ca="1">BaseA[[#This Row],[Días Transcurridos]]/360</f>
        <v>2.1444444444444444</v>
      </c>
    </row>
    <row r="21" spans="1:8" x14ac:dyDescent="0.3">
      <c r="A21" s="6">
        <v>20</v>
      </c>
      <c r="B21" s="6">
        <f>YEAR(Base1[[#This Row],[Fechas]])</f>
        <v>2025</v>
      </c>
      <c r="C21" s="6">
        <f>MONTH(Base1[[#This Row],[Fechas]])</f>
        <v>12</v>
      </c>
      <c r="D21" s="6">
        <f>DAY(Base1[[#This Row],[Fechas]])</f>
        <v>19</v>
      </c>
      <c r="E21" s="6" t="str">
        <f>TEXT(Base1[[#This Row],[Fechas]],"DDDD")</f>
        <v>viernes</v>
      </c>
      <c r="F21" s="6" t="str">
        <f>TEXT(Base1[[#This Row],[Fechas]],"MMMM")</f>
        <v>diciembre</v>
      </c>
      <c r="G21" s="6">
        <f ca="1">_xlfn.DAYS(TODAY(),Base1[[#This Row],[Fechas]])</f>
        <v>187</v>
      </c>
      <c r="H21" s="7">
        <f ca="1">BaseA[[#This Row],[Días Transcurridos]]/360</f>
        <v>0.51944444444444449</v>
      </c>
    </row>
    <row r="22" spans="1:8" x14ac:dyDescent="0.3">
      <c r="A22" s="6">
        <v>21</v>
      </c>
      <c r="B22" s="6">
        <f>YEAR(Base1[[#This Row],[Fechas]])</f>
        <v>2024</v>
      </c>
      <c r="C22" s="6">
        <f>MONTH(Base1[[#This Row],[Fechas]])</f>
        <v>10</v>
      </c>
      <c r="D22" s="6">
        <f>DAY(Base1[[#This Row],[Fechas]])</f>
        <v>21</v>
      </c>
      <c r="E22" s="6" t="str">
        <f>TEXT(Base1[[#This Row],[Fechas]],"DDDD")</f>
        <v>lunes</v>
      </c>
      <c r="F22" s="6" t="str">
        <f>TEXT(Base1[[#This Row],[Fechas]],"MMMM")</f>
        <v>octubre</v>
      </c>
      <c r="G22" s="6">
        <f ca="1">_xlfn.DAYS(TODAY(),Base1[[#This Row],[Fechas]])</f>
        <v>611</v>
      </c>
      <c r="H22" s="7">
        <f ca="1">BaseA[[#This Row],[Días Transcurridos]]/360</f>
        <v>1.6972222222222222</v>
      </c>
    </row>
    <row r="23" spans="1:8" x14ac:dyDescent="0.3">
      <c r="A23" s="6">
        <v>22</v>
      </c>
      <c r="B23" s="6">
        <f>YEAR(Base1[[#This Row],[Fechas]])</f>
        <v>2025</v>
      </c>
      <c r="C23" s="6">
        <f>MONTH(Base1[[#This Row],[Fechas]])</f>
        <v>5</v>
      </c>
      <c r="D23" s="6">
        <f>DAY(Base1[[#This Row],[Fechas]])</f>
        <v>19</v>
      </c>
      <c r="E23" s="6" t="str">
        <f>TEXT(Base1[[#This Row],[Fechas]],"DDDD")</f>
        <v>lunes</v>
      </c>
      <c r="F23" s="6" t="str">
        <f>TEXT(Base1[[#This Row],[Fechas]],"MMMM")</f>
        <v>mayo</v>
      </c>
      <c r="G23" s="6">
        <f ca="1">_xlfn.DAYS(TODAY(),Base1[[#This Row],[Fechas]])</f>
        <v>401</v>
      </c>
      <c r="H23" s="7">
        <f ca="1">BaseA[[#This Row],[Días Transcurridos]]/360</f>
        <v>1.1138888888888889</v>
      </c>
    </row>
    <row r="24" spans="1:8" x14ac:dyDescent="0.3">
      <c r="A24" s="6">
        <v>23</v>
      </c>
      <c r="B24" s="6">
        <f>YEAR(Base1[[#This Row],[Fechas]])</f>
        <v>2025</v>
      </c>
      <c r="C24" s="6">
        <f>MONTH(Base1[[#This Row],[Fechas]])</f>
        <v>6</v>
      </c>
      <c r="D24" s="6">
        <f>DAY(Base1[[#This Row],[Fechas]])</f>
        <v>4</v>
      </c>
      <c r="E24" s="6" t="str">
        <f>TEXT(Base1[[#This Row],[Fechas]],"DDDD")</f>
        <v>miércoles</v>
      </c>
      <c r="F24" s="6" t="str">
        <f>TEXT(Base1[[#This Row],[Fechas]],"MMMM")</f>
        <v>junio</v>
      </c>
      <c r="G24" s="6">
        <f ca="1">_xlfn.DAYS(TODAY(),Base1[[#This Row],[Fechas]])</f>
        <v>385</v>
      </c>
      <c r="H24" s="7">
        <f ca="1">BaseA[[#This Row],[Días Transcurridos]]/360</f>
        <v>1.0694444444444444</v>
      </c>
    </row>
    <row r="25" spans="1:8" x14ac:dyDescent="0.3">
      <c r="A25" s="6">
        <v>24</v>
      </c>
      <c r="B25" s="6">
        <f>YEAR(Base1[[#This Row],[Fechas]])</f>
        <v>2025</v>
      </c>
      <c r="C25" s="6">
        <f>MONTH(Base1[[#This Row],[Fechas]])</f>
        <v>5</v>
      </c>
      <c r="D25" s="6">
        <f>DAY(Base1[[#This Row],[Fechas]])</f>
        <v>12</v>
      </c>
      <c r="E25" s="6" t="str">
        <f>TEXT(Base1[[#This Row],[Fechas]],"DDDD")</f>
        <v>lunes</v>
      </c>
      <c r="F25" s="6" t="str">
        <f>TEXT(Base1[[#This Row],[Fechas]],"MMMM")</f>
        <v>mayo</v>
      </c>
      <c r="G25" s="6">
        <f ca="1">_xlfn.DAYS(TODAY(),Base1[[#This Row],[Fechas]])</f>
        <v>408</v>
      </c>
      <c r="H25" s="7">
        <f ca="1">BaseA[[#This Row],[Días Transcurridos]]/360</f>
        <v>1.1333333333333333</v>
      </c>
    </row>
    <row r="26" spans="1:8" x14ac:dyDescent="0.3">
      <c r="A26" s="6">
        <v>25</v>
      </c>
      <c r="B26" s="6">
        <f>YEAR(Base1[[#This Row],[Fechas]])</f>
        <v>2023</v>
      </c>
      <c r="C26" s="6">
        <f>MONTH(Base1[[#This Row],[Fechas]])</f>
        <v>11</v>
      </c>
      <c r="D26" s="6">
        <f>DAY(Base1[[#This Row],[Fechas]])</f>
        <v>28</v>
      </c>
      <c r="E26" s="6" t="str">
        <f>TEXT(Base1[[#This Row],[Fechas]],"DDDD")</f>
        <v>martes</v>
      </c>
      <c r="F26" s="6" t="str">
        <f>TEXT(Base1[[#This Row],[Fechas]],"MMMM")</f>
        <v>noviembre</v>
      </c>
      <c r="G26" s="6">
        <f ca="1">_xlfn.DAYS(TODAY(),Base1[[#This Row],[Fechas]])</f>
        <v>939</v>
      </c>
      <c r="H26" s="7">
        <f ca="1">BaseA[[#This Row],[Días Transcurridos]]/360</f>
        <v>2.6083333333333334</v>
      </c>
    </row>
    <row r="27" spans="1:8" x14ac:dyDescent="0.3">
      <c r="A27" s="6">
        <v>26</v>
      </c>
      <c r="B27" s="6">
        <f>YEAR(Base1[[#This Row],[Fechas]])</f>
        <v>2024</v>
      </c>
      <c r="C27" s="6">
        <f>MONTH(Base1[[#This Row],[Fechas]])</f>
        <v>11</v>
      </c>
      <c r="D27" s="6">
        <f>DAY(Base1[[#This Row],[Fechas]])</f>
        <v>15</v>
      </c>
      <c r="E27" s="6" t="str">
        <f>TEXT(Base1[[#This Row],[Fechas]],"DDDD")</f>
        <v>viernes</v>
      </c>
      <c r="F27" s="6" t="str">
        <f>TEXT(Base1[[#This Row],[Fechas]],"MMMM")</f>
        <v>noviembre</v>
      </c>
      <c r="G27" s="6">
        <f ca="1">_xlfn.DAYS(TODAY(),Base1[[#This Row],[Fechas]])</f>
        <v>586</v>
      </c>
      <c r="H27" s="7">
        <f ca="1">BaseA[[#This Row],[Días Transcurridos]]/360</f>
        <v>1.6277777777777778</v>
      </c>
    </row>
    <row r="28" spans="1:8" x14ac:dyDescent="0.3">
      <c r="A28" s="6">
        <v>27</v>
      </c>
      <c r="B28" s="6">
        <f>YEAR(Base1[[#This Row],[Fechas]])</f>
        <v>2024</v>
      </c>
      <c r="C28" s="6">
        <f>MONTH(Base1[[#This Row],[Fechas]])</f>
        <v>12</v>
      </c>
      <c r="D28" s="6">
        <f>DAY(Base1[[#This Row],[Fechas]])</f>
        <v>8</v>
      </c>
      <c r="E28" s="6" t="str">
        <f>TEXT(Base1[[#This Row],[Fechas]],"DDDD")</f>
        <v>domingo</v>
      </c>
      <c r="F28" s="6" t="str">
        <f>TEXT(Base1[[#This Row],[Fechas]],"MMMM")</f>
        <v>diciembre</v>
      </c>
      <c r="G28" s="6">
        <f ca="1">_xlfn.DAYS(TODAY(),Base1[[#This Row],[Fechas]])</f>
        <v>563</v>
      </c>
      <c r="H28" s="7">
        <f ca="1">BaseA[[#This Row],[Días Transcurridos]]/360</f>
        <v>1.5638888888888889</v>
      </c>
    </row>
    <row r="29" spans="1:8" x14ac:dyDescent="0.3">
      <c r="A29" s="6">
        <v>28</v>
      </c>
      <c r="B29" s="6">
        <f>YEAR(Base1[[#This Row],[Fechas]])</f>
        <v>2025</v>
      </c>
      <c r="C29" s="6">
        <f>MONTH(Base1[[#This Row],[Fechas]])</f>
        <v>9</v>
      </c>
      <c r="D29" s="6">
        <f>DAY(Base1[[#This Row],[Fechas]])</f>
        <v>28</v>
      </c>
      <c r="E29" s="6" t="str">
        <f>TEXT(Base1[[#This Row],[Fechas]],"DDDD")</f>
        <v>domingo</v>
      </c>
      <c r="F29" s="6" t="str">
        <f>TEXT(Base1[[#This Row],[Fechas]],"MMMM")</f>
        <v>septiembre</v>
      </c>
      <c r="G29" s="6">
        <f ca="1">_xlfn.DAYS(TODAY(),Base1[[#This Row],[Fechas]])</f>
        <v>269</v>
      </c>
      <c r="H29" s="7">
        <f ca="1">BaseA[[#This Row],[Días Transcurridos]]/360</f>
        <v>0.74722222222222223</v>
      </c>
    </row>
    <row r="30" spans="1:8" x14ac:dyDescent="0.3">
      <c r="A30" s="6">
        <v>29</v>
      </c>
      <c r="B30" s="6">
        <f>YEAR(Base1[[#This Row],[Fechas]])</f>
        <v>2024</v>
      </c>
      <c r="C30" s="6">
        <f>MONTH(Base1[[#This Row],[Fechas]])</f>
        <v>2</v>
      </c>
      <c r="D30" s="6">
        <f>DAY(Base1[[#This Row],[Fechas]])</f>
        <v>1</v>
      </c>
      <c r="E30" s="6" t="str">
        <f>TEXT(Base1[[#This Row],[Fechas]],"DDDD")</f>
        <v>jueves</v>
      </c>
      <c r="F30" s="6" t="str">
        <f>TEXT(Base1[[#This Row],[Fechas]],"MMMM")</f>
        <v>febrero</v>
      </c>
      <c r="G30" s="6">
        <f ca="1">_xlfn.DAYS(TODAY(),Base1[[#This Row],[Fechas]])</f>
        <v>874</v>
      </c>
      <c r="H30" s="7">
        <f ca="1">BaseA[[#This Row],[Días Transcurridos]]/360</f>
        <v>2.4277777777777776</v>
      </c>
    </row>
    <row r="31" spans="1:8" x14ac:dyDescent="0.3">
      <c r="A31" s="6">
        <v>30</v>
      </c>
      <c r="B31" s="6">
        <f>YEAR(Base1[[#This Row],[Fechas]])</f>
        <v>2025</v>
      </c>
      <c r="C31" s="6">
        <f>MONTH(Base1[[#This Row],[Fechas]])</f>
        <v>8</v>
      </c>
      <c r="D31" s="6">
        <f>DAY(Base1[[#This Row],[Fechas]])</f>
        <v>14</v>
      </c>
      <c r="E31" s="6" t="str">
        <f>TEXT(Base1[[#This Row],[Fechas]],"DDDD")</f>
        <v>jueves</v>
      </c>
      <c r="F31" s="6" t="str">
        <f>TEXT(Base1[[#This Row],[Fechas]],"MMMM")</f>
        <v>agosto</v>
      </c>
      <c r="G31" s="6">
        <f ca="1">_xlfn.DAYS(TODAY(),Base1[[#This Row],[Fechas]])</f>
        <v>314</v>
      </c>
      <c r="H31" s="7">
        <f ca="1">BaseA[[#This Row],[Días Transcurridos]]/360</f>
        <v>0.87222222222222223</v>
      </c>
    </row>
    <row r="32" spans="1:8" x14ac:dyDescent="0.3">
      <c r="A32" s="6">
        <v>31</v>
      </c>
      <c r="B32" s="6">
        <f>YEAR(Base1[[#This Row],[Fechas]])</f>
        <v>2024</v>
      </c>
      <c r="C32" s="6">
        <f>MONTH(Base1[[#This Row],[Fechas]])</f>
        <v>11</v>
      </c>
      <c r="D32" s="6">
        <f>DAY(Base1[[#This Row],[Fechas]])</f>
        <v>22</v>
      </c>
      <c r="E32" s="6" t="str">
        <f>TEXT(Base1[[#This Row],[Fechas]],"DDDD")</f>
        <v>viernes</v>
      </c>
      <c r="F32" s="6" t="str">
        <f>TEXT(Base1[[#This Row],[Fechas]],"MMMM")</f>
        <v>noviembre</v>
      </c>
      <c r="G32" s="6">
        <f ca="1">_xlfn.DAYS(TODAY(),Base1[[#This Row],[Fechas]])</f>
        <v>579</v>
      </c>
      <c r="H32" s="7">
        <f ca="1">BaseA[[#This Row],[Días Transcurridos]]/360</f>
        <v>1.6083333333333334</v>
      </c>
    </row>
    <row r="33" spans="1:8" x14ac:dyDescent="0.3">
      <c r="A33" s="6">
        <v>32</v>
      </c>
      <c r="B33" s="6">
        <f>YEAR(Base1[[#This Row],[Fechas]])</f>
        <v>2023</v>
      </c>
      <c r="C33" s="6">
        <f>MONTH(Base1[[#This Row],[Fechas]])</f>
        <v>1</v>
      </c>
      <c r="D33" s="6">
        <f>DAY(Base1[[#This Row],[Fechas]])</f>
        <v>10</v>
      </c>
      <c r="E33" s="6" t="str">
        <f>TEXT(Base1[[#This Row],[Fechas]],"DDDD")</f>
        <v>martes</v>
      </c>
      <c r="F33" s="6" t="str">
        <f>TEXT(Base1[[#This Row],[Fechas]],"MMMM")</f>
        <v>enero</v>
      </c>
      <c r="G33" s="6">
        <f ca="1">_xlfn.DAYS(TODAY(),Base1[[#This Row],[Fechas]])</f>
        <v>1261</v>
      </c>
      <c r="H33" s="7">
        <f ca="1">BaseA[[#This Row],[Días Transcurridos]]/360</f>
        <v>3.5027777777777778</v>
      </c>
    </row>
    <row r="34" spans="1:8" x14ac:dyDescent="0.3">
      <c r="A34" s="6">
        <v>33</v>
      </c>
      <c r="B34" s="6">
        <f>YEAR(Base1[[#This Row],[Fechas]])</f>
        <v>2024</v>
      </c>
      <c r="C34" s="6">
        <f>MONTH(Base1[[#This Row],[Fechas]])</f>
        <v>8</v>
      </c>
      <c r="D34" s="6">
        <f>DAY(Base1[[#This Row],[Fechas]])</f>
        <v>30</v>
      </c>
      <c r="E34" s="6" t="str">
        <f>TEXT(Base1[[#This Row],[Fechas]],"DDDD")</f>
        <v>viernes</v>
      </c>
      <c r="F34" s="6" t="str">
        <f>TEXT(Base1[[#This Row],[Fechas]],"MMMM")</f>
        <v>agosto</v>
      </c>
      <c r="G34" s="6">
        <f ca="1">_xlfn.DAYS(TODAY(),Base1[[#This Row],[Fechas]])</f>
        <v>663</v>
      </c>
      <c r="H34" s="7">
        <f ca="1">BaseA[[#This Row],[Días Transcurridos]]/360</f>
        <v>1.8416666666666666</v>
      </c>
    </row>
    <row r="35" spans="1:8" x14ac:dyDescent="0.3">
      <c r="A35" s="6">
        <v>34</v>
      </c>
      <c r="B35" s="6">
        <f>YEAR(Base1[[#This Row],[Fechas]])</f>
        <v>2024</v>
      </c>
      <c r="C35" s="6">
        <f>MONTH(Base1[[#This Row],[Fechas]])</f>
        <v>4</v>
      </c>
      <c r="D35" s="6">
        <f>DAY(Base1[[#This Row],[Fechas]])</f>
        <v>3</v>
      </c>
      <c r="E35" s="6" t="str">
        <f>TEXT(Base1[[#This Row],[Fechas]],"DDDD")</f>
        <v>miércoles</v>
      </c>
      <c r="F35" s="6" t="str">
        <f>TEXT(Base1[[#This Row],[Fechas]],"MMMM")</f>
        <v>abril</v>
      </c>
      <c r="G35" s="6">
        <f ca="1">_xlfn.DAYS(TODAY(),Base1[[#This Row],[Fechas]])</f>
        <v>812</v>
      </c>
      <c r="H35" s="7">
        <f ca="1">BaseA[[#This Row],[Días Transcurridos]]/360</f>
        <v>2.2555555555555555</v>
      </c>
    </row>
    <row r="36" spans="1:8" x14ac:dyDescent="0.3">
      <c r="A36" s="6">
        <v>35</v>
      </c>
      <c r="B36" s="6">
        <f>YEAR(Base1[[#This Row],[Fechas]])</f>
        <v>2025</v>
      </c>
      <c r="C36" s="6">
        <f>MONTH(Base1[[#This Row],[Fechas]])</f>
        <v>3</v>
      </c>
      <c r="D36" s="6">
        <f>DAY(Base1[[#This Row],[Fechas]])</f>
        <v>28</v>
      </c>
      <c r="E36" s="6" t="str">
        <f>TEXT(Base1[[#This Row],[Fechas]],"DDDD")</f>
        <v>viernes</v>
      </c>
      <c r="F36" s="6" t="str">
        <f>TEXT(Base1[[#This Row],[Fechas]],"MMMM")</f>
        <v>marzo</v>
      </c>
      <c r="G36" s="6">
        <f ca="1">_xlfn.DAYS(TODAY(),Base1[[#This Row],[Fechas]])</f>
        <v>453</v>
      </c>
      <c r="H36" s="7">
        <f ca="1">BaseA[[#This Row],[Días Transcurridos]]/360</f>
        <v>1.2583333333333333</v>
      </c>
    </row>
    <row r="37" spans="1:8" x14ac:dyDescent="0.3">
      <c r="A37" s="6">
        <v>36</v>
      </c>
      <c r="B37" s="6">
        <f>YEAR(Base1[[#This Row],[Fechas]])</f>
        <v>2025</v>
      </c>
      <c r="C37" s="6">
        <f>MONTH(Base1[[#This Row],[Fechas]])</f>
        <v>8</v>
      </c>
      <c r="D37" s="6">
        <f>DAY(Base1[[#This Row],[Fechas]])</f>
        <v>23</v>
      </c>
      <c r="E37" s="6" t="str">
        <f>TEXT(Base1[[#This Row],[Fechas]],"DDDD")</f>
        <v>sábado</v>
      </c>
      <c r="F37" s="6" t="str">
        <f>TEXT(Base1[[#This Row],[Fechas]],"MMMM")</f>
        <v>agosto</v>
      </c>
      <c r="G37" s="6">
        <f ca="1">_xlfn.DAYS(TODAY(),Base1[[#This Row],[Fechas]])</f>
        <v>305</v>
      </c>
      <c r="H37" s="7">
        <f ca="1">BaseA[[#This Row],[Días Transcurridos]]/360</f>
        <v>0.84722222222222221</v>
      </c>
    </row>
    <row r="38" spans="1:8" x14ac:dyDescent="0.3">
      <c r="A38" s="6">
        <v>37</v>
      </c>
      <c r="B38" s="6">
        <f>YEAR(Base1[[#This Row],[Fechas]])</f>
        <v>2025</v>
      </c>
      <c r="C38" s="6">
        <f>MONTH(Base1[[#This Row],[Fechas]])</f>
        <v>4</v>
      </c>
      <c r="D38" s="6">
        <f>DAY(Base1[[#This Row],[Fechas]])</f>
        <v>19</v>
      </c>
      <c r="E38" s="6" t="str">
        <f>TEXT(Base1[[#This Row],[Fechas]],"DDDD")</f>
        <v>sábado</v>
      </c>
      <c r="F38" s="6" t="str">
        <f>TEXT(Base1[[#This Row],[Fechas]],"MMMM")</f>
        <v>abril</v>
      </c>
      <c r="G38" s="6">
        <f ca="1">_xlfn.DAYS(TODAY(),Base1[[#This Row],[Fechas]])</f>
        <v>431</v>
      </c>
      <c r="H38" s="7">
        <f ca="1">BaseA[[#This Row],[Días Transcurridos]]/360</f>
        <v>1.1972222222222222</v>
      </c>
    </row>
    <row r="39" spans="1:8" x14ac:dyDescent="0.3">
      <c r="A39" s="6">
        <v>38</v>
      </c>
      <c r="B39" s="6">
        <f>YEAR(Base1[[#This Row],[Fechas]])</f>
        <v>2024</v>
      </c>
      <c r="C39" s="6">
        <f>MONTH(Base1[[#This Row],[Fechas]])</f>
        <v>1</v>
      </c>
      <c r="D39" s="6">
        <f>DAY(Base1[[#This Row],[Fechas]])</f>
        <v>23</v>
      </c>
      <c r="E39" s="6" t="str">
        <f>TEXT(Base1[[#This Row],[Fechas]],"DDDD")</f>
        <v>martes</v>
      </c>
      <c r="F39" s="6" t="str">
        <f>TEXT(Base1[[#This Row],[Fechas]],"MMMM")</f>
        <v>enero</v>
      </c>
      <c r="G39" s="6">
        <f ca="1">_xlfn.DAYS(TODAY(),Base1[[#This Row],[Fechas]])</f>
        <v>883</v>
      </c>
      <c r="H39" s="7">
        <f ca="1">BaseA[[#This Row],[Días Transcurridos]]/360</f>
        <v>2.4527777777777779</v>
      </c>
    </row>
    <row r="40" spans="1:8" x14ac:dyDescent="0.3">
      <c r="A40" s="6">
        <v>39</v>
      </c>
      <c r="B40" s="6">
        <f>YEAR(Base1[[#This Row],[Fechas]])</f>
        <v>2025</v>
      </c>
      <c r="C40" s="6">
        <f>MONTH(Base1[[#This Row],[Fechas]])</f>
        <v>2</v>
      </c>
      <c r="D40" s="6">
        <f>DAY(Base1[[#This Row],[Fechas]])</f>
        <v>10</v>
      </c>
      <c r="E40" s="6" t="str">
        <f>TEXT(Base1[[#This Row],[Fechas]],"DDDD")</f>
        <v>lunes</v>
      </c>
      <c r="F40" s="6" t="str">
        <f>TEXT(Base1[[#This Row],[Fechas]],"MMMM")</f>
        <v>febrero</v>
      </c>
      <c r="G40" s="6">
        <f ca="1">_xlfn.DAYS(TODAY(),Base1[[#This Row],[Fechas]])</f>
        <v>499</v>
      </c>
      <c r="H40" s="7">
        <f ca="1">BaseA[[#This Row],[Días Transcurridos]]/360</f>
        <v>1.3861111111111111</v>
      </c>
    </row>
    <row r="41" spans="1:8" x14ac:dyDescent="0.3">
      <c r="A41" s="6">
        <v>40</v>
      </c>
      <c r="B41" s="6">
        <f>YEAR(Base1[[#This Row],[Fechas]])</f>
        <v>2025</v>
      </c>
      <c r="C41" s="6">
        <f>MONTH(Base1[[#This Row],[Fechas]])</f>
        <v>1</v>
      </c>
      <c r="D41" s="6">
        <f>DAY(Base1[[#This Row],[Fechas]])</f>
        <v>26</v>
      </c>
      <c r="E41" s="6" t="str">
        <f>TEXT(Base1[[#This Row],[Fechas]],"DDDD")</f>
        <v>domingo</v>
      </c>
      <c r="F41" s="6" t="str">
        <f>TEXT(Base1[[#This Row],[Fechas]],"MMMM")</f>
        <v>enero</v>
      </c>
      <c r="G41" s="6">
        <f ca="1">_xlfn.DAYS(TODAY(),Base1[[#This Row],[Fechas]])</f>
        <v>514</v>
      </c>
      <c r="H41" s="7">
        <f ca="1">BaseA[[#This Row],[Días Transcurridos]]/360</f>
        <v>1.4277777777777778</v>
      </c>
    </row>
    <row r="42" spans="1:8" x14ac:dyDescent="0.3">
      <c r="A42" s="6">
        <v>41</v>
      </c>
      <c r="B42" s="6">
        <f>YEAR(Base1[[#This Row],[Fechas]])</f>
        <v>2023</v>
      </c>
      <c r="C42" s="6">
        <f>MONTH(Base1[[#This Row],[Fechas]])</f>
        <v>1</v>
      </c>
      <c r="D42" s="6">
        <f>DAY(Base1[[#This Row],[Fechas]])</f>
        <v>21</v>
      </c>
      <c r="E42" s="6" t="str">
        <f>TEXT(Base1[[#This Row],[Fechas]],"DDDD")</f>
        <v>sábado</v>
      </c>
      <c r="F42" s="6" t="str">
        <f>TEXT(Base1[[#This Row],[Fechas]],"MMMM")</f>
        <v>enero</v>
      </c>
      <c r="G42" s="6">
        <f ca="1">_xlfn.DAYS(TODAY(),Base1[[#This Row],[Fechas]])</f>
        <v>1250</v>
      </c>
      <c r="H42" s="7">
        <f ca="1">BaseA[[#This Row],[Días Transcurridos]]/360</f>
        <v>3.4722222222222223</v>
      </c>
    </row>
    <row r="43" spans="1:8" x14ac:dyDescent="0.3">
      <c r="A43" s="6">
        <v>42</v>
      </c>
      <c r="B43" s="6">
        <f>YEAR(Base1[[#This Row],[Fechas]])</f>
        <v>2023</v>
      </c>
      <c r="C43" s="6">
        <f>MONTH(Base1[[#This Row],[Fechas]])</f>
        <v>9</v>
      </c>
      <c r="D43" s="6">
        <f>DAY(Base1[[#This Row],[Fechas]])</f>
        <v>23</v>
      </c>
      <c r="E43" s="6" t="str">
        <f>TEXT(Base1[[#This Row],[Fechas]],"DDDD")</f>
        <v>sábado</v>
      </c>
      <c r="F43" s="6" t="str">
        <f>TEXT(Base1[[#This Row],[Fechas]],"MMMM")</f>
        <v>septiembre</v>
      </c>
      <c r="G43" s="6">
        <f ca="1">_xlfn.DAYS(TODAY(),Base1[[#This Row],[Fechas]])</f>
        <v>1005</v>
      </c>
      <c r="H43" s="7">
        <f ca="1">BaseA[[#This Row],[Días Transcurridos]]/360</f>
        <v>2.7916666666666665</v>
      </c>
    </row>
    <row r="44" spans="1:8" x14ac:dyDescent="0.3">
      <c r="A44" s="6">
        <v>43</v>
      </c>
      <c r="B44" s="6">
        <f>YEAR(Base1[[#This Row],[Fechas]])</f>
        <v>2025</v>
      </c>
      <c r="C44" s="6">
        <f>MONTH(Base1[[#This Row],[Fechas]])</f>
        <v>7</v>
      </c>
      <c r="D44" s="6">
        <f>DAY(Base1[[#This Row],[Fechas]])</f>
        <v>5</v>
      </c>
      <c r="E44" s="6" t="str">
        <f>TEXT(Base1[[#This Row],[Fechas]],"DDDD")</f>
        <v>sábado</v>
      </c>
      <c r="F44" s="6" t="str">
        <f>TEXT(Base1[[#This Row],[Fechas]],"MMMM")</f>
        <v>julio</v>
      </c>
      <c r="G44" s="6">
        <f ca="1">_xlfn.DAYS(TODAY(),Base1[[#This Row],[Fechas]])</f>
        <v>354</v>
      </c>
      <c r="H44" s="7">
        <f ca="1">BaseA[[#This Row],[Días Transcurridos]]/360</f>
        <v>0.98333333333333328</v>
      </c>
    </row>
    <row r="45" spans="1:8" x14ac:dyDescent="0.3">
      <c r="A45" s="6">
        <v>44</v>
      </c>
      <c r="B45" s="6">
        <f>YEAR(Base1[[#This Row],[Fechas]])</f>
        <v>2024</v>
      </c>
      <c r="C45" s="6">
        <f>MONTH(Base1[[#This Row],[Fechas]])</f>
        <v>1</v>
      </c>
      <c r="D45" s="6">
        <f>DAY(Base1[[#This Row],[Fechas]])</f>
        <v>16</v>
      </c>
      <c r="E45" s="6" t="str">
        <f>TEXT(Base1[[#This Row],[Fechas]],"DDDD")</f>
        <v>martes</v>
      </c>
      <c r="F45" s="6" t="str">
        <f>TEXT(Base1[[#This Row],[Fechas]],"MMMM")</f>
        <v>enero</v>
      </c>
      <c r="G45" s="6">
        <f ca="1">_xlfn.DAYS(TODAY(),Base1[[#This Row],[Fechas]])</f>
        <v>890</v>
      </c>
      <c r="H45" s="7">
        <f ca="1">BaseA[[#This Row],[Días Transcurridos]]/360</f>
        <v>2.4722222222222223</v>
      </c>
    </row>
    <row r="46" spans="1:8" x14ac:dyDescent="0.3">
      <c r="A46" s="6">
        <v>45</v>
      </c>
      <c r="B46" s="6">
        <f>YEAR(Base1[[#This Row],[Fechas]])</f>
        <v>2025</v>
      </c>
      <c r="C46" s="6">
        <f>MONTH(Base1[[#This Row],[Fechas]])</f>
        <v>2</v>
      </c>
      <c r="D46" s="6">
        <f>DAY(Base1[[#This Row],[Fechas]])</f>
        <v>14</v>
      </c>
      <c r="E46" s="6" t="str">
        <f>TEXT(Base1[[#This Row],[Fechas]],"DDDD")</f>
        <v>viernes</v>
      </c>
      <c r="F46" s="6" t="str">
        <f>TEXT(Base1[[#This Row],[Fechas]],"MMMM")</f>
        <v>febrero</v>
      </c>
      <c r="G46" s="6">
        <f ca="1">_xlfn.DAYS(TODAY(),Base1[[#This Row],[Fechas]])</f>
        <v>495</v>
      </c>
      <c r="H46" s="7">
        <f ca="1">BaseA[[#This Row],[Días Transcurridos]]/360</f>
        <v>1.375</v>
      </c>
    </row>
    <row r="47" spans="1:8" x14ac:dyDescent="0.3">
      <c r="A47" s="6">
        <v>46</v>
      </c>
      <c r="B47" s="6">
        <f>YEAR(Base1[[#This Row],[Fechas]])</f>
        <v>2025</v>
      </c>
      <c r="C47" s="6">
        <f>MONTH(Base1[[#This Row],[Fechas]])</f>
        <v>8</v>
      </c>
      <c r="D47" s="6">
        <f>DAY(Base1[[#This Row],[Fechas]])</f>
        <v>24</v>
      </c>
      <c r="E47" s="6" t="str">
        <f>TEXT(Base1[[#This Row],[Fechas]],"DDDD")</f>
        <v>domingo</v>
      </c>
      <c r="F47" s="6" t="str">
        <f>TEXT(Base1[[#This Row],[Fechas]],"MMMM")</f>
        <v>agosto</v>
      </c>
      <c r="G47" s="6">
        <f ca="1">_xlfn.DAYS(TODAY(),Base1[[#This Row],[Fechas]])</f>
        <v>304</v>
      </c>
      <c r="H47" s="7">
        <f ca="1">BaseA[[#This Row],[Días Transcurridos]]/360</f>
        <v>0.84444444444444444</v>
      </c>
    </row>
    <row r="48" spans="1:8" x14ac:dyDescent="0.3">
      <c r="A48" s="6">
        <v>47</v>
      </c>
      <c r="B48" s="6">
        <f>YEAR(Base1[[#This Row],[Fechas]])</f>
        <v>2025</v>
      </c>
      <c r="C48" s="6">
        <f>MONTH(Base1[[#This Row],[Fechas]])</f>
        <v>6</v>
      </c>
      <c r="D48" s="6">
        <f>DAY(Base1[[#This Row],[Fechas]])</f>
        <v>21</v>
      </c>
      <c r="E48" s="6" t="str">
        <f>TEXT(Base1[[#This Row],[Fechas]],"DDDD")</f>
        <v>sábado</v>
      </c>
      <c r="F48" s="6" t="str">
        <f>TEXT(Base1[[#This Row],[Fechas]],"MMMM")</f>
        <v>junio</v>
      </c>
      <c r="G48" s="6">
        <f ca="1">_xlfn.DAYS(TODAY(),Base1[[#This Row],[Fechas]])</f>
        <v>368</v>
      </c>
      <c r="H48" s="7">
        <f ca="1">BaseA[[#This Row],[Días Transcurridos]]/360</f>
        <v>1.0222222222222221</v>
      </c>
    </row>
    <row r="49" spans="1:8" x14ac:dyDescent="0.3">
      <c r="A49" s="6">
        <v>48</v>
      </c>
      <c r="B49" s="6">
        <f>YEAR(Base1[[#This Row],[Fechas]])</f>
        <v>2023</v>
      </c>
      <c r="C49" s="6">
        <f>MONTH(Base1[[#This Row],[Fechas]])</f>
        <v>8</v>
      </c>
      <c r="D49" s="6">
        <f>DAY(Base1[[#This Row],[Fechas]])</f>
        <v>13</v>
      </c>
      <c r="E49" s="6" t="str">
        <f>TEXT(Base1[[#This Row],[Fechas]],"DDDD")</f>
        <v>domingo</v>
      </c>
      <c r="F49" s="6" t="str">
        <f>TEXT(Base1[[#This Row],[Fechas]],"MMMM")</f>
        <v>agosto</v>
      </c>
      <c r="G49" s="6">
        <f ca="1">_xlfn.DAYS(TODAY(),Base1[[#This Row],[Fechas]])</f>
        <v>1046</v>
      </c>
      <c r="H49" s="7">
        <f ca="1">BaseA[[#This Row],[Días Transcurridos]]/360</f>
        <v>2.9055555555555554</v>
      </c>
    </row>
    <row r="50" spans="1:8" x14ac:dyDescent="0.3">
      <c r="A50" s="6">
        <v>49</v>
      </c>
      <c r="B50" s="6">
        <f>YEAR(Base1[[#This Row],[Fechas]])</f>
        <v>2024</v>
      </c>
      <c r="C50" s="6">
        <f>MONTH(Base1[[#This Row],[Fechas]])</f>
        <v>8</v>
      </c>
      <c r="D50" s="6">
        <f>DAY(Base1[[#This Row],[Fechas]])</f>
        <v>18</v>
      </c>
      <c r="E50" s="6" t="str">
        <f>TEXT(Base1[[#This Row],[Fechas]],"DDDD")</f>
        <v>domingo</v>
      </c>
      <c r="F50" s="6" t="str">
        <f>TEXT(Base1[[#This Row],[Fechas]],"MMMM")</f>
        <v>agosto</v>
      </c>
      <c r="G50" s="6">
        <f ca="1">_xlfn.DAYS(TODAY(),Base1[[#This Row],[Fechas]])</f>
        <v>675</v>
      </c>
      <c r="H50" s="7">
        <f ca="1">BaseA[[#This Row],[Días Transcurridos]]/360</f>
        <v>1.875</v>
      </c>
    </row>
    <row r="51" spans="1:8" x14ac:dyDescent="0.3">
      <c r="A51" s="6">
        <v>50</v>
      </c>
      <c r="B51" s="6">
        <f>YEAR(Base1[[#This Row],[Fechas]])</f>
        <v>2024</v>
      </c>
      <c r="C51" s="6">
        <f>MONTH(Base1[[#This Row],[Fechas]])</f>
        <v>2</v>
      </c>
      <c r="D51" s="6">
        <f>DAY(Base1[[#This Row],[Fechas]])</f>
        <v>13</v>
      </c>
      <c r="E51" s="6" t="str">
        <f>TEXT(Base1[[#This Row],[Fechas]],"DDDD")</f>
        <v>martes</v>
      </c>
      <c r="F51" s="6" t="str">
        <f>TEXT(Base1[[#This Row],[Fechas]],"MMMM")</f>
        <v>febrero</v>
      </c>
      <c r="G51" s="6">
        <f ca="1">_xlfn.DAYS(TODAY(),Base1[[#This Row],[Fechas]])</f>
        <v>862</v>
      </c>
      <c r="H51" s="7">
        <f ca="1">BaseA[[#This Row],[Días Transcurridos]]/360</f>
        <v>2.3944444444444444</v>
      </c>
    </row>
    <row r="52" spans="1:8" x14ac:dyDescent="0.3">
      <c r="A52" s="6">
        <v>51</v>
      </c>
      <c r="B52" s="6">
        <f>YEAR(Base1[[#This Row],[Fechas]])</f>
        <v>2025</v>
      </c>
      <c r="C52" s="6">
        <f>MONTH(Base1[[#This Row],[Fechas]])</f>
        <v>1</v>
      </c>
      <c r="D52" s="6">
        <f>DAY(Base1[[#This Row],[Fechas]])</f>
        <v>13</v>
      </c>
      <c r="E52" s="6" t="str">
        <f>TEXT(Base1[[#This Row],[Fechas]],"DDDD")</f>
        <v>lunes</v>
      </c>
      <c r="F52" s="6" t="str">
        <f>TEXT(Base1[[#This Row],[Fechas]],"MMMM")</f>
        <v>enero</v>
      </c>
      <c r="G52" s="6">
        <f ca="1">_xlfn.DAYS(TODAY(),Base1[[#This Row],[Fechas]])</f>
        <v>527</v>
      </c>
      <c r="H52" s="7">
        <f ca="1">BaseA[[#This Row],[Días Transcurridos]]/360</f>
        <v>1.4638888888888888</v>
      </c>
    </row>
    <row r="53" spans="1:8" x14ac:dyDescent="0.3">
      <c r="A53" s="6">
        <v>52</v>
      </c>
      <c r="B53" s="6">
        <f>YEAR(Base1[[#This Row],[Fechas]])</f>
        <v>2023</v>
      </c>
      <c r="C53" s="6">
        <f>MONTH(Base1[[#This Row],[Fechas]])</f>
        <v>7</v>
      </c>
      <c r="D53" s="6">
        <f>DAY(Base1[[#This Row],[Fechas]])</f>
        <v>30</v>
      </c>
      <c r="E53" s="6" t="str">
        <f>TEXT(Base1[[#This Row],[Fechas]],"DDDD")</f>
        <v>domingo</v>
      </c>
      <c r="F53" s="6" t="str">
        <f>TEXT(Base1[[#This Row],[Fechas]],"MMMM")</f>
        <v>julio</v>
      </c>
      <c r="G53" s="6">
        <f ca="1">_xlfn.DAYS(TODAY(),Base1[[#This Row],[Fechas]])</f>
        <v>1060</v>
      </c>
      <c r="H53" s="7">
        <f ca="1">BaseA[[#This Row],[Días Transcurridos]]/360</f>
        <v>2.9444444444444446</v>
      </c>
    </row>
    <row r="54" spans="1:8" x14ac:dyDescent="0.3">
      <c r="A54" s="6">
        <v>53</v>
      </c>
      <c r="B54" s="6">
        <f>YEAR(Base1[[#This Row],[Fechas]])</f>
        <v>2024</v>
      </c>
      <c r="C54" s="6">
        <f>MONTH(Base1[[#This Row],[Fechas]])</f>
        <v>6</v>
      </c>
      <c r="D54" s="6">
        <f>DAY(Base1[[#This Row],[Fechas]])</f>
        <v>3</v>
      </c>
      <c r="E54" s="6" t="str">
        <f>TEXT(Base1[[#This Row],[Fechas]],"DDDD")</f>
        <v>lunes</v>
      </c>
      <c r="F54" s="6" t="str">
        <f>TEXT(Base1[[#This Row],[Fechas]],"MMMM")</f>
        <v>junio</v>
      </c>
      <c r="G54" s="6">
        <f ca="1">_xlfn.DAYS(TODAY(),Base1[[#This Row],[Fechas]])</f>
        <v>751</v>
      </c>
      <c r="H54" s="7">
        <f ca="1">BaseA[[#This Row],[Días Transcurridos]]/360</f>
        <v>2.0861111111111112</v>
      </c>
    </row>
    <row r="55" spans="1:8" x14ac:dyDescent="0.3">
      <c r="A55" s="6">
        <v>54</v>
      </c>
      <c r="B55" s="6">
        <f>YEAR(Base1[[#This Row],[Fechas]])</f>
        <v>2025</v>
      </c>
      <c r="C55" s="6">
        <f>MONTH(Base1[[#This Row],[Fechas]])</f>
        <v>4</v>
      </c>
      <c r="D55" s="6">
        <f>DAY(Base1[[#This Row],[Fechas]])</f>
        <v>7</v>
      </c>
      <c r="E55" s="6" t="str">
        <f>TEXT(Base1[[#This Row],[Fechas]],"DDDD")</f>
        <v>lunes</v>
      </c>
      <c r="F55" s="6" t="str">
        <f>TEXT(Base1[[#This Row],[Fechas]],"MMMM")</f>
        <v>abril</v>
      </c>
      <c r="G55" s="6">
        <f ca="1">_xlfn.DAYS(TODAY(),Base1[[#This Row],[Fechas]])</f>
        <v>443</v>
      </c>
      <c r="H55" s="7">
        <f ca="1">BaseA[[#This Row],[Días Transcurridos]]/360</f>
        <v>1.2305555555555556</v>
      </c>
    </row>
    <row r="56" spans="1:8" x14ac:dyDescent="0.3">
      <c r="A56" s="6">
        <v>55</v>
      </c>
      <c r="B56" s="6">
        <f>YEAR(Base1[[#This Row],[Fechas]])</f>
        <v>2025</v>
      </c>
      <c r="C56" s="6">
        <f>MONTH(Base1[[#This Row],[Fechas]])</f>
        <v>2</v>
      </c>
      <c r="D56" s="6">
        <f>DAY(Base1[[#This Row],[Fechas]])</f>
        <v>23</v>
      </c>
      <c r="E56" s="6" t="str">
        <f>TEXT(Base1[[#This Row],[Fechas]],"DDDD")</f>
        <v>domingo</v>
      </c>
      <c r="F56" s="6" t="str">
        <f>TEXT(Base1[[#This Row],[Fechas]],"MMMM")</f>
        <v>febrero</v>
      </c>
      <c r="G56" s="6">
        <f ca="1">_xlfn.DAYS(TODAY(),Base1[[#This Row],[Fechas]])</f>
        <v>486</v>
      </c>
      <c r="H56" s="7">
        <f ca="1">BaseA[[#This Row],[Días Transcurridos]]/360</f>
        <v>1.35</v>
      </c>
    </row>
    <row r="57" spans="1:8" x14ac:dyDescent="0.3">
      <c r="A57" s="6">
        <v>56</v>
      </c>
      <c r="B57" s="6">
        <f>YEAR(Base1[[#This Row],[Fechas]])</f>
        <v>2025</v>
      </c>
      <c r="C57" s="6">
        <f>MONTH(Base1[[#This Row],[Fechas]])</f>
        <v>6</v>
      </c>
      <c r="D57" s="6">
        <f>DAY(Base1[[#This Row],[Fechas]])</f>
        <v>10</v>
      </c>
      <c r="E57" s="6" t="str">
        <f>TEXT(Base1[[#This Row],[Fechas]],"DDDD")</f>
        <v>martes</v>
      </c>
      <c r="F57" s="6" t="str">
        <f>TEXT(Base1[[#This Row],[Fechas]],"MMMM")</f>
        <v>junio</v>
      </c>
      <c r="G57" s="6">
        <f ca="1">_xlfn.DAYS(TODAY(),Base1[[#This Row],[Fechas]])</f>
        <v>379</v>
      </c>
      <c r="H57" s="7">
        <f ca="1">BaseA[[#This Row],[Días Transcurridos]]/360</f>
        <v>1.0527777777777778</v>
      </c>
    </row>
    <row r="58" spans="1:8" x14ac:dyDescent="0.3">
      <c r="A58" s="6">
        <v>57</v>
      </c>
      <c r="B58" s="6">
        <f>YEAR(Base1[[#This Row],[Fechas]])</f>
        <v>2024</v>
      </c>
      <c r="C58" s="6">
        <f>MONTH(Base1[[#This Row],[Fechas]])</f>
        <v>5</v>
      </c>
      <c r="D58" s="6">
        <f>DAY(Base1[[#This Row],[Fechas]])</f>
        <v>7</v>
      </c>
      <c r="E58" s="6" t="str">
        <f>TEXT(Base1[[#This Row],[Fechas]],"DDDD")</f>
        <v>martes</v>
      </c>
      <c r="F58" s="6" t="str">
        <f>TEXT(Base1[[#This Row],[Fechas]],"MMMM")</f>
        <v>mayo</v>
      </c>
      <c r="G58" s="6">
        <f ca="1">_xlfn.DAYS(TODAY(),Base1[[#This Row],[Fechas]])</f>
        <v>778</v>
      </c>
      <c r="H58" s="7">
        <f ca="1">BaseA[[#This Row],[Días Transcurridos]]/360</f>
        <v>2.161111111111111</v>
      </c>
    </row>
    <row r="59" spans="1:8" x14ac:dyDescent="0.3">
      <c r="A59" s="6">
        <v>58</v>
      </c>
      <c r="B59" s="6">
        <f>YEAR(Base1[[#This Row],[Fechas]])</f>
        <v>2023</v>
      </c>
      <c r="C59" s="6">
        <f>MONTH(Base1[[#This Row],[Fechas]])</f>
        <v>9</v>
      </c>
      <c r="D59" s="6">
        <f>DAY(Base1[[#This Row],[Fechas]])</f>
        <v>18</v>
      </c>
      <c r="E59" s="6" t="str">
        <f>TEXT(Base1[[#This Row],[Fechas]],"DDDD")</f>
        <v>lunes</v>
      </c>
      <c r="F59" s="6" t="str">
        <f>TEXT(Base1[[#This Row],[Fechas]],"MMMM")</f>
        <v>septiembre</v>
      </c>
      <c r="G59" s="6">
        <f ca="1">_xlfn.DAYS(TODAY(),Base1[[#This Row],[Fechas]])</f>
        <v>1010</v>
      </c>
      <c r="H59" s="7">
        <f ca="1">BaseA[[#This Row],[Días Transcurridos]]/360</f>
        <v>2.8055555555555554</v>
      </c>
    </row>
    <row r="60" spans="1:8" x14ac:dyDescent="0.3">
      <c r="A60" s="6">
        <v>59</v>
      </c>
      <c r="B60" s="6">
        <f>YEAR(Base1[[#This Row],[Fechas]])</f>
        <v>2025</v>
      </c>
      <c r="C60" s="6">
        <f>MONTH(Base1[[#This Row],[Fechas]])</f>
        <v>9</v>
      </c>
      <c r="D60" s="6">
        <f>DAY(Base1[[#This Row],[Fechas]])</f>
        <v>26</v>
      </c>
      <c r="E60" s="6" t="str">
        <f>TEXT(Base1[[#This Row],[Fechas]],"DDDD")</f>
        <v>viernes</v>
      </c>
      <c r="F60" s="6" t="str">
        <f>TEXT(Base1[[#This Row],[Fechas]],"MMMM")</f>
        <v>septiembre</v>
      </c>
      <c r="G60" s="6">
        <f ca="1">_xlfn.DAYS(TODAY(),Base1[[#This Row],[Fechas]])</f>
        <v>271</v>
      </c>
      <c r="H60" s="7">
        <f ca="1">BaseA[[#This Row],[Días Transcurridos]]/360</f>
        <v>0.75277777777777777</v>
      </c>
    </row>
    <row r="61" spans="1:8" x14ac:dyDescent="0.3">
      <c r="A61" s="6">
        <v>60</v>
      </c>
      <c r="B61" s="6">
        <f>YEAR(Base1[[#This Row],[Fechas]])</f>
        <v>2025</v>
      </c>
      <c r="C61" s="6">
        <f>MONTH(Base1[[#This Row],[Fechas]])</f>
        <v>6</v>
      </c>
      <c r="D61" s="6">
        <f>DAY(Base1[[#This Row],[Fechas]])</f>
        <v>18</v>
      </c>
      <c r="E61" s="6" t="str">
        <f>TEXT(Base1[[#This Row],[Fechas]],"DDDD")</f>
        <v>miércoles</v>
      </c>
      <c r="F61" s="6" t="str">
        <f>TEXT(Base1[[#This Row],[Fechas]],"MMMM")</f>
        <v>junio</v>
      </c>
      <c r="G61" s="6">
        <f ca="1">_xlfn.DAYS(TODAY(),Base1[[#This Row],[Fechas]])</f>
        <v>371</v>
      </c>
      <c r="H61" s="7">
        <f ca="1">BaseA[[#This Row],[Días Transcurridos]]/360</f>
        <v>1.0305555555555554</v>
      </c>
    </row>
    <row r="62" spans="1:8" x14ac:dyDescent="0.3">
      <c r="A62" s="6">
        <v>61</v>
      </c>
      <c r="B62" s="6">
        <f>YEAR(Base1[[#This Row],[Fechas]])</f>
        <v>2024</v>
      </c>
      <c r="C62" s="6">
        <f>MONTH(Base1[[#This Row],[Fechas]])</f>
        <v>12</v>
      </c>
      <c r="D62" s="6">
        <f>DAY(Base1[[#This Row],[Fechas]])</f>
        <v>9</v>
      </c>
      <c r="E62" s="6" t="str">
        <f>TEXT(Base1[[#This Row],[Fechas]],"DDDD")</f>
        <v>lunes</v>
      </c>
      <c r="F62" s="6" t="str">
        <f>TEXT(Base1[[#This Row],[Fechas]],"MMMM")</f>
        <v>diciembre</v>
      </c>
      <c r="G62" s="6">
        <f ca="1">_xlfn.DAYS(TODAY(),Base1[[#This Row],[Fechas]])</f>
        <v>562</v>
      </c>
      <c r="H62" s="7">
        <f ca="1">BaseA[[#This Row],[Días Transcurridos]]/360</f>
        <v>1.5611111111111111</v>
      </c>
    </row>
    <row r="63" spans="1:8" x14ac:dyDescent="0.3">
      <c r="A63" s="6">
        <v>62</v>
      </c>
      <c r="B63" s="6">
        <f>YEAR(Base1[[#This Row],[Fechas]])</f>
        <v>2025</v>
      </c>
      <c r="C63" s="6">
        <f>MONTH(Base1[[#This Row],[Fechas]])</f>
        <v>2</v>
      </c>
      <c r="D63" s="6">
        <f>DAY(Base1[[#This Row],[Fechas]])</f>
        <v>3</v>
      </c>
      <c r="E63" s="6" t="str">
        <f>TEXT(Base1[[#This Row],[Fechas]],"DDDD")</f>
        <v>lunes</v>
      </c>
      <c r="F63" s="6" t="str">
        <f>TEXT(Base1[[#This Row],[Fechas]],"MMMM")</f>
        <v>febrero</v>
      </c>
      <c r="G63" s="6">
        <f ca="1">_xlfn.DAYS(TODAY(),Base1[[#This Row],[Fechas]])</f>
        <v>506</v>
      </c>
      <c r="H63" s="7">
        <f ca="1">BaseA[[#This Row],[Días Transcurridos]]/360</f>
        <v>1.4055555555555554</v>
      </c>
    </row>
    <row r="64" spans="1:8" x14ac:dyDescent="0.3">
      <c r="A64" s="6">
        <v>63</v>
      </c>
      <c r="B64" s="6">
        <f>YEAR(Base1[[#This Row],[Fechas]])</f>
        <v>2024</v>
      </c>
      <c r="C64" s="6">
        <f>MONTH(Base1[[#This Row],[Fechas]])</f>
        <v>3</v>
      </c>
      <c r="D64" s="6">
        <f>DAY(Base1[[#This Row],[Fechas]])</f>
        <v>22</v>
      </c>
      <c r="E64" s="6" t="str">
        <f>TEXT(Base1[[#This Row],[Fechas]],"DDDD")</f>
        <v>viernes</v>
      </c>
      <c r="F64" s="6" t="str">
        <f>TEXT(Base1[[#This Row],[Fechas]],"MMMM")</f>
        <v>marzo</v>
      </c>
      <c r="G64" s="6">
        <f ca="1">_xlfn.DAYS(TODAY(),Base1[[#This Row],[Fechas]])</f>
        <v>824</v>
      </c>
      <c r="H64" s="7">
        <f ca="1">BaseA[[#This Row],[Días Transcurridos]]/360</f>
        <v>2.2888888888888888</v>
      </c>
    </row>
    <row r="65" spans="1:8" x14ac:dyDescent="0.3">
      <c r="A65" s="6">
        <v>64</v>
      </c>
      <c r="B65" s="6">
        <f>YEAR(Base1[[#This Row],[Fechas]])</f>
        <v>2023</v>
      </c>
      <c r="C65" s="6">
        <f>MONTH(Base1[[#This Row],[Fechas]])</f>
        <v>2</v>
      </c>
      <c r="D65" s="6">
        <f>DAY(Base1[[#This Row],[Fechas]])</f>
        <v>4</v>
      </c>
      <c r="E65" s="6" t="str">
        <f>TEXT(Base1[[#This Row],[Fechas]],"DDDD")</f>
        <v>sábado</v>
      </c>
      <c r="F65" s="6" t="str">
        <f>TEXT(Base1[[#This Row],[Fechas]],"MMMM")</f>
        <v>febrero</v>
      </c>
      <c r="G65" s="6">
        <f ca="1">_xlfn.DAYS(TODAY(),Base1[[#This Row],[Fechas]])</f>
        <v>1236</v>
      </c>
      <c r="H65" s="7">
        <f ca="1">BaseA[[#This Row],[Días Transcurridos]]/360</f>
        <v>3.4333333333333331</v>
      </c>
    </row>
    <row r="66" spans="1:8" x14ac:dyDescent="0.3">
      <c r="A66" s="6">
        <v>65</v>
      </c>
      <c r="B66" s="6">
        <f>YEAR(Base1[[#This Row],[Fechas]])</f>
        <v>2024</v>
      </c>
      <c r="C66" s="6">
        <f>MONTH(Base1[[#This Row],[Fechas]])</f>
        <v>11</v>
      </c>
      <c r="D66" s="6">
        <f>DAY(Base1[[#This Row],[Fechas]])</f>
        <v>26</v>
      </c>
      <c r="E66" s="6" t="str">
        <f>TEXT(Base1[[#This Row],[Fechas]],"DDDD")</f>
        <v>martes</v>
      </c>
      <c r="F66" s="6" t="str">
        <f>TEXT(Base1[[#This Row],[Fechas]],"MMMM")</f>
        <v>noviembre</v>
      </c>
      <c r="G66" s="6">
        <f ca="1">_xlfn.DAYS(TODAY(),Base1[[#This Row],[Fechas]])</f>
        <v>575</v>
      </c>
      <c r="H66" s="7">
        <f ca="1">BaseA[[#This Row],[Días Transcurridos]]/360</f>
        <v>1.5972222222222223</v>
      </c>
    </row>
    <row r="67" spans="1:8" x14ac:dyDescent="0.3">
      <c r="A67" s="6">
        <v>66</v>
      </c>
      <c r="B67" s="6">
        <f>YEAR(Base1[[#This Row],[Fechas]])</f>
        <v>2024</v>
      </c>
      <c r="C67" s="6">
        <f>MONTH(Base1[[#This Row],[Fechas]])</f>
        <v>7</v>
      </c>
      <c r="D67" s="6">
        <f>DAY(Base1[[#This Row],[Fechas]])</f>
        <v>30</v>
      </c>
      <c r="E67" s="6" t="str">
        <f>TEXT(Base1[[#This Row],[Fechas]],"DDDD")</f>
        <v>martes</v>
      </c>
      <c r="F67" s="6" t="str">
        <f>TEXT(Base1[[#This Row],[Fechas]],"MMMM")</f>
        <v>julio</v>
      </c>
      <c r="G67" s="6">
        <f ca="1">_xlfn.DAYS(TODAY(),Base1[[#This Row],[Fechas]])</f>
        <v>694</v>
      </c>
      <c r="H67" s="7">
        <f ca="1">BaseA[[#This Row],[Días Transcurridos]]/360</f>
        <v>1.9277777777777778</v>
      </c>
    </row>
    <row r="68" spans="1:8" x14ac:dyDescent="0.3">
      <c r="A68" s="6">
        <v>67</v>
      </c>
      <c r="B68" s="6">
        <f>YEAR(Base1[[#This Row],[Fechas]])</f>
        <v>2025</v>
      </c>
      <c r="C68" s="6">
        <f>MONTH(Base1[[#This Row],[Fechas]])</f>
        <v>12</v>
      </c>
      <c r="D68" s="6">
        <f>DAY(Base1[[#This Row],[Fechas]])</f>
        <v>23</v>
      </c>
      <c r="E68" s="6" t="str">
        <f>TEXT(Base1[[#This Row],[Fechas]],"DDDD")</f>
        <v>martes</v>
      </c>
      <c r="F68" s="6" t="str">
        <f>TEXT(Base1[[#This Row],[Fechas]],"MMMM")</f>
        <v>diciembre</v>
      </c>
      <c r="G68" s="6">
        <f ca="1">_xlfn.DAYS(TODAY(),Base1[[#This Row],[Fechas]])</f>
        <v>183</v>
      </c>
      <c r="H68" s="7">
        <f ca="1">BaseA[[#This Row],[Días Transcurridos]]/360</f>
        <v>0.5083333333333333</v>
      </c>
    </row>
    <row r="69" spans="1:8" x14ac:dyDescent="0.3">
      <c r="A69" s="6">
        <v>68</v>
      </c>
      <c r="B69" s="6">
        <f>YEAR(Base1[[#This Row],[Fechas]])</f>
        <v>2025</v>
      </c>
      <c r="C69" s="6">
        <f>MONTH(Base1[[#This Row],[Fechas]])</f>
        <v>7</v>
      </c>
      <c r="D69" s="6">
        <f>DAY(Base1[[#This Row],[Fechas]])</f>
        <v>14</v>
      </c>
      <c r="E69" s="6" t="str">
        <f>TEXT(Base1[[#This Row],[Fechas]],"DDDD")</f>
        <v>lunes</v>
      </c>
      <c r="F69" s="6" t="str">
        <f>TEXT(Base1[[#This Row],[Fechas]],"MMMM")</f>
        <v>julio</v>
      </c>
      <c r="G69" s="6">
        <f ca="1">_xlfn.DAYS(TODAY(),Base1[[#This Row],[Fechas]])</f>
        <v>345</v>
      </c>
      <c r="H69" s="7">
        <f ca="1">BaseA[[#This Row],[Días Transcurridos]]/360</f>
        <v>0.95833333333333337</v>
      </c>
    </row>
    <row r="70" spans="1:8" x14ac:dyDescent="0.3">
      <c r="A70" s="6">
        <v>69</v>
      </c>
      <c r="B70" s="6">
        <f>YEAR(Base1[[#This Row],[Fechas]])</f>
        <v>2024</v>
      </c>
      <c r="C70" s="6">
        <f>MONTH(Base1[[#This Row],[Fechas]])</f>
        <v>6</v>
      </c>
      <c r="D70" s="6">
        <f>DAY(Base1[[#This Row],[Fechas]])</f>
        <v>19</v>
      </c>
      <c r="E70" s="6" t="str">
        <f>TEXT(Base1[[#This Row],[Fechas]],"DDDD")</f>
        <v>miércoles</v>
      </c>
      <c r="F70" s="6" t="str">
        <f>TEXT(Base1[[#This Row],[Fechas]],"MMMM")</f>
        <v>junio</v>
      </c>
      <c r="G70" s="6">
        <f ca="1">_xlfn.DAYS(TODAY(),Base1[[#This Row],[Fechas]])</f>
        <v>735</v>
      </c>
      <c r="H70" s="7">
        <f ca="1">BaseA[[#This Row],[Días Transcurridos]]/360</f>
        <v>2.0416666666666665</v>
      </c>
    </row>
    <row r="71" spans="1:8" x14ac:dyDescent="0.3">
      <c r="A71" s="6">
        <v>70</v>
      </c>
      <c r="B71" s="6">
        <f>YEAR(Base1[[#This Row],[Fechas]])</f>
        <v>2024</v>
      </c>
      <c r="C71" s="6">
        <f>MONTH(Base1[[#This Row],[Fechas]])</f>
        <v>7</v>
      </c>
      <c r="D71" s="6">
        <f>DAY(Base1[[#This Row],[Fechas]])</f>
        <v>14</v>
      </c>
      <c r="E71" s="6" t="str">
        <f>TEXT(Base1[[#This Row],[Fechas]],"DDDD")</f>
        <v>domingo</v>
      </c>
      <c r="F71" s="6" t="str">
        <f>TEXT(Base1[[#This Row],[Fechas]],"MMMM")</f>
        <v>julio</v>
      </c>
      <c r="G71" s="6">
        <f ca="1">_xlfn.DAYS(TODAY(),Base1[[#This Row],[Fechas]])</f>
        <v>710</v>
      </c>
      <c r="H71" s="7">
        <f ca="1">BaseA[[#This Row],[Días Transcurridos]]/360</f>
        <v>1.9722222222222223</v>
      </c>
    </row>
    <row r="72" spans="1:8" x14ac:dyDescent="0.3">
      <c r="A72" s="6">
        <v>71</v>
      </c>
      <c r="B72" s="6">
        <f>YEAR(Base1[[#This Row],[Fechas]])</f>
        <v>2025</v>
      </c>
      <c r="C72" s="6">
        <f>MONTH(Base1[[#This Row],[Fechas]])</f>
        <v>8</v>
      </c>
      <c r="D72" s="6">
        <f>DAY(Base1[[#This Row],[Fechas]])</f>
        <v>13</v>
      </c>
      <c r="E72" s="6" t="str">
        <f>TEXT(Base1[[#This Row],[Fechas]],"DDDD")</f>
        <v>miércoles</v>
      </c>
      <c r="F72" s="6" t="str">
        <f>TEXT(Base1[[#This Row],[Fechas]],"MMMM")</f>
        <v>agosto</v>
      </c>
      <c r="G72" s="6">
        <f ca="1">_xlfn.DAYS(TODAY(),Base1[[#This Row],[Fechas]])</f>
        <v>315</v>
      </c>
      <c r="H72" s="7">
        <f ca="1">BaseA[[#This Row],[Días Transcurridos]]/360</f>
        <v>0.875</v>
      </c>
    </row>
    <row r="73" spans="1:8" x14ac:dyDescent="0.3">
      <c r="A73" s="6">
        <v>72</v>
      </c>
      <c r="B73" s="6">
        <f>YEAR(Base1[[#This Row],[Fechas]])</f>
        <v>2025</v>
      </c>
      <c r="C73" s="6">
        <f>MONTH(Base1[[#This Row],[Fechas]])</f>
        <v>2</v>
      </c>
      <c r="D73" s="6">
        <f>DAY(Base1[[#This Row],[Fechas]])</f>
        <v>11</v>
      </c>
      <c r="E73" s="6" t="str">
        <f>TEXT(Base1[[#This Row],[Fechas]],"DDDD")</f>
        <v>martes</v>
      </c>
      <c r="F73" s="6" t="str">
        <f>TEXT(Base1[[#This Row],[Fechas]],"MMMM")</f>
        <v>febrero</v>
      </c>
      <c r="G73" s="6">
        <f ca="1">_xlfn.DAYS(TODAY(),Base1[[#This Row],[Fechas]])</f>
        <v>498</v>
      </c>
      <c r="H73" s="7">
        <f ca="1">BaseA[[#This Row],[Días Transcurridos]]/360</f>
        <v>1.3833333333333333</v>
      </c>
    </row>
    <row r="74" spans="1:8" x14ac:dyDescent="0.3">
      <c r="A74" s="6">
        <v>73</v>
      </c>
      <c r="B74" s="6">
        <f>YEAR(Base1[[#This Row],[Fechas]])</f>
        <v>2025</v>
      </c>
      <c r="C74" s="6">
        <f>MONTH(Base1[[#This Row],[Fechas]])</f>
        <v>10</v>
      </c>
      <c r="D74" s="6">
        <f>DAY(Base1[[#This Row],[Fechas]])</f>
        <v>12</v>
      </c>
      <c r="E74" s="6" t="str">
        <f>TEXT(Base1[[#This Row],[Fechas]],"DDDD")</f>
        <v>domingo</v>
      </c>
      <c r="F74" s="6" t="str">
        <f>TEXT(Base1[[#This Row],[Fechas]],"MMMM")</f>
        <v>octubre</v>
      </c>
      <c r="G74" s="6">
        <f ca="1">_xlfn.DAYS(TODAY(),Base1[[#This Row],[Fechas]])</f>
        <v>255</v>
      </c>
      <c r="H74" s="7">
        <f ca="1">BaseA[[#This Row],[Días Transcurridos]]/360</f>
        <v>0.70833333333333337</v>
      </c>
    </row>
    <row r="75" spans="1:8" x14ac:dyDescent="0.3">
      <c r="A75" s="6">
        <v>74</v>
      </c>
      <c r="B75" s="6">
        <f>YEAR(Base1[[#This Row],[Fechas]])</f>
        <v>2025</v>
      </c>
      <c r="C75" s="6">
        <f>MONTH(Base1[[#This Row],[Fechas]])</f>
        <v>11</v>
      </c>
      <c r="D75" s="6">
        <f>DAY(Base1[[#This Row],[Fechas]])</f>
        <v>29</v>
      </c>
      <c r="E75" s="6" t="str">
        <f>TEXT(Base1[[#This Row],[Fechas]],"DDDD")</f>
        <v>sábado</v>
      </c>
      <c r="F75" s="6" t="str">
        <f>TEXT(Base1[[#This Row],[Fechas]],"MMMM")</f>
        <v>noviembre</v>
      </c>
      <c r="G75" s="6">
        <f ca="1">_xlfn.DAYS(TODAY(),Base1[[#This Row],[Fechas]])</f>
        <v>207</v>
      </c>
      <c r="H75" s="7">
        <f ca="1">BaseA[[#This Row],[Días Transcurridos]]/360</f>
        <v>0.57499999999999996</v>
      </c>
    </row>
    <row r="76" spans="1:8" x14ac:dyDescent="0.3">
      <c r="A76" s="6">
        <v>75</v>
      </c>
      <c r="B76" s="6">
        <f>YEAR(Base1[[#This Row],[Fechas]])</f>
        <v>2025</v>
      </c>
      <c r="C76" s="6">
        <f>MONTH(Base1[[#This Row],[Fechas]])</f>
        <v>2</v>
      </c>
      <c r="D76" s="6">
        <f>DAY(Base1[[#This Row],[Fechas]])</f>
        <v>6</v>
      </c>
      <c r="E76" s="6" t="str">
        <f>TEXT(Base1[[#This Row],[Fechas]],"DDDD")</f>
        <v>jueves</v>
      </c>
      <c r="F76" s="6" t="str">
        <f>TEXT(Base1[[#This Row],[Fechas]],"MMMM")</f>
        <v>febrero</v>
      </c>
      <c r="G76" s="6">
        <f ca="1">_xlfn.DAYS(TODAY(),Base1[[#This Row],[Fechas]])</f>
        <v>503</v>
      </c>
      <c r="H76" s="7">
        <f ca="1">BaseA[[#This Row],[Días Transcurridos]]/360</f>
        <v>1.3972222222222221</v>
      </c>
    </row>
    <row r="77" spans="1:8" x14ac:dyDescent="0.3">
      <c r="A77" s="6">
        <v>76</v>
      </c>
      <c r="B77" s="6">
        <f>YEAR(Base1[[#This Row],[Fechas]])</f>
        <v>2025</v>
      </c>
      <c r="C77" s="6">
        <f>MONTH(Base1[[#This Row],[Fechas]])</f>
        <v>8</v>
      </c>
      <c r="D77" s="6">
        <f>DAY(Base1[[#This Row],[Fechas]])</f>
        <v>3</v>
      </c>
      <c r="E77" s="6" t="str">
        <f>TEXT(Base1[[#This Row],[Fechas]],"DDDD")</f>
        <v>domingo</v>
      </c>
      <c r="F77" s="6" t="str">
        <f>TEXT(Base1[[#This Row],[Fechas]],"MMMM")</f>
        <v>agosto</v>
      </c>
      <c r="G77" s="6">
        <f ca="1">_xlfn.DAYS(TODAY(),Base1[[#This Row],[Fechas]])</f>
        <v>325</v>
      </c>
      <c r="H77" s="7">
        <f ca="1">BaseA[[#This Row],[Días Transcurridos]]/360</f>
        <v>0.90277777777777779</v>
      </c>
    </row>
    <row r="78" spans="1:8" x14ac:dyDescent="0.3">
      <c r="A78" s="6">
        <v>77</v>
      </c>
      <c r="B78" s="6">
        <f>YEAR(Base1[[#This Row],[Fechas]])</f>
        <v>2025</v>
      </c>
      <c r="C78" s="6">
        <f>MONTH(Base1[[#This Row],[Fechas]])</f>
        <v>6</v>
      </c>
      <c r="D78" s="6">
        <f>DAY(Base1[[#This Row],[Fechas]])</f>
        <v>22</v>
      </c>
      <c r="E78" s="6" t="str">
        <f>TEXT(Base1[[#This Row],[Fechas]],"DDDD")</f>
        <v>domingo</v>
      </c>
      <c r="F78" s="6" t="str">
        <f>TEXT(Base1[[#This Row],[Fechas]],"MMMM")</f>
        <v>junio</v>
      </c>
      <c r="G78" s="6">
        <f ca="1">_xlfn.DAYS(TODAY(),Base1[[#This Row],[Fechas]])</f>
        <v>367</v>
      </c>
      <c r="H78" s="7">
        <f ca="1">BaseA[[#This Row],[Días Transcurridos]]/360</f>
        <v>1.0194444444444444</v>
      </c>
    </row>
    <row r="79" spans="1:8" x14ac:dyDescent="0.3">
      <c r="A79" s="6">
        <v>78</v>
      </c>
      <c r="B79" s="6">
        <f>YEAR(Base1[[#This Row],[Fechas]])</f>
        <v>2025</v>
      </c>
      <c r="C79" s="6">
        <f>MONTH(Base1[[#This Row],[Fechas]])</f>
        <v>11</v>
      </c>
      <c r="D79" s="6">
        <f>DAY(Base1[[#This Row],[Fechas]])</f>
        <v>20</v>
      </c>
      <c r="E79" s="6" t="str">
        <f>TEXT(Base1[[#This Row],[Fechas]],"DDDD")</f>
        <v>jueves</v>
      </c>
      <c r="F79" s="6" t="str">
        <f>TEXT(Base1[[#This Row],[Fechas]],"MMMM")</f>
        <v>noviembre</v>
      </c>
      <c r="G79" s="6">
        <f ca="1">_xlfn.DAYS(TODAY(),Base1[[#This Row],[Fechas]])</f>
        <v>216</v>
      </c>
      <c r="H79" s="7">
        <f ca="1">BaseA[[#This Row],[Días Transcurridos]]/360</f>
        <v>0.6</v>
      </c>
    </row>
    <row r="80" spans="1:8" x14ac:dyDescent="0.3">
      <c r="A80" s="6">
        <v>79</v>
      </c>
      <c r="B80" s="6">
        <f>YEAR(Base1[[#This Row],[Fechas]])</f>
        <v>2025</v>
      </c>
      <c r="C80" s="6">
        <f>MONTH(Base1[[#This Row],[Fechas]])</f>
        <v>9</v>
      </c>
      <c r="D80" s="6">
        <f>DAY(Base1[[#This Row],[Fechas]])</f>
        <v>4</v>
      </c>
      <c r="E80" s="6" t="str">
        <f>TEXT(Base1[[#This Row],[Fechas]],"DDDD")</f>
        <v>jueves</v>
      </c>
      <c r="F80" s="6" t="str">
        <f>TEXT(Base1[[#This Row],[Fechas]],"MMMM")</f>
        <v>septiembre</v>
      </c>
      <c r="G80" s="6">
        <f ca="1">_xlfn.DAYS(TODAY(),Base1[[#This Row],[Fechas]])</f>
        <v>293</v>
      </c>
      <c r="H80" s="7">
        <f ca="1">BaseA[[#This Row],[Días Transcurridos]]/360</f>
        <v>0.81388888888888888</v>
      </c>
    </row>
    <row r="81" spans="1:8" x14ac:dyDescent="0.3">
      <c r="A81" s="6">
        <v>80</v>
      </c>
      <c r="B81" s="6">
        <f>YEAR(Base1[[#This Row],[Fechas]])</f>
        <v>2023</v>
      </c>
      <c r="C81" s="6">
        <f>MONTH(Base1[[#This Row],[Fechas]])</f>
        <v>8</v>
      </c>
      <c r="D81" s="6">
        <f>DAY(Base1[[#This Row],[Fechas]])</f>
        <v>22</v>
      </c>
      <c r="E81" s="6" t="str">
        <f>TEXT(Base1[[#This Row],[Fechas]],"DDDD")</f>
        <v>martes</v>
      </c>
      <c r="F81" s="6" t="str">
        <f>TEXT(Base1[[#This Row],[Fechas]],"MMMM")</f>
        <v>agosto</v>
      </c>
      <c r="G81" s="6">
        <f ca="1">_xlfn.DAYS(TODAY(),Base1[[#This Row],[Fechas]])</f>
        <v>1037</v>
      </c>
      <c r="H81" s="7">
        <f ca="1">BaseA[[#This Row],[Días Transcurridos]]/360</f>
        <v>2.8805555555555555</v>
      </c>
    </row>
    <row r="82" spans="1:8" x14ac:dyDescent="0.3">
      <c r="A82" s="6">
        <v>81</v>
      </c>
      <c r="B82" s="6">
        <f>YEAR(Base1[[#This Row],[Fechas]])</f>
        <v>2024</v>
      </c>
      <c r="C82" s="6">
        <f>MONTH(Base1[[#This Row],[Fechas]])</f>
        <v>7</v>
      </c>
      <c r="D82" s="6">
        <f>DAY(Base1[[#This Row],[Fechas]])</f>
        <v>6</v>
      </c>
      <c r="E82" s="6" t="str">
        <f>TEXT(Base1[[#This Row],[Fechas]],"DDDD")</f>
        <v>sábado</v>
      </c>
      <c r="F82" s="6" t="str">
        <f>TEXT(Base1[[#This Row],[Fechas]],"MMMM")</f>
        <v>julio</v>
      </c>
      <c r="G82" s="6">
        <f ca="1">_xlfn.DAYS(TODAY(),Base1[[#This Row],[Fechas]])</f>
        <v>718</v>
      </c>
      <c r="H82" s="7">
        <f ca="1">BaseA[[#This Row],[Días Transcurridos]]/360</f>
        <v>1.9944444444444445</v>
      </c>
    </row>
    <row r="83" spans="1:8" x14ac:dyDescent="0.3">
      <c r="A83" s="6">
        <v>82</v>
      </c>
      <c r="B83" s="6">
        <f>YEAR(Base1[[#This Row],[Fechas]])</f>
        <v>2025</v>
      </c>
      <c r="C83" s="6">
        <f>MONTH(Base1[[#This Row],[Fechas]])</f>
        <v>12</v>
      </c>
      <c r="D83" s="6">
        <f>DAY(Base1[[#This Row],[Fechas]])</f>
        <v>14</v>
      </c>
      <c r="E83" s="6" t="str">
        <f>TEXT(Base1[[#This Row],[Fechas]],"DDDD")</f>
        <v>domingo</v>
      </c>
      <c r="F83" s="6" t="str">
        <f>TEXT(Base1[[#This Row],[Fechas]],"MMMM")</f>
        <v>diciembre</v>
      </c>
      <c r="G83" s="6">
        <f ca="1">_xlfn.DAYS(TODAY(),Base1[[#This Row],[Fechas]])</f>
        <v>192</v>
      </c>
      <c r="H83" s="7">
        <f ca="1">BaseA[[#This Row],[Días Transcurridos]]/360</f>
        <v>0.53333333333333333</v>
      </c>
    </row>
    <row r="84" spans="1:8" x14ac:dyDescent="0.3">
      <c r="A84" s="6">
        <v>83</v>
      </c>
      <c r="B84" s="6">
        <f>YEAR(Base1[[#This Row],[Fechas]])</f>
        <v>2023</v>
      </c>
      <c r="C84" s="6">
        <f>MONTH(Base1[[#This Row],[Fechas]])</f>
        <v>5</v>
      </c>
      <c r="D84" s="6">
        <f>DAY(Base1[[#This Row],[Fechas]])</f>
        <v>4</v>
      </c>
      <c r="E84" s="6" t="str">
        <f>TEXT(Base1[[#This Row],[Fechas]],"DDDD")</f>
        <v>jueves</v>
      </c>
      <c r="F84" s="6" t="str">
        <f>TEXT(Base1[[#This Row],[Fechas]],"MMMM")</f>
        <v>mayo</v>
      </c>
      <c r="G84" s="6">
        <f ca="1">_xlfn.DAYS(TODAY(),Base1[[#This Row],[Fechas]])</f>
        <v>1147</v>
      </c>
      <c r="H84" s="7">
        <f ca="1">BaseA[[#This Row],[Días Transcurridos]]/360</f>
        <v>3.1861111111111109</v>
      </c>
    </row>
    <row r="85" spans="1:8" x14ac:dyDescent="0.3">
      <c r="A85" s="6">
        <v>84</v>
      </c>
      <c r="B85" s="6">
        <f>YEAR(Base1[[#This Row],[Fechas]])</f>
        <v>2025</v>
      </c>
      <c r="C85" s="6">
        <f>MONTH(Base1[[#This Row],[Fechas]])</f>
        <v>7</v>
      </c>
      <c r="D85" s="6">
        <f>DAY(Base1[[#This Row],[Fechas]])</f>
        <v>16</v>
      </c>
      <c r="E85" s="6" t="str">
        <f>TEXT(Base1[[#This Row],[Fechas]],"DDDD")</f>
        <v>miércoles</v>
      </c>
      <c r="F85" s="6" t="str">
        <f>TEXT(Base1[[#This Row],[Fechas]],"MMMM")</f>
        <v>julio</v>
      </c>
      <c r="G85" s="6">
        <f ca="1">_xlfn.DAYS(TODAY(),Base1[[#This Row],[Fechas]])</f>
        <v>343</v>
      </c>
      <c r="H85" s="7">
        <f ca="1">BaseA[[#This Row],[Días Transcurridos]]/360</f>
        <v>0.95277777777777772</v>
      </c>
    </row>
    <row r="86" spans="1:8" x14ac:dyDescent="0.3">
      <c r="A86" s="6">
        <v>85</v>
      </c>
      <c r="B86" s="6">
        <f>YEAR(Base1[[#This Row],[Fechas]])</f>
        <v>2025</v>
      </c>
      <c r="C86" s="6">
        <f>MONTH(Base1[[#This Row],[Fechas]])</f>
        <v>6</v>
      </c>
      <c r="D86" s="6">
        <f>DAY(Base1[[#This Row],[Fechas]])</f>
        <v>19</v>
      </c>
      <c r="E86" s="6" t="str">
        <f>TEXT(Base1[[#This Row],[Fechas]],"DDDD")</f>
        <v>jueves</v>
      </c>
      <c r="F86" s="6" t="str">
        <f>TEXT(Base1[[#This Row],[Fechas]],"MMMM")</f>
        <v>junio</v>
      </c>
      <c r="G86" s="6">
        <f ca="1">_xlfn.DAYS(TODAY(),Base1[[#This Row],[Fechas]])</f>
        <v>370</v>
      </c>
      <c r="H86" s="7">
        <f ca="1">BaseA[[#This Row],[Días Transcurridos]]/360</f>
        <v>1.0277777777777777</v>
      </c>
    </row>
    <row r="87" spans="1:8" x14ac:dyDescent="0.3">
      <c r="A87" s="6">
        <v>86</v>
      </c>
      <c r="B87" s="6">
        <f>YEAR(Base1[[#This Row],[Fechas]])</f>
        <v>2025</v>
      </c>
      <c r="C87" s="6">
        <f>MONTH(Base1[[#This Row],[Fechas]])</f>
        <v>11</v>
      </c>
      <c r="D87" s="6">
        <f>DAY(Base1[[#This Row],[Fechas]])</f>
        <v>1</v>
      </c>
      <c r="E87" s="6" t="str">
        <f>TEXT(Base1[[#This Row],[Fechas]],"DDDD")</f>
        <v>sábado</v>
      </c>
      <c r="F87" s="6" t="str">
        <f>TEXT(Base1[[#This Row],[Fechas]],"MMMM")</f>
        <v>noviembre</v>
      </c>
      <c r="G87" s="6">
        <f ca="1">_xlfn.DAYS(TODAY(),Base1[[#This Row],[Fechas]])</f>
        <v>235</v>
      </c>
      <c r="H87" s="7">
        <f ca="1">BaseA[[#This Row],[Días Transcurridos]]/360</f>
        <v>0.65277777777777779</v>
      </c>
    </row>
    <row r="88" spans="1:8" x14ac:dyDescent="0.3">
      <c r="A88" s="6">
        <v>87</v>
      </c>
      <c r="B88" s="6">
        <f>YEAR(Base1[[#This Row],[Fechas]])</f>
        <v>2025</v>
      </c>
      <c r="C88" s="6">
        <f>MONTH(Base1[[#This Row],[Fechas]])</f>
        <v>3</v>
      </c>
      <c r="D88" s="6">
        <f>DAY(Base1[[#This Row],[Fechas]])</f>
        <v>8</v>
      </c>
      <c r="E88" s="6" t="str">
        <f>TEXT(Base1[[#This Row],[Fechas]],"DDDD")</f>
        <v>sábado</v>
      </c>
      <c r="F88" s="6" t="str">
        <f>TEXT(Base1[[#This Row],[Fechas]],"MMMM")</f>
        <v>marzo</v>
      </c>
      <c r="G88" s="6">
        <f ca="1">_xlfn.DAYS(TODAY(),Base1[[#This Row],[Fechas]])</f>
        <v>473</v>
      </c>
      <c r="H88" s="7">
        <f ca="1">BaseA[[#This Row],[Días Transcurridos]]/360</f>
        <v>1.3138888888888889</v>
      </c>
    </row>
    <row r="89" spans="1:8" x14ac:dyDescent="0.3">
      <c r="A89" s="6">
        <v>88</v>
      </c>
      <c r="B89" s="6">
        <f>YEAR(Base1[[#This Row],[Fechas]])</f>
        <v>2025</v>
      </c>
      <c r="C89" s="6">
        <f>MONTH(Base1[[#This Row],[Fechas]])</f>
        <v>6</v>
      </c>
      <c r="D89" s="6">
        <f>DAY(Base1[[#This Row],[Fechas]])</f>
        <v>9</v>
      </c>
      <c r="E89" s="6" t="str">
        <f>TEXT(Base1[[#This Row],[Fechas]],"DDDD")</f>
        <v>lunes</v>
      </c>
      <c r="F89" s="6" t="str">
        <f>TEXT(Base1[[#This Row],[Fechas]],"MMMM")</f>
        <v>junio</v>
      </c>
      <c r="G89" s="6">
        <f ca="1">_xlfn.DAYS(TODAY(),Base1[[#This Row],[Fechas]])</f>
        <v>380</v>
      </c>
      <c r="H89" s="7">
        <f ca="1">BaseA[[#This Row],[Días Transcurridos]]/360</f>
        <v>1.0555555555555556</v>
      </c>
    </row>
    <row r="90" spans="1:8" x14ac:dyDescent="0.3">
      <c r="A90" s="6">
        <v>89</v>
      </c>
      <c r="B90" s="6">
        <f>YEAR(Base1[[#This Row],[Fechas]])</f>
        <v>2025</v>
      </c>
      <c r="C90" s="6">
        <f>MONTH(Base1[[#This Row],[Fechas]])</f>
        <v>9</v>
      </c>
      <c r="D90" s="6">
        <f>DAY(Base1[[#This Row],[Fechas]])</f>
        <v>4</v>
      </c>
      <c r="E90" s="6" t="str">
        <f>TEXT(Base1[[#This Row],[Fechas]],"DDDD")</f>
        <v>jueves</v>
      </c>
      <c r="F90" s="6" t="str">
        <f>TEXT(Base1[[#This Row],[Fechas]],"MMMM")</f>
        <v>septiembre</v>
      </c>
      <c r="G90" s="6">
        <f ca="1">_xlfn.DAYS(TODAY(),Base1[[#This Row],[Fechas]])</f>
        <v>293</v>
      </c>
      <c r="H90" s="7">
        <f ca="1">BaseA[[#This Row],[Días Transcurridos]]/360</f>
        <v>0.81388888888888888</v>
      </c>
    </row>
    <row r="91" spans="1:8" x14ac:dyDescent="0.3">
      <c r="A91" s="6">
        <v>90</v>
      </c>
      <c r="B91" s="6">
        <f>YEAR(Base1[[#This Row],[Fechas]])</f>
        <v>2025</v>
      </c>
      <c r="C91" s="6">
        <f>MONTH(Base1[[#This Row],[Fechas]])</f>
        <v>4</v>
      </c>
      <c r="D91" s="6">
        <f>DAY(Base1[[#This Row],[Fechas]])</f>
        <v>13</v>
      </c>
      <c r="E91" s="6" t="str">
        <f>TEXT(Base1[[#This Row],[Fechas]],"DDDD")</f>
        <v>domingo</v>
      </c>
      <c r="F91" s="6" t="str">
        <f>TEXT(Base1[[#This Row],[Fechas]],"MMMM")</f>
        <v>abril</v>
      </c>
      <c r="G91" s="6">
        <f ca="1">_xlfn.DAYS(TODAY(),Base1[[#This Row],[Fechas]])</f>
        <v>437</v>
      </c>
      <c r="H91" s="7">
        <f ca="1">BaseA[[#This Row],[Días Transcurridos]]/360</f>
        <v>1.2138888888888888</v>
      </c>
    </row>
    <row r="92" spans="1:8" x14ac:dyDescent="0.3">
      <c r="A92" s="6">
        <v>91</v>
      </c>
      <c r="B92" s="6">
        <f>YEAR(Base1[[#This Row],[Fechas]])</f>
        <v>2023</v>
      </c>
      <c r="C92" s="6">
        <f>MONTH(Base1[[#This Row],[Fechas]])</f>
        <v>5</v>
      </c>
      <c r="D92" s="6">
        <f>DAY(Base1[[#This Row],[Fechas]])</f>
        <v>21</v>
      </c>
      <c r="E92" s="6" t="str">
        <f>TEXT(Base1[[#This Row],[Fechas]],"DDDD")</f>
        <v>domingo</v>
      </c>
      <c r="F92" s="6" t="str">
        <f>TEXT(Base1[[#This Row],[Fechas]],"MMMM")</f>
        <v>mayo</v>
      </c>
      <c r="G92" s="6">
        <f ca="1">_xlfn.DAYS(TODAY(),Base1[[#This Row],[Fechas]])</f>
        <v>1130</v>
      </c>
      <c r="H92" s="7">
        <f ca="1">BaseA[[#This Row],[Días Transcurridos]]/360</f>
        <v>3.1388888888888888</v>
      </c>
    </row>
    <row r="93" spans="1:8" x14ac:dyDescent="0.3">
      <c r="A93" s="6">
        <v>92</v>
      </c>
      <c r="B93" s="6">
        <f>YEAR(Base1[[#This Row],[Fechas]])</f>
        <v>2025</v>
      </c>
      <c r="C93" s="6">
        <f>MONTH(Base1[[#This Row],[Fechas]])</f>
        <v>6</v>
      </c>
      <c r="D93" s="6">
        <f>DAY(Base1[[#This Row],[Fechas]])</f>
        <v>22</v>
      </c>
      <c r="E93" s="6" t="str">
        <f>TEXT(Base1[[#This Row],[Fechas]],"DDDD")</f>
        <v>domingo</v>
      </c>
      <c r="F93" s="6" t="str">
        <f>TEXT(Base1[[#This Row],[Fechas]],"MMMM")</f>
        <v>junio</v>
      </c>
      <c r="G93" s="6">
        <f ca="1">_xlfn.DAYS(TODAY(),Base1[[#This Row],[Fechas]])</f>
        <v>367</v>
      </c>
      <c r="H93" s="7">
        <f ca="1">BaseA[[#This Row],[Días Transcurridos]]/360</f>
        <v>1.0194444444444444</v>
      </c>
    </row>
    <row r="94" spans="1:8" x14ac:dyDescent="0.3">
      <c r="A94" s="6">
        <v>93</v>
      </c>
      <c r="B94" s="6">
        <f>YEAR(Base1[[#This Row],[Fechas]])</f>
        <v>2023</v>
      </c>
      <c r="C94" s="6">
        <f>MONTH(Base1[[#This Row],[Fechas]])</f>
        <v>2</v>
      </c>
      <c r="D94" s="6">
        <f>DAY(Base1[[#This Row],[Fechas]])</f>
        <v>27</v>
      </c>
      <c r="E94" s="6" t="str">
        <f>TEXT(Base1[[#This Row],[Fechas]],"DDDD")</f>
        <v>lunes</v>
      </c>
      <c r="F94" s="6" t="str">
        <f>TEXT(Base1[[#This Row],[Fechas]],"MMMM")</f>
        <v>febrero</v>
      </c>
      <c r="G94" s="6">
        <f ca="1">_xlfn.DAYS(TODAY(),Base1[[#This Row],[Fechas]])</f>
        <v>1213</v>
      </c>
      <c r="H94" s="7">
        <f ca="1">BaseA[[#This Row],[Días Transcurridos]]/360</f>
        <v>3.3694444444444445</v>
      </c>
    </row>
    <row r="95" spans="1:8" x14ac:dyDescent="0.3">
      <c r="A95" s="6">
        <v>94</v>
      </c>
      <c r="B95" s="6">
        <f>YEAR(Base1[[#This Row],[Fechas]])</f>
        <v>2025</v>
      </c>
      <c r="C95" s="6">
        <f>MONTH(Base1[[#This Row],[Fechas]])</f>
        <v>10</v>
      </c>
      <c r="D95" s="6">
        <f>DAY(Base1[[#This Row],[Fechas]])</f>
        <v>25</v>
      </c>
      <c r="E95" s="6" t="str">
        <f>TEXT(Base1[[#This Row],[Fechas]],"DDDD")</f>
        <v>sábado</v>
      </c>
      <c r="F95" s="6" t="str">
        <f>TEXT(Base1[[#This Row],[Fechas]],"MMMM")</f>
        <v>octubre</v>
      </c>
      <c r="G95" s="6">
        <f ca="1">_xlfn.DAYS(TODAY(),Base1[[#This Row],[Fechas]])</f>
        <v>242</v>
      </c>
      <c r="H95" s="7">
        <f ca="1">BaseA[[#This Row],[Días Transcurridos]]/360</f>
        <v>0.67222222222222228</v>
      </c>
    </row>
    <row r="96" spans="1:8" x14ac:dyDescent="0.3">
      <c r="A96" s="6">
        <v>95</v>
      </c>
      <c r="B96" s="6">
        <f>YEAR(Base1[[#This Row],[Fechas]])</f>
        <v>2025</v>
      </c>
      <c r="C96" s="6">
        <f>MONTH(Base1[[#This Row],[Fechas]])</f>
        <v>1</v>
      </c>
      <c r="D96" s="6">
        <f>DAY(Base1[[#This Row],[Fechas]])</f>
        <v>13</v>
      </c>
      <c r="E96" s="6" t="str">
        <f>TEXT(Base1[[#This Row],[Fechas]],"DDDD")</f>
        <v>lunes</v>
      </c>
      <c r="F96" s="6" t="str">
        <f>TEXT(Base1[[#This Row],[Fechas]],"MMMM")</f>
        <v>enero</v>
      </c>
      <c r="G96" s="6">
        <f ca="1">_xlfn.DAYS(TODAY(),Base1[[#This Row],[Fechas]])</f>
        <v>527</v>
      </c>
      <c r="H96" s="7">
        <f ca="1">BaseA[[#This Row],[Días Transcurridos]]/360</f>
        <v>1.4638888888888888</v>
      </c>
    </row>
    <row r="97" spans="1:8" x14ac:dyDescent="0.3">
      <c r="A97" s="6">
        <v>96</v>
      </c>
      <c r="B97" s="6">
        <f>YEAR(Base1[[#This Row],[Fechas]])</f>
        <v>2025</v>
      </c>
      <c r="C97" s="6">
        <f>MONTH(Base1[[#This Row],[Fechas]])</f>
        <v>11</v>
      </c>
      <c r="D97" s="6">
        <f>DAY(Base1[[#This Row],[Fechas]])</f>
        <v>2</v>
      </c>
      <c r="E97" s="6" t="str">
        <f>TEXT(Base1[[#This Row],[Fechas]],"DDDD")</f>
        <v>domingo</v>
      </c>
      <c r="F97" s="6" t="str">
        <f>TEXT(Base1[[#This Row],[Fechas]],"MMMM")</f>
        <v>noviembre</v>
      </c>
      <c r="G97" s="6">
        <f ca="1">_xlfn.DAYS(TODAY(),Base1[[#This Row],[Fechas]])</f>
        <v>234</v>
      </c>
      <c r="H97" s="7">
        <f ca="1">BaseA[[#This Row],[Días Transcurridos]]/360</f>
        <v>0.65</v>
      </c>
    </row>
    <row r="98" spans="1:8" x14ac:dyDescent="0.3">
      <c r="A98" s="6">
        <v>97</v>
      </c>
      <c r="B98" s="6">
        <f>YEAR(Base1[[#This Row],[Fechas]])</f>
        <v>2025</v>
      </c>
      <c r="C98" s="6">
        <f>MONTH(Base1[[#This Row],[Fechas]])</f>
        <v>2</v>
      </c>
      <c r="D98" s="6">
        <f>DAY(Base1[[#This Row],[Fechas]])</f>
        <v>26</v>
      </c>
      <c r="E98" s="6" t="str">
        <f>TEXT(Base1[[#This Row],[Fechas]],"DDDD")</f>
        <v>miércoles</v>
      </c>
      <c r="F98" s="6" t="str">
        <f>TEXT(Base1[[#This Row],[Fechas]],"MMMM")</f>
        <v>febrero</v>
      </c>
      <c r="G98" s="6">
        <f ca="1">_xlfn.DAYS(TODAY(),Base1[[#This Row],[Fechas]])</f>
        <v>483</v>
      </c>
      <c r="H98" s="7">
        <f ca="1">BaseA[[#This Row],[Días Transcurridos]]/360</f>
        <v>1.3416666666666666</v>
      </c>
    </row>
    <row r="99" spans="1:8" x14ac:dyDescent="0.3">
      <c r="A99" s="6">
        <v>98</v>
      </c>
      <c r="B99" s="6">
        <f>YEAR(Base1[[#This Row],[Fechas]])</f>
        <v>2024</v>
      </c>
      <c r="C99" s="6">
        <f>MONTH(Base1[[#This Row],[Fechas]])</f>
        <v>4</v>
      </c>
      <c r="D99" s="6">
        <f>DAY(Base1[[#This Row],[Fechas]])</f>
        <v>12</v>
      </c>
      <c r="E99" s="6" t="str">
        <f>TEXT(Base1[[#This Row],[Fechas]],"DDDD")</f>
        <v>viernes</v>
      </c>
      <c r="F99" s="6" t="str">
        <f>TEXT(Base1[[#This Row],[Fechas]],"MMMM")</f>
        <v>abril</v>
      </c>
      <c r="G99" s="6">
        <f ca="1">_xlfn.DAYS(TODAY(),Base1[[#This Row],[Fechas]])</f>
        <v>803</v>
      </c>
      <c r="H99" s="7">
        <f ca="1">BaseA[[#This Row],[Días Transcurridos]]/360</f>
        <v>2.2305555555555556</v>
      </c>
    </row>
    <row r="100" spans="1:8" x14ac:dyDescent="0.3">
      <c r="A100" s="6">
        <v>99</v>
      </c>
      <c r="B100" s="6">
        <f>YEAR(Base1[[#This Row],[Fechas]])</f>
        <v>2023</v>
      </c>
      <c r="C100" s="6">
        <f>MONTH(Base1[[#This Row],[Fechas]])</f>
        <v>2</v>
      </c>
      <c r="D100" s="6">
        <f>DAY(Base1[[#This Row],[Fechas]])</f>
        <v>4</v>
      </c>
      <c r="E100" s="6" t="str">
        <f>TEXT(Base1[[#This Row],[Fechas]],"DDDD")</f>
        <v>sábado</v>
      </c>
      <c r="F100" s="6" t="str">
        <f>TEXT(Base1[[#This Row],[Fechas]],"MMMM")</f>
        <v>febrero</v>
      </c>
      <c r="G100" s="6">
        <f ca="1">_xlfn.DAYS(TODAY(),Base1[[#This Row],[Fechas]])</f>
        <v>1236</v>
      </c>
      <c r="H100" s="7">
        <f ca="1">BaseA[[#This Row],[Días Transcurridos]]/360</f>
        <v>3.4333333333333331</v>
      </c>
    </row>
    <row r="101" spans="1:8" x14ac:dyDescent="0.3">
      <c r="A101" s="6">
        <v>100</v>
      </c>
      <c r="B101" s="6">
        <f>YEAR(Base1[[#This Row],[Fechas]])</f>
        <v>2025</v>
      </c>
      <c r="C101" s="6">
        <f>MONTH(Base1[[#This Row],[Fechas]])</f>
        <v>5</v>
      </c>
      <c r="D101" s="6">
        <f>DAY(Base1[[#This Row],[Fechas]])</f>
        <v>25</v>
      </c>
      <c r="E101" s="6" t="str">
        <f>TEXT(Base1[[#This Row],[Fechas]],"DDDD")</f>
        <v>domingo</v>
      </c>
      <c r="F101" s="6" t="str">
        <f>TEXT(Base1[[#This Row],[Fechas]],"MMMM")</f>
        <v>mayo</v>
      </c>
      <c r="G101" s="6">
        <f ca="1">_xlfn.DAYS(TODAY(),Base1[[#This Row],[Fechas]])</f>
        <v>395</v>
      </c>
      <c r="H101" s="7">
        <f ca="1">BaseA[[#This Row],[Días Transcurridos]]/360</f>
        <v>1.0972222222222223</v>
      </c>
    </row>
    <row r="102" spans="1:8" x14ac:dyDescent="0.3">
      <c r="A102" s="6">
        <v>101</v>
      </c>
      <c r="B102" s="6">
        <f>YEAR(Base1[[#This Row],[Fechas]])</f>
        <v>2023</v>
      </c>
      <c r="C102" s="6">
        <f>MONTH(Base1[[#This Row],[Fechas]])</f>
        <v>10</v>
      </c>
      <c r="D102" s="6">
        <f>DAY(Base1[[#This Row],[Fechas]])</f>
        <v>23</v>
      </c>
      <c r="E102" s="6" t="str">
        <f>TEXT(Base1[[#This Row],[Fechas]],"DDDD")</f>
        <v>lunes</v>
      </c>
      <c r="F102" s="6" t="str">
        <f>TEXT(Base1[[#This Row],[Fechas]],"MMMM")</f>
        <v>octubre</v>
      </c>
      <c r="G102" s="6">
        <f ca="1">_xlfn.DAYS(TODAY(),Base1[[#This Row],[Fechas]])</f>
        <v>975</v>
      </c>
      <c r="H102" s="7">
        <f ca="1">BaseA[[#This Row],[Días Transcurridos]]/360</f>
        <v>2.7083333333333335</v>
      </c>
    </row>
    <row r="103" spans="1:8" x14ac:dyDescent="0.3">
      <c r="A103" s="6">
        <v>102</v>
      </c>
      <c r="B103" s="6">
        <f>YEAR(Base1[[#This Row],[Fechas]])</f>
        <v>2025</v>
      </c>
      <c r="C103" s="6">
        <f>MONTH(Base1[[#This Row],[Fechas]])</f>
        <v>8</v>
      </c>
      <c r="D103" s="6">
        <f>DAY(Base1[[#This Row],[Fechas]])</f>
        <v>12</v>
      </c>
      <c r="E103" s="6" t="str">
        <f>TEXT(Base1[[#This Row],[Fechas]],"DDDD")</f>
        <v>martes</v>
      </c>
      <c r="F103" s="6" t="str">
        <f>TEXT(Base1[[#This Row],[Fechas]],"MMMM")</f>
        <v>agosto</v>
      </c>
      <c r="G103" s="6">
        <f ca="1">_xlfn.DAYS(TODAY(),Base1[[#This Row],[Fechas]])</f>
        <v>316</v>
      </c>
      <c r="H103" s="7">
        <f ca="1">BaseA[[#This Row],[Días Transcurridos]]/360</f>
        <v>0.87777777777777777</v>
      </c>
    </row>
    <row r="104" spans="1:8" x14ac:dyDescent="0.3">
      <c r="A104" s="6">
        <v>103</v>
      </c>
      <c r="B104" s="6">
        <f>YEAR(Base1[[#This Row],[Fechas]])</f>
        <v>2025</v>
      </c>
      <c r="C104" s="6">
        <f>MONTH(Base1[[#This Row],[Fechas]])</f>
        <v>1</v>
      </c>
      <c r="D104" s="6">
        <f>DAY(Base1[[#This Row],[Fechas]])</f>
        <v>1</v>
      </c>
      <c r="E104" s="6" t="str">
        <f>TEXT(Base1[[#This Row],[Fechas]],"DDDD")</f>
        <v>miércoles</v>
      </c>
      <c r="F104" s="6" t="str">
        <f>TEXT(Base1[[#This Row],[Fechas]],"MMMM")</f>
        <v>enero</v>
      </c>
      <c r="G104" s="6">
        <f ca="1">_xlfn.DAYS(TODAY(),Base1[[#This Row],[Fechas]])</f>
        <v>539</v>
      </c>
      <c r="H104" s="7">
        <f ca="1">BaseA[[#This Row],[Días Transcurridos]]/360</f>
        <v>1.4972222222222222</v>
      </c>
    </row>
    <row r="105" spans="1:8" x14ac:dyDescent="0.3">
      <c r="A105" s="6">
        <v>104</v>
      </c>
      <c r="B105" s="6">
        <f>YEAR(Base1[[#This Row],[Fechas]])</f>
        <v>2024</v>
      </c>
      <c r="C105" s="6">
        <f>MONTH(Base1[[#This Row],[Fechas]])</f>
        <v>7</v>
      </c>
      <c r="D105" s="6">
        <f>DAY(Base1[[#This Row],[Fechas]])</f>
        <v>10</v>
      </c>
      <c r="E105" s="6" t="str">
        <f>TEXT(Base1[[#This Row],[Fechas]],"DDDD")</f>
        <v>miércoles</v>
      </c>
      <c r="F105" s="6" t="str">
        <f>TEXT(Base1[[#This Row],[Fechas]],"MMMM")</f>
        <v>julio</v>
      </c>
      <c r="G105" s="6">
        <f ca="1">_xlfn.DAYS(TODAY(),Base1[[#This Row],[Fechas]])</f>
        <v>714</v>
      </c>
      <c r="H105" s="7">
        <f ca="1">BaseA[[#This Row],[Días Transcurridos]]/360</f>
        <v>1.9833333333333334</v>
      </c>
    </row>
    <row r="106" spans="1:8" x14ac:dyDescent="0.3">
      <c r="A106" s="6">
        <v>105</v>
      </c>
      <c r="B106" s="6">
        <f>YEAR(Base1[[#This Row],[Fechas]])</f>
        <v>2024</v>
      </c>
      <c r="C106" s="6">
        <f>MONTH(Base1[[#This Row],[Fechas]])</f>
        <v>3</v>
      </c>
      <c r="D106" s="6">
        <f>DAY(Base1[[#This Row],[Fechas]])</f>
        <v>27</v>
      </c>
      <c r="E106" s="6" t="str">
        <f>TEXT(Base1[[#This Row],[Fechas]],"DDDD")</f>
        <v>miércoles</v>
      </c>
      <c r="F106" s="6" t="str">
        <f>TEXT(Base1[[#This Row],[Fechas]],"MMMM")</f>
        <v>marzo</v>
      </c>
      <c r="G106" s="6">
        <f ca="1">_xlfn.DAYS(TODAY(),Base1[[#This Row],[Fechas]])</f>
        <v>819</v>
      </c>
      <c r="H106" s="7">
        <f ca="1">BaseA[[#This Row],[Días Transcurridos]]/360</f>
        <v>2.2749999999999999</v>
      </c>
    </row>
    <row r="107" spans="1:8" x14ac:dyDescent="0.3">
      <c r="A107" s="6">
        <v>106</v>
      </c>
      <c r="B107" s="6">
        <f>YEAR(Base1[[#This Row],[Fechas]])</f>
        <v>2025</v>
      </c>
      <c r="C107" s="6">
        <f>MONTH(Base1[[#This Row],[Fechas]])</f>
        <v>10</v>
      </c>
      <c r="D107" s="6">
        <f>DAY(Base1[[#This Row],[Fechas]])</f>
        <v>2</v>
      </c>
      <c r="E107" s="6" t="str">
        <f>TEXT(Base1[[#This Row],[Fechas]],"DDDD")</f>
        <v>jueves</v>
      </c>
      <c r="F107" s="6" t="str">
        <f>TEXT(Base1[[#This Row],[Fechas]],"MMMM")</f>
        <v>octubre</v>
      </c>
      <c r="G107" s="6">
        <f ca="1">_xlfn.DAYS(TODAY(),Base1[[#This Row],[Fechas]])</f>
        <v>265</v>
      </c>
      <c r="H107" s="7">
        <f ca="1">BaseA[[#This Row],[Días Transcurridos]]/360</f>
        <v>0.73611111111111116</v>
      </c>
    </row>
    <row r="108" spans="1:8" x14ac:dyDescent="0.3">
      <c r="A108" s="6">
        <v>107</v>
      </c>
      <c r="B108" s="6">
        <f>YEAR(Base1[[#This Row],[Fechas]])</f>
        <v>2025</v>
      </c>
      <c r="C108" s="6">
        <f>MONTH(Base1[[#This Row],[Fechas]])</f>
        <v>1</v>
      </c>
      <c r="D108" s="6">
        <f>DAY(Base1[[#This Row],[Fechas]])</f>
        <v>28</v>
      </c>
      <c r="E108" s="6" t="str">
        <f>TEXT(Base1[[#This Row],[Fechas]],"DDDD")</f>
        <v>martes</v>
      </c>
      <c r="F108" s="6" t="str">
        <f>TEXT(Base1[[#This Row],[Fechas]],"MMMM")</f>
        <v>enero</v>
      </c>
      <c r="G108" s="6">
        <f ca="1">_xlfn.DAYS(TODAY(),Base1[[#This Row],[Fechas]])</f>
        <v>512</v>
      </c>
      <c r="H108" s="7">
        <f ca="1">BaseA[[#This Row],[Días Transcurridos]]/360</f>
        <v>1.4222222222222223</v>
      </c>
    </row>
    <row r="109" spans="1:8" x14ac:dyDescent="0.3">
      <c r="A109" s="6">
        <v>108</v>
      </c>
      <c r="B109" s="6">
        <f>YEAR(Base1[[#This Row],[Fechas]])</f>
        <v>2025</v>
      </c>
      <c r="C109" s="6">
        <f>MONTH(Base1[[#This Row],[Fechas]])</f>
        <v>2</v>
      </c>
      <c r="D109" s="6">
        <f>DAY(Base1[[#This Row],[Fechas]])</f>
        <v>3</v>
      </c>
      <c r="E109" s="6" t="str">
        <f>TEXT(Base1[[#This Row],[Fechas]],"DDDD")</f>
        <v>lunes</v>
      </c>
      <c r="F109" s="6" t="str">
        <f>TEXT(Base1[[#This Row],[Fechas]],"MMMM")</f>
        <v>febrero</v>
      </c>
      <c r="G109" s="6">
        <f ca="1">_xlfn.DAYS(TODAY(),Base1[[#This Row],[Fechas]])</f>
        <v>506</v>
      </c>
      <c r="H109" s="7">
        <f ca="1">BaseA[[#This Row],[Días Transcurridos]]/360</f>
        <v>1.4055555555555554</v>
      </c>
    </row>
    <row r="110" spans="1:8" x14ac:dyDescent="0.3">
      <c r="A110" s="6">
        <v>109</v>
      </c>
      <c r="B110" s="6">
        <f>YEAR(Base1[[#This Row],[Fechas]])</f>
        <v>2024</v>
      </c>
      <c r="C110" s="6">
        <f>MONTH(Base1[[#This Row],[Fechas]])</f>
        <v>4</v>
      </c>
      <c r="D110" s="6">
        <f>DAY(Base1[[#This Row],[Fechas]])</f>
        <v>21</v>
      </c>
      <c r="E110" s="6" t="str">
        <f>TEXT(Base1[[#This Row],[Fechas]],"DDDD")</f>
        <v>domingo</v>
      </c>
      <c r="F110" s="6" t="str">
        <f>TEXT(Base1[[#This Row],[Fechas]],"MMMM")</f>
        <v>abril</v>
      </c>
      <c r="G110" s="6">
        <f ca="1">_xlfn.DAYS(TODAY(),Base1[[#This Row],[Fechas]])</f>
        <v>794</v>
      </c>
      <c r="H110" s="7">
        <f ca="1">BaseA[[#This Row],[Días Transcurridos]]/360</f>
        <v>2.2055555555555557</v>
      </c>
    </row>
    <row r="111" spans="1:8" x14ac:dyDescent="0.3">
      <c r="A111" s="6">
        <v>110</v>
      </c>
      <c r="B111" s="6">
        <f>YEAR(Base1[[#This Row],[Fechas]])</f>
        <v>2025</v>
      </c>
      <c r="C111" s="6">
        <f>MONTH(Base1[[#This Row],[Fechas]])</f>
        <v>8</v>
      </c>
      <c r="D111" s="6">
        <f>DAY(Base1[[#This Row],[Fechas]])</f>
        <v>21</v>
      </c>
      <c r="E111" s="6" t="str">
        <f>TEXT(Base1[[#This Row],[Fechas]],"DDDD")</f>
        <v>jueves</v>
      </c>
      <c r="F111" s="6" t="str">
        <f>TEXT(Base1[[#This Row],[Fechas]],"MMMM")</f>
        <v>agosto</v>
      </c>
      <c r="G111" s="6">
        <f ca="1">_xlfn.DAYS(TODAY(),Base1[[#This Row],[Fechas]])</f>
        <v>307</v>
      </c>
      <c r="H111" s="7">
        <f ca="1">BaseA[[#This Row],[Días Transcurridos]]/360</f>
        <v>0.85277777777777775</v>
      </c>
    </row>
    <row r="112" spans="1:8" x14ac:dyDescent="0.3">
      <c r="A112" s="6">
        <v>111</v>
      </c>
      <c r="B112" s="6">
        <f>YEAR(Base1[[#This Row],[Fechas]])</f>
        <v>2025</v>
      </c>
      <c r="C112" s="6">
        <f>MONTH(Base1[[#This Row],[Fechas]])</f>
        <v>10</v>
      </c>
      <c r="D112" s="6">
        <f>DAY(Base1[[#This Row],[Fechas]])</f>
        <v>11</v>
      </c>
      <c r="E112" s="6" t="str">
        <f>TEXT(Base1[[#This Row],[Fechas]],"DDDD")</f>
        <v>sábado</v>
      </c>
      <c r="F112" s="6" t="str">
        <f>TEXT(Base1[[#This Row],[Fechas]],"MMMM")</f>
        <v>octubre</v>
      </c>
      <c r="G112" s="6">
        <f ca="1">_xlfn.DAYS(TODAY(),Base1[[#This Row],[Fechas]])</f>
        <v>256</v>
      </c>
      <c r="H112" s="7">
        <f ca="1">BaseA[[#This Row],[Días Transcurridos]]/360</f>
        <v>0.71111111111111114</v>
      </c>
    </row>
    <row r="113" spans="1:8" x14ac:dyDescent="0.3">
      <c r="A113" s="6">
        <v>112</v>
      </c>
      <c r="B113" s="6">
        <f>YEAR(Base1[[#This Row],[Fechas]])</f>
        <v>2024</v>
      </c>
      <c r="C113" s="6">
        <f>MONTH(Base1[[#This Row],[Fechas]])</f>
        <v>12</v>
      </c>
      <c r="D113" s="6">
        <f>DAY(Base1[[#This Row],[Fechas]])</f>
        <v>18</v>
      </c>
      <c r="E113" s="6" t="str">
        <f>TEXT(Base1[[#This Row],[Fechas]],"DDDD")</f>
        <v>miércoles</v>
      </c>
      <c r="F113" s="6" t="str">
        <f>TEXT(Base1[[#This Row],[Fechas]],"MMMM")</f>
        <v>diciembre</v>
      </c>
      <c r="G113" s="6">
        <f ca="1">_xlfn.DAYS(TODAY(),Base1[[#This Row],[Fechas]])</f>
        <v>553</v>
      </c>
      <c r="H113" s="7">
        <f ca="1">BaseA[[#This Row],[Días Transcurridos]]/360</f>
        <v>1.5361111111111112</v>
      </c>
    </row>
    <row r="114" spans="1:8" x14ac:dyDescent="0.3">
      <c r="A114" s="6">
        <v>113</v>
      </c>
      <c r="B114" s="6">
        <f>YEAR(Base1[[#This Row],[Fechas]])</f>
        <v>2025</v>
      </c>
      <c r="C114" s="6">
        <f>MONTH(Base1[[#This Row],[Fechas]])</f>
        <v>6</v>
      </c>
      <c r="D114" s="6">
        <f>DAY(Base1[[#This Row],[Fechas]])</f>
        <v>17</v>
      </c>
      <c r="E114" s="6" t="str">
        <f>TEXT(Base1[[#This Row],[Fechas]],"DDDD")</f>
        <v>martes</v>
      </c>
      <c r="F114" s="6" t="str">
        <f>TEXT(Base1[[#This Row],[Fechas]],"MMMM")</f>
        <v>junio</v>
      </c>
      <c r="G114" s="6">
        <f ca="1">_xlfn.DAYS(TODAY(),Base1[[#This Row],[Fechas]])</f>
        <v>372</v>
      </c>
      <c r="H114" s="7">
        <f ca="1">BaseA[[#This Row],[Días Transcurridos]]/360</f>
        <v>1.0333333333333334</v>
      </c>
    </row>
    <row r="115" spans="1:8" x14ac:dyDescent="0.3">
      <c r="A115" s="6">
        <v>114</v>
      </c>
      <c r="B115" s="6">
        <f>YEAR(Base1[[#This Row],[Fechas]])</f>
        <v>2023</v>
      </c>
      <c r="C115" s="6">
        <f>MONTH(Base1[[#This Row],[Fechas]])</f>
        <v>1</v>
      </c>
      <c r="D115" s="6">
        <f>DAY(Base1[[#This Row],[Fechas]])</f>
        <v>21</v>
      </c>
      <c r="E115" s="6" t="str">
        <f>TEXT(Base1[[#This Row],[Fechas]],"DDDD")</f>
        <v>sábado</v>
      </c>
      <c r="F115" s="6" t="str">
        <f>TEXT(Base1[[#This Row],[Fechas]],"MMMM")</f>
        <v>enero</v>
      </c>
      <c r="G115" s="6">
        <f ca="1">_xlfn.DAYS(TODAY(),Base1[[#This Row],[Fechas]])</f>
        <v>1250</v>
      </c>
      <c r="H115" s="7">
        <f ca="1">BaseA[[#This Row],[Días Transcurridos]]/360</f>
        <v>3.4722222222222223</v>
      </c>
    </row>
    <row r="116" spans="1:8" x14ac:dyDescent="0.3">
      <c r="A116" s="6">
        <v>115</v>
      </c>
      <c r="B116" s="6">
        <f>YEAR(Base1[[#This Row],[Fechas]])</f>
        <v>2025</v>
      </c>
      <c r="C116" s="6">
        <f>MONTH(Base1[[#This Row],[Fechas]])</f>
        <v>4</v>
      </c>
      <c r="D116" s="6">
        <f>DAY(Base1[[#This Row],[Fechas]])</f>
        <v>22</v>
      </c>
      <c r="E116" s="6" t="str">
        <f>TEXT(Base1[[#This Row],[Fechas]],"DDDD")</f>
        <v>martes</v>
      </c>
      <c r="F116" s="6" t="str">
        <f>TEXT(Base1[[#This Row],[Fechas]],"MMMM")</f>
        <v>abril</v>
      </c>
      <c r="G116" s="6">
        <f ca="1">_xlfn.DAYS(TODAY(),Base1[[#This Row],[Fechas]])</f>
        <v>428</v>
      </c>
      <c r="H116" s="7">
        <f ca="1">BaseA[[#This Row],[Días Transcurridos]]/360</f>
        <v>1.1888888888888889</v>
      </c>
    </row>
    <row r="117" spans="1:8" x14ac:dyDescent="0.3">
      <c r="A117" s="6">
        <v>116</v>
      </c>
      <c r="B117" s="6">
        <f>YEAR(Base1[[#This Row],[Fechas]])</f>
        <v>2025</v>
      </c>
      <c r="C117" s="6">
        <f>MONTH(Base1[[#This Row],[Fechas]])</f>
        <v>9</v>
      </c>
      <c r="D117" s="6">
        <f>DAY(Base1[[#This Row],[Fechas]])</f>
        <v>18</v>
      </c>
      <c r="E117" s="6" t="str">
        <f>TEXT(Base1[[#This Row],[Fechas]],"DDDD")</f>
        <v>jueves</v>
      </c>
      <c r="F117" s="6" t="str">
        <f>TEXT(Base1[[#This Row],[Fechas]],"MMMM")</f>
        <v>septiembre</v>
      </c>
      <c r="G117" s="6">
        <f ca="1">_xlfn.DAYS(TODAY(),Base1[[#This Row],[Fechas]])</f>
        <v>279</v>
      </c>
      <c r="H117" s="7">
        <f ca="1">BaseA[[#This Row],[Días Transcurridos]]/360</f>
        <v>0.77500000000000002</v>
      </c>
    </row>
    <row r="118" spans="1:8" x14ac:dyDescent="0.3">
      <c r="A118" s="6">
        <v>117</v>
      </c>
      <c r="B118" s="6">
        <f>YEAR(Base1[[#This Row],[Fechas]])</f>
        <v>2023</v>
      </c>
      <c r="C118" s="6">
        <f>MONTH(Base1[[#This Row],[Fechas]])</f>
        <v>12</v>
      </c>
      <c r="D118" s="6">
        <f>DAY(Base1[[#This Row],[Fechas]])</f>
        <v>18</v>
      </c>
      <c r="E118" s="6" t="str">
        <f>TEXT(Base1[[#This Row],[Fechas]],"DDDD")</f>
        <v>lunes</v>
      </c>
      <c r="F118" s="6" t="str">
        <f>TEXT(Base1[[#This Row],[Fechas]],"MMMM")</f>
        <v>diciembre</v>
      </c>
      <c r="G118" s="6">
        <f ca="1">_xlfn.DAYS(TODAY(),Base1[[#This Row],[Fechas]])</f>
        <v>919</v>
      </c>
      <c r="H118" s="7">
        <f ca="1">BaseA[[#This Row],[Días Transcurridos]]/360</f>
        <v>2.5527777777777776</v>
      </c>
    </row>
    <row r="119" spans="1:8" x14ac:dyDescent="0.3">
      <c r="A119" s="6">
        <v>118</v>
      </c>
      <c r="B119" s="6">
        <f>YEAR(Base1[[#This Row],[Fechas]])</f>
        <v>2023</v>
      </c>
      <c r="C119" s="6">
        <f>MONTH(Base1[[#This Row],[Fechas]])</f>
        <v>4</v>
      </c>
      <c r="D119" s="6">
        <f>DAY(Base1[[#This Row],[Fechas]])</f>
        <v>9</v>
      </c>
      <c r="E119" s="6" t="str">
        <f>TEXT(Base1[[#This Row],[Fechas]],"DDDD")</f>
        <v>domingo</v>
      </c>
      <c r="F119" s="6" t="str">
        <f>TEXT(Base1[[#This Row],[Fechas]],"MMMM")</f>
        <v>abril</v>
      </c>
      <c r="G119" s="6">
        <f ca="1">_xlfn.DAYS(TODAY(),Base1[[#This Row],[Fechas]])</f>
        <v>1172</v>
      </c>
      <c r="H119" s="7">
        <f ca="1">BaseA[[#This Row],[Días Transcurridos]]/360</f>
        <v>3.2555555555555555</v>
      </c>
    </row>
    <row r="120" spans="1:8" x14ac:dyDescent="0.3">
      <c r="A120" s="6">
        <v>119</v>
      </c>
      <c r="B120" s="6">
        <f>YEAR(Base1[[#This Row],[Fechas]])</f>
        <v>2024</v>
      </c>
      <c r="C120" s="6">
        <f>MONTH(Base1[[#This Row],[Fechas]])</f>
        <v>7</v>
      </c>
      <c r="D120" s="6">
        <f>DAY(Base1[[#This Row],[Fechas]])</f>
        <v>1</v>
      </c>
      <c r="E120" s="6" t="str">
        <f>TEXT(Base1[[#This Row],[Fechas]],"DDDD")</f>
        <v>lunes</v>
      </c>
      <c r="F120" s="6" t="str">
        <f>TEXT(Base1[[#This Row],[Fechas]],"MMMM")</f>
        <v>julio</v>
      </c>
      <c r="G120" s="6">
        <f ca="1">_xlfn.DAYS(TODAY(),Base1[[#This Row],[Fechas]])</f>
        <v>723</v>
      </c>
      <c r="H120" s="7">
        <f ca="1">BaseA[[#This Row],[Días Transcurridos]]/360</f>
        <v>2.0083333333333333</v>
      </c>
    </row>
    <row r="121" spans="1:8" x14ac:dyDescent="0.3">
      <c r="A121" s="6">
        <v>120</v>
      </c>
      <c r="B121" s="6">
        <f>YEAR(Base1[[#This Row],[Fechas]])</f>
        <v>2025</v>
      </c>
      <c r="C121" s="6">
        <f>MONTH(Base1[[#This Row],[Fechas]])</f>
        <v>3</v>
      </c>
      <c r="D121" s="6">
        <f>DAY(Base1[[#This Row],[Fechas]])</f>
        <v>9</v>
      </c>
      <c r="E121" s="6" t="str">
        <f>TEXT(Base1[[#This Row],[Fechas]],"DDDD")</f>
        <v>domingo</v>
      </c>
      <c r="F121" s="6" t="str">
        <f>TEXT(Base1[[#This Row],[Fechas]],"MMMM")</f>
        <v>marzo</v>
      </c>
      <c r="G121" s="6">
        <f ca="1">_xlfn.DAYS(TODAY(),Base1[[#This Row],[Fechas]])</f>
        <v>472</v>
      </c>
      <c r="H121" s="7">
        <f ca="1">BaseA[[#This Row],[Días Transcurridos]]/360</f>
        <v>1.3111111111111111</v>
      </c>
    </row>
    <row r="122" spans="1:8" x14ac:dyDescent="0.3">
      <c r="A122" s="6">
        <v>121</v>
      </c>
      <c r="B122" s="6">
        <f>YEAR(Base1[[#This Row],[Fechas]])</f>
        <v>2025</v>
      </c>
      <c r="C122" s="6">
        <f>MONTH(Base1[[#This Row],[Fechas]])</f>
        <v>4</v>
      </c>
      <c r="D122" s="6">
        <f>DAY(Base1[[#This Row],[Fechas]])</f>
        <v>20</v>
      </c>
      <c r="E122" s="6" t="str">
        <f>TEXT(Base1[[#This Row],[Fechas]],"DDDD")</f>
        <v>domingo</v>
      </c>
      <c r="F122" s="6" t="str">
        <f>TEXT(Base1[[#This Row],[Fechas]],"MMMM")</f>
        <v>abril</v>
      </c>
      <c r="G122" s="6">
        <f ca="1">_xlfn.DAYS(TODAY(),Base1[[#This Row],[Fechas]])</f>
        <v>430</v>
      </c>
      <c r="H122" s="7">
        <f ca="1">BaseA[[#This Row],[Días Transcurridos]]/360</f>
        <v>1.1944444444444444</v>
      </c>
    </row>
    <row r="123" spans="1:8" x14ac:dyDescent="0.3">
      <c r="A123" s="6">
        <v>122</v>
      </c>
      <c r="B123" s="6">
        <f>YEAR(Base1[[#This Row],[Fechas]])</f>
        <v>2023</v>
      </c>
      <c r="C123" s="6">
        <f>MONTH(Base1[[#This Row],[Fechas]])</f>
        <v>5</v>
      </c>
      <c r="D123" s="6">
        <f>DAY(Base1[[#This Row],[Fechas]])</f>
        <v>4</v>
      </c>
      <c r="E123" s="6" t="str">
        <f>TEXT(Base1[[#This Row],[Fechas]],"DDDD")</f>
        <v>jueves</v>
      </c>
      <c r="F123" s="6" t="str">
        <f>TEXT(Base1[[#This Row],[Fechas]],"MMMM")</f>
        <v>mayo</v>
      </c>
      <c r="G123" s="6">
        <f ca="1">_xlfn.DAYS(TODAY(),Base1[[#This Row],[Fechas]])</f>
        <v>1147</v>
      </c>
      <c r="H123" s="7">
        <f ca="1">BaseA[[#This Row],[Días Transcurridos]]/360</f>
        <v>3.1861111111111109</v>
      </c>
    </row>
    <row r="124" spans="1:8" x14ac:dyDescent="0.3">
      <c r="A124" s="6">
        <v>123</v>
      </c>
      <c r="B124" s="6">
        <f>YEAR(Base1[[#This Row],[Fechas]])</f>
        <v>2025</v>
      </c>
      <c r="C124" s="6">
        <f>MONTH(Base1[[#This Row],[Fechas]])</f>
        <v>5</v>
      </c>
      <c r="D124" s="6">
        <f>DAY(Base1[[#This Row],[Fechas]])</f>
        <v>3</v>
      </c>
      <c r="E124" s="6" t="str">
        <f>TEXT(Base1[[#This Row],[Fechas]],"DDDD")</f>
        <v>sábado</v>
      </c>
      <c r="F124" s="6" t="str">
        <f>TEXT(Base1[[#This Row],[Fechas]],"MMMM")</f>
        <v>mayo</v>
      </c>
      <c r="G124" s="6">
        <f ca="1">_xlfn.DAYS(TODAY(),Base1[[#This Row],[Fechas]])</f>
        <v>417</v>
      </c>
      <c r="H124" s="7">
        <f ca="1">BaseA[[#This Row],[Días Transcurridos]]/360</f>
        <v>1.1583333333333334</v>
      </c>
    </row>
    <row r="125" spans="1:8" x14ac:dyDescent="0.3">
      <c r="A125" s="6">
        <v>124</v>
      </c>
      <c r="B125" s="6">
        <f>YEAR(Base1[[#This Row],[Fechas]])</f>
        <v>2023</v>
      </c>
      <c r="C125" s="6">
        <f>MONTH(Base1[[#This Row],[Fechas]])</f>
        <v>12</v>
      </c>
      <c r="D125" s="6">
        <f>DAY(Base1[[#This Row],[Fechas]])</f>
        <v>30</v>
      </c>
      <c r="E125" s="6" t="str">
        <f>TEXT(Base1[[#This Row],[Fechas]],"DDDD")</f>
        <v>sábado</v>
      </c>
      <c r="F125" s="6" t="str">
        <f>TEXT(Base1[[#This Row],[Fechas]],"MMMM")</f>
        <v>diciembre</v>
      </c>
      <c r="G125" s="6">
        <f ca="1">_xlfn.DAYS(TODAY(),Base1[[#This Row],[Fechas]])</f>
        <v>907</v>
      </c>
      <c r="H125" s="7">
        <f ca="1">BaseA[[#This Row],[Días Transcurridos]]/360</f>
        <v>2.5194444444444444</v>
      </c>
    </row>
    <row r="126" spans="1:8" x14ac:dyDescent="0.3">
      <c r="A126" s="6">
        <v>125</v>
      </c>
      <c r="B126" s="6">
        <f>YEAR(Base1[[#This Row],[Fechas]])</f>
        <v>2024</v>
      </c>
      <c r="C126" s="6">
        <f>MONTH(Base1[[#This Row],[Fechas]])</f>
        <v>5</v>
      </c>
      <c r="D126" s="6">
        <f>DAY(Base1[[#This Row],[Fechas]])</f>
        <v>18</v>
      </c>
      <c r="E126" s="6" t="str">
        <f>TEXT(Base1[[#This Row],[Fechas]],"DDDD")</f>
        <v>sábado</v>
      </c>
      <c r="F126" s="6" t="str">
        <f>TEXT(Base1[[#This Row],[Fechas]],"MMMM")</f>
        <v>mayo</v>
      </c>
      <c r="G126" s="6">
        <f ca="1">_xlfn.DAYS(TODAY(),Base1[[#This Row],[Fechas]])</f>
        <v>767</v>
      </c>
      <c r="H126" s="7">
        <f ca="1">BaseA[[#This Row],[Días Transcurridos]]/360</f>
        <v>2.1305555555555555</v>
      </c>
    </row>
    <row r="127" spans="1:8" x14ac:dyDescent="0.3">
      <c r="A127" s="6">
        <v>126</v>
      </c>
      <c r="B127" s="6">
        <f>YEAR(Base1[[#This Row],[Fechas]])</f>
        <v>2025</v>
      </c>
      <c r="C127" s="6">
        <f>MONTH(Base1[[#This Row],[Fechas]])</f>
        <v>11</v>
      </c>
      <c r="D127" s="6">
        <f>DAY(Base1[[#This Row],[Fechas]])</f>
        <v>6</v>
      </c>
      <c r="E127" s="6" t="str">
        <f>TEXT(Base1[[#This Row],[Fechas]],"DDDD")</f>
        <v>jueves</v>
      </c>
      <c r="F127" s="6" t="str">
        <f>TEXT(Base1[[#This Row],[Fechas]],"MMMM")</f>
        <v>noviembre</v>
      </c>
      <c r="G127" s="6">
        <f ca="1">_xlfn.DAYS(TODAY(),Base1[[#This Row],[Fechas]])</f>
        <v>230</v>
      </c>
      <c r="H127" s="7">
        <f ca="1">BaseA[[#This Row],[Días Transcurridos]]/360</f>
        <v>0.63888888888888884</v>
      </c>
    </row>
    <row r="128" spans="1:8" x14ac:dyDescent="0.3">
      <c r="A128" s="6">
        <v>127</v>
      </c>
      <c r="B128" s="6">
        <f>YEAR(Base1[[#This Row],[Fechas]])</f>
        <v>2025</v>
      </c>
      <c r="C128" s="6">
        <f>MONTH(Base1[[#This Row],[Fechas]])</f>
        <v>3</v>
      </c>
      <c r="D128" s="6">
        <f>DAY(Base1[[#This Row],[Fechas]])</f>
        <v>2</v>
      </c>
      <c r="E128" s="6" t="str">
        <f>TEXT(Base1[[#This Row],[Fechas]],"DDDD")</f>
        <v>domingo</v>
      </c>
      <c r="F128" s="6" t="str">
        <f>TEXT(Base1[[#This Row],[Fechas]],"MMMM")</f>
        <v>marzo</v>
      </c>
      <c r="G128" s="6">
        <f ca="1">_xlfn.DAYS(TODAY(),Base1[[#This Row],[Fechas]])</f>
        <v>479</v>
      </c>
      <c r="H128" s="7">
        <f ca="1">BaseA[[#This Row],[Días Transcurridos]]/360</f>
        <v>1.3305555555555555</v>
      </c>
    </row>
    <row r="129" spans="1:8" x14ac:dyDescent="0.3">
      <c r="A129" s="6">
        <v>128</v>
      </c>
      <c r="B129" s="6">
        <f>YEAR(Base1[[#This Row],[Fechas]])</f>
        <v>2023</v>
      </c>
      <c r="C129" s="6">
        <f>MONTH(Base1[[#This Row],[Fechas]])</f>
        <v>7</v>
      </c>
      <c r="D129" s="6">
        <f>DAY(Base1[[#This Row],[Fechas]])</f>
        <v>17</v>
      </c>
      <c r="E129" s="6" t="str">
        <f>TEXT(Base1[[#This Row],[Fechas]],"DDDD")</f>
        <v>lunes</v>
      </c>
      <c r="F129" s="6" t="str">
        <f>TEXT(Base1[[#This Row],[Fechas]],"MMMM")</f>
        <v>julio</v>
      </c>
      <c r="G129" s="6">
        <f ca="1">_xlfn.DAYS(TODAY(),Base1[[#This Row],[Fechas]])</f>
        <v>1073</v>
      </c>
      <c r="H129" s="7">
        <f ca="1">BaseA[[#This Row],[Días Transcurridos]]/360</f>
        <v>2.9805555555555556</v>
      </c>
    </row>
    <row r="130" spans="1:8" x14ac:dyDescent="0.3">
      <c r="A130" s="6">
        <v>129</v>
      </c>
      <c r="B130" s="6">
        <f>YEAR(Base1[[#This Row],[Fechas]])</f>
        <v>2023</v>
      </c>
      <c r="C130" s="6">
        <f>MONTH(Base1[[#This Row],[Fechas]])</f>
        <v>6</v>
      </c>
      <c r="D130" s="6">
        <f>DAY(Base1[[#This Row],[Fechas]])</f>
        <v>13</v>
      </c>
      <c r="E130" s="6" t="str">
        <f>TEXT(Base1[[#This Row],[Fechas]],"DDDD")</f>
        <v>martes</v>
      </c>
      <c r="F130" s="6" t="str">
        <f>TEXT(Base1[[#This Row],[Fechas]],"MMMM")</f>
        <v>junio</v>
      </c>
      <c r="G130" s="6">
        <f ca="1">_xlfn.DAYS(TODAY(),Base1[[#This Row],[Fechas]])</f>
        <v>1107</v>
      </c>
      <c r="H130" s="7">
        <f ca="1">BaseA[[#This Row],[Días Transcurridos]]/360</f>
        <v>3.0750000000000002</v>
      </c>
    </row>
    <row r="131" spans="1:8" x14ac:dyDescent="0.3">
      <c r="A131" s="6">
        <v>130</v>
      </c>
      <c r="B131" s="6">
        <f>YEAR(Base1[[#This Row],[Fechas]])</f>
        <v>2025</v>
      </c>
      <c r="C131" s="6">
        <f>MONTH(Base1[[#This Row],[Fechas]])</f>
        <v>11</v>
      </c>
      <c r="D131" s="6">
        <f>DAY(Base1[[#This Row],[Fechas]])</f>
        <v>25</v>
      </c>
      <c r="E131" s="6" t="str">
        <f>TEXT(Base1[[#This Row],[Fechas]],"DDDD")</f>
        <v>martes</v>
      </c>
      <c r="F131" s="6" t="str">
        <f>TEXT(Base1[[#This Row],[Fechas]],"MMMM")</f>
        <v>noviembre</v>
      </c>
      <c r="G131" s="6">
        <f ca="1">_xlfn.DAYS(TODAY(),Base1[[#This Row],[Fechas]])</f>
        <v>211</v>
      </c>
      <c r="H131" s="7">
        <f ca="1">BaseA[[#This Row],[Días Transcurridos]]/360</f>
        <v>0.58611111111111114</v>
      </c>
    </row>
    <row r="132" spans="1:8" x14ac:dyDescent="0.3">
      <c r="A132" s="6">
        <v>131</v>
      </c>
      <c r="B132" s="6">
        <f>YEAR(Base1[[#This Row],[Fechas]])</f>
        <v>2023</v>
      </c>
      <c r="C132" s="6">
        <f>MONTH(Base1[[#This Row],[Fechas]])</f>
        <v>9</v>
      </c>
      <c r="D132" s="6">
        <f>DAY(Base1[[#This Row],[Fechas]])</f>
        <v>7</v>
      </c>
      <c r="E132" s="6" t="str">
        <f>TEXT(Base1[[#This Row],[Fechas]],"DDDD")</f>
        <v>jueves</v>
      </c>
      <c r="F132" s="6" t="str">
        <f>TEXT(Base1[[#This Row],[Fechas]],"MMMM")</f>
        <v>septiembre</v>
      </c>
      <c r="G132" s="6">
        <f ca="1">_xlfn.DAYS(TODAY(),Base1[[#This Row],[Fechas]])</f>
        <v>1021</v>
      </c>
      <c r="H132" s="7">
        <f ca="1">BaseA[[#This Row],[Días Transcurridos]]/360</f>
        <v>2.8361111111111112</v>
      </c>
    </row>
    <row r="133" spans="1:8" x14ac:dyDescent="0.3">
      <c r="A133" s="6">
        <v>132</v>
      </c>
      <c r="B133" s="6">
        <f>YEAR(Base1[[#This Row],[Fechas]])</f>
        <v>2023</v>
      </c>
      <c r="C133" s="6">
        <f>MONTH(Base1[[#This Row],[Fechas]])</f>
        <v>11</v>
      </c>
      <c r="D133" s="6">
        <f>DAY(Base1[[#This Row],[Fechas]])</f>
        <v>27</v>
      </c>
      <c r="E133" s="6" t="str">
        <f>TEXT(Base1[[#This Row],[Fechas]],"DDDD")</f>
        <v>lunes</v>
      </c>
      <c r="F133" s="6" t="str">
        <f>TEXT(Base1[[#This Row],[Fechas]],"MMMM")</f>
        <v>noviembre</v>
      </c>
      <c r="G133" s="6">
        <f ca="1">_xlfn.DAYS(TODAY(),Base1[[#This Row],[Fechas]])</f>
        <v>940</v>
      </c>
      <c r="H133" s="7">
        <f ca="1">BaseA[[#This Row],[Días Transcurridos]]/360</f>
        <v>2.6111111111111112</v>
      </c>
    </row>
    <row r="134" spans="1:8" x14ac:dyDescent="0.3">
      <c r="A134" s="6">
        <v>133</v>
      </c>
      <c r="B134" s="6">
        <f>YEAR(Base1[[#This Row],[Fechas]])</f>
        <v>2025</v>
      </c>
      <c r="C134" s="6">
        <f>MONTH(Base1[[#This Row],[Fechas]])</f>
        <v>11</v>
      </c>
      <c r="D134" s="6">
        <f>DAY(Base1[[#This Row],[Fechas]])</f>
        <v>21</v>
      </c>
      <c r="E134" s="6" t="str">
        <f>TEXT(Base1[[#This Row],[Fechas]],"DDDD")</f>
        <v>viernes</v>
      </c>
      <c r="F134" s="6" t="str">
        <f>TEXT(Base1[[#This Row],[Fechas]],"MMMM")</f>
        <v>noviembre</v>
      </c>
      <c r="G134" s="6">
        <f ca="1">_xlfn.DAYS(TODAY(),Base1[[#This Row],[Fechas]])</f>
        <v>215</v>
      </c>
      <c r="H134" s="7">
        <f ca="1">BaseA[[#This Row],[Días Transcurridos]]/360</f>
        <v>0.59722222222222221</v>
      </c>
    </row>
    <row r="135" spans="1:8" x14ac:dyDescent="0.3">
      <c r="A135" s="6">
        <v>134</v>
      </c>
      <c r="B135" s="6">
        <f>YEAR(Base1[[#This Row],[Fechas]])</f>
        <v>2023</v>
      </c>
      <c r="C135" s="6">
        <f>MONTH(Base1[[#This Row],[Fechas]])</f>
        <v>12</v>
      </c>
      <c r="D135" s="6">
        <f>DAY(Base1[[#This Row],[Fechas]])</f>
        <v>30</v>
      </c>
      <c r="E135" s="6" t="str">
        <f>TEXT(Base1[[#This Row],[Fechas]],"DDDD")</f>
        <v>sábado</v>
      </c>
      <c r="F135" s="6" t="str">
        <f>TEXT(Base1[[#This Row],[Fechas]],"MMMM")</f>
        <v>diciembre</v>
      </c>
      <c r="G135" s="6">
        <f ca="1">_xlfn.DAYS(TODAY(),Base1[[#This Row],[Fechas]])</f>
        <v>907</v>
      </c>
      <c r="H135" s="7">
        <f ca="1">BaseA[[#This Row],[Días Transcurridos]]/360</f>
        <v>2.5194444444444444</v>
      </c>
    </row>
    <row r="136" spans="1:8" x14ac:dyDescent="0.3">
      <c r="A136" s="6">
        <v>135</v>
      </c>
      <c r="B136" s="6">
        <f>YEAR(Base1[[#This Row],[Fechas]])</f>
        <v>2025</v>
      </c>
      <c r="C136" s="6">
        <f>MONTH(Base1[[#This Row],[Fechas]])</f>
        <v>5</v>
      </c>
      <c r="D136" s="6">
        <f>DAY(Base1[[#This Row],[Fechas]])</f>
        <v>25</v>
      </c>
      <c r="E136" s="6" t="str">
        <f>TEXT(Base1[[#This Row],[Fechas]],"DDDD")</f>
        <v>domingo</v>
      </c>
      <c r="F136" s="6" t="str">
        <f>TEXT(Base1[[#This Row],[Fechas]],"MMMM")</f>
        <v>mayo</v>
      </c>
      <c r="G136" s="6">
        <f ca="1">_xlfn.DAYS(TODAY(),Base1[[#This Row],[Fechas]])</f>
        <v>395</v>
      </c>
      <c r="H136" s="7">
        <f ca="1">BaseA[[#This Row],[Días Transcurridos]]/360</f>
        <v>1.0972222222222223</v>
      </c>
    </row>
    <row r="137" spans="1:8" x14ac:dyDescent="0.3">
      <c r="A137" s="6">
        <v>136</v>
      </c>
      <c r="B137" s="6">
        <f>YEAR(Base1[[#This Row],[Fechas]])</f>
        <v>2024</v>
      </c>
      <c r="C137" s="6">
        <f>MONTH(Base1[[#This Row],[Fechas]])</f>
        <v>3</v>
      </c>
      <c r="D137" s="6">
        <f>DAY(Base1[[#This Row],[Fechas]])</f>
        <v>25</v>
      </c>
      <c r="E137" s="6" t="str">
        <f>TEXT(Base1[[#This Row],[Fechas]],"DDDD")</f>
        <v>lunes</v>
      </c>
      <c r="F137" s="6" t="str">
        <f>TEXT(Base1[[#This Row],[Fechas]],"MMMM")</f>
        <v>marzo</v>
      </c>
      <c r="G137" s="6">
        <f ca="1">_xlfn.DAYS(TODAY(),Base1[[#This Row],[Fechas]])</f>
        <v>821</v>
      </c>
      <c r="H137" s="7">
        <f ca="1">BaseA[[#This Row],[Días Transcurridos]]/360</f>
        <v>2.2805555555555554</v>
      </c>
    </row>
    <row r="138" spans="1:8" x14ac:dyDescent="0.3">
      <c r="A138" s="6">
        <v>137</v>
      </c>
      <c r="B138" s="6">
        <f>YEAR(Base1[[#This Row],[Fechas]])</f>
        <v>2023</v>
      </c>
      <c r="C138" s="6">
        <f>MONTH(Base1[[#This Row],[Fechas]])</f>
        <v>1</v>
      </c>
      <c r="D138" s="6">
        <f>DAY(Base1[[#This Row],[Fechas]])</f>
        <v>27</v>
      </c>
      <c r="E138" s="6" t="str">
        <f>TEXT(Base1[[#This Row],[Fechas]],"DDDD")</f>
        <v>viernes</v>
      </c>
      <c r="F138" s="6" t="str">
        <f>TEXT(Base1[[#This Row],[Fechas]],"MMMM")</f>
        <v>enero</v>
      </c>
      <c r="G138" s="6">
        <f ca="1">_xlfn.DAYS(TODAY(),Base1[[#This Row],[Fechas]])</f>
        <v>1244</v>
      </c>
      <c r="H138" s="7">
        <f ca="1">BaseA[[#This Row],[Días Transcurridos]]/360</f>
        <v>3.4555555555555557</v>
      </c>
    </row>
    <row r="139" spans="1:8" x14ac:dyDescent="0.3">
      <c r="A139" s="6">
        <v>138</v>
      </c>
      <c r="B139" s="6">
        <f>YEAR(Base1[[#This Row],[Fechas]])</f>
        <v>2024</v>
      </c>
      <c r="C139" s="6">
        <f>MONTH(Base1[[#This Row],[Fechas]])</f>
        <v>11</v>
      </c>
      <c r="D139" s="6">
        <f>DAY(Base1[[#This Row],[Fechas]])</f>
        <v>28</v>
      </c>
      <c r="E139" s="6" t="str">
        <f>TEXT(Base1[[#This Row],[Fechas]],"DDDD")</f>
        <v>jueves</v>
      </c>
      <c r="F139" s="6" t="str">
        <f>TEXT(Base1[[#This Row],[Fechas]],"MMMM")</f>
        <v>noviembre</v>
      </c>
      <c r="G139" s="6">
        <f ca="1">_xlfn.DAYS(TODAY(),Base1[[#This Row],[Fechas]])</f>
        <v>573</v>
      </c>
      <c r="H139" s="7">
        <f ca="1">BaseA[[#This Row],[Días Transcurridos]]/360</f>
        <v>1.5916666666666666</v>
      </c>
    </row>
    <row r="140" spans="1:8" x14ac:dyDescent="0.3">
      <c r="A140" s="6">
        <v>139</v>
      </c>
      <c r="B140" s="6">
        <f>YEAR(Base1[[#This Row],[Fechas]])</f>
        <v>2025</v>
      </c>
      <c r="C140" s="6">
        <f>MONTH(Base1[[#This Row],[Fechas]])</f>
        <v>2</v>
      </c>
      <c r="D140" s="6">
        <f>DAY(Base1[[#This Row],[Fechas]])</f>
        <v>28</v>
      </c>
      <c r="E140" s="6" t="str">
        <f>TEXT(Base1[[#This Row],[Fechas]],"DDDD")</f>
        <v>viernes</v>
      </c>
      <c r="F140" s="6" t="str">
        <f>TEXT(Base1[[#This Row],[Fechas]],"MMMM")</f>
        <v>febrero</v>
      </c>
      <c r="G140" s="6">
        <f ca="1">_xlfn.DAYS(TODAY(),Base1[[#This Row],[Fechas]])</f>
        <v>481</v>
      </c>
      <c r="H140" s="7">
        <f ca="1">BaseA[[#This Row],[Días Transcurridos]]/360</f>
        <v>1.336111111111111</v>
      </c>
    </row>
    <row r="141" spans="1:8" x14ac:dyDescent="0.3">
      <c r="A141" s="6">
        <v>140</v>
      </c>
      <c r="B141" s="6">
        <f>YEAR(Base1[[#This Row],[Fechas]])</f>
        <v>2023</v>
      </c>
      <c r="C141" s="6">
        <f>MONTH(Base1[[#This Row],[Fechas]])</f>
        <v>4</v>
      </c>
      <c r="D141" s="6">
        <f>DAY(Base1[[#This Row],[Fechas]])</f>
        <v>8</v>
      </c>
      <c r="E141" s="6" t="str">
        <f>TEXT(Base1[[#This Row],[Fechas]],"DDDD")</f>
        <v>sábado</v>
      </c>
      <c r="F141" s="6" t="str">
        <f>TEXT(Base1[[#This Row],[Fechas]],"MMMM")</f>
        <v>abril</v>
      </c>
      <c r="G141" s="6">
        <f ca="1">_xlfn.DAYS(TODAY(),Base1[[#This Row],[Fechas]])</f>
        <v>1173</v>
      </c>
      <c r="H141" s="7">
        <f ca="1">BaseA[[#This Row],[Días Transcurridos]]/360</f>
        <v>3.2583333333333333</v>
      </c>
    </row>
    <row r="142" spans="1:8" x14ac:dyDescent="0.3">
      <c r="A142" s="6">
        <v>141</v>
      </c>
      <c r="B142" s="6">
        <f>YEAR(Base1[[#This Row],[Fechas]])</f>
        <v>2025</v>
      </c>
      <c r="C142" s="6">
        <f>MONTH(Base1[[#This Row],[Fechas]])</f>
        <v>1</v>
      </c>
      <c r="D142" s="6">
        <f>DAY(Base1[[#This Row],[Fechas]])</f>
        <v>17</v>
      </c>
      <c r="E142" s="6" t="str">
        <f>TEXT(Base1[[#This Row],[Fechas]],"DDDD")</f>
        <v>viernes</v>
      </c>
      <c r="F142" s="6" t="str">
        <f>TEXT(Base1[[#This Row],[Fechas]],"MMMM")</f>
        <v>enero</v>
      </c>
      <c r="G142" s="6">
        <f ca="1">_xlfn.DAYS(TODAY(),Base1[[#This Row],[Fechas]])</f>
        <v>523</v>
      </c>
      <c r="H142" s="7">
        <f ca="1">BaseA[[#This Row],[Días Transcurridos]]/360</f>
        <v>1.4527777777777777</v>
      </c>
    </row>
    <row r="143" spans="1:8" x14ac:dyDescent="0.3">
      <c r="A143" s="6">
        <v>142</v>
      </c>
      <c r="B143" s="6">
        <f>YEAR(Base1[[#This Row],[Fechas]])</f>
        <v>2025</v>
      </c>
      <c r="C143" s="6">
        <f>MONTH(Base1[[#This Row],[Fechas]])</f>
        <v>2</v>
      </c>
      <c r="D143" s="6">
        <f>DAY(Base1[[#This Row],[Fechas]])</f>
        <v>4</v>
      </c>
      <c r="E143" s="6" t="str">
        <f>TEXT(Base1[[#This Row],[Fechas]],"DDDD")</f>
        <v>martes</v>
      </c>
      <c r="F143" s="6" t="str">
        <f>TEXT(Base1[[#This Row],[Fechas]],"MMMM")</f>
        <v>febrero</v>
      </c>
      <c r="G143" s="6">
        <f ca="1">_xlfn.DAYS(TODAY(),Base1[[#This Row],[Fechas]])</f>
        <v>505</v>
      </c>
      <c r="H143" s="7">
        <f ca="1">BaseA[[#This Row],[Días Transcurridos]]/360</f>
        <v>1.4027777777777777</v>
      </c>
    </row>
    <row r="144" spans="1:8" x14ac:dyDescent="0.3">
      <c r="A144" s="6">
        <v>143</v>
      </c>
      <c r="B144" s="6">
        <f>YEAR(Base1[[#This Row],[Fechas]])</f>
        <v>2023</v>
      </c>
      <c r="C144" s="6">
        <f>MONTH(Base1[[#This Row],[Fechas]])</f>
        <v>6</v>
      </c>
      <c r="D144" s="6">
        <f>DAY(Base1[[#This Row],[Fechas]])</f>
        <v>17</v>
      </c>
      <c r="E144" s="6" t="str">
        <f>TEXT(Base1[[#This Row],[Fechas]],"DDDD")</f>
        <v>sábado</v>
      </c>
      <c r="F144" s="6" t="str">
        <f>TEXT(Base1[[#This Row],[Fechas]],"MMMM")</f>
        <v>junio</v>
      </c>
      <c r="G144" s="6">
        <f ca="1">_xlfn.DAYS(TODAY(),Base1[[#This Row],[Fechas]])</f>
        <v>1103</v>
      </c>
      <c r="H144" s="7">
        <f ca="1">BaseA[[#This Row],[Días Transcurridos]]/360</f>
        <v>3.0638888888888891</v>
      </c>
    </row>
    <row r="145" spans="1:8" x14ac:dyDescent="0.3">
      <c r="A145" s="6">
        <v>144</v>
      </c>
      <c r="B145" s="6">
        <f>YEAR(Base1[[#This Row],[Fechas]])</f>
        <v>2024</v>
      </c>
      <c r="C145" s="6">
        <f>MONTH(Base1[[#This Row],[Fechas]])</f>
        <v>4</v>
      </c>
      <c r="D145" s="6">
        <f>DAY(Base1[[#This Row],[Fechas]])</f>
        <v>14</v>
      </c>
      <c r="E145" s="6" t="str">
        <f>TEXT(Base1[[#This Row],[Fechas]],"DDDD")</f>
        <v>domingo</v>
      </c>
      <c r="F145" s="6" t="str">
        <f>TEXT(Base1[[#This Row],[Fechas]],"MMMM")</f>
        <v>abril</v>
      </c>
      <c r="G145" s="6">
        <f ca="1">_xlfn.DAYS(TODAY(),Base1[[#This Row],[Fechas]])</f>
        <v>801</v>
      </c>
      <c r="H145" s="7">
        <f ca="1">BaseA[[#This Row],[Días Transcurridos]]/360</f>
        <v>2.2250000000000001</v>
      </c>
    </row>
    <row r="146" spans="1:8" x14ac:dyDescent="0.3">
      <c r="A146" s="6">
        <v>145</v>
      </c>
      <c r="B146" s="6">
        <f>YEAR(Base1[[#This Row],[Fechas]])</f>
        <v>2025</v>
      </c>
      <c r="C146" s="6">
        <f>MONTH(Base1[[#This Row],[Fechas]])</f>
        <v>7</v>
      </c>
      <c r="D146" s="6">
        <f>DAY(Base1[[#This Row],[Fechas]])</f>
        <v>4</v>
      </c>
      <c r="E146" s="6" t="str">
        <f>TEXT(Base1[[#This Row],[Fechas]],"DDDD")</f>
        <v>viernes</v>
      </c>
      <c r="F146" s="6" t="str">
        <f>TEXT(Base1[[#This Row],[Fechas]],"MMMM")</f>
        <v>julio</v>
      </c>
      <c r="G146" s="6">
        <f ca="1">_xlfn.DAYS(TODAY(),Base1[[#This Row],[Fechas]])</f>
        <v>355</v>
      </c>
      <c r="H146" s="7">
        <f ca="1">BaseA[[#This Row],[Días Transcurridos]]/360</f>
        <v>0.98611111111111116</v>
      </c>
    </row>
    <row r="147" spans="1:8" x14ac:dyDescent="0.3">
      <c r="A147" s="6">
        <v>146</v>
      </c>
      <c r="B147" s="6">
        <f>YEAR(Base1[[#This Row],[Fechas]])</f>
        <v>2024</v>
      </c>
      <c r="C147" s="6">
        <f>MONTH(Base1[[#This Row],[Fechas]])</f>
        <v>7</v>
      </c>
      <c r="D147" s="6">
        <f>DAY(Base1[[#This Row],[Fechas]])</f>
        <v>21</v>
      </c>
      <c r="E147" s="6" t="str">
        <f>TEXT(Base1[[#This Row],[Fechas]],"DDDD")</f>
        <v>domingo</v>
      </c>
      <c r="F147" s="6" t="str">
        <f>TEXT(Base1[[#This Row],[Fechas]],"MMMM")</f>
        <v>julio</v>
      </c>
      <c r="G147" s="6">
        <f ca="1">_xlfn.DAYS(TODAY(),Base1[[#This Row],[Fechas]])</f>
        <v>703</v>
      </c>
      <c r="H147" s="7">
        <f ca="1">BaseA[[#This Row],[Días Transcurridos]]/360</f>
        <v>1.9527777777777777</v>
      </c>
    </row>
    <row r="148" spans="1:8" x14ac:dyDescent="0.3">
      <c r="A148" s="6">
        <v>147</v>
      </c>
      <c r="B148" s="6">
        <f>YEAR(Base1[[#This Row],[Fechas]])</f>
        <v>2024</v>
      </c>
      <c r="C148" s="6">
        <f>MONTH(Base1[[#This Row],[Fechas]])</f>
        <v>11</v>
      </c>
      <c r="D148" s="6">
        <f>DAY(Base1[[#This Row],[Fechas]])</f>
        <v>16</v>
      </c>
      <c r="E148" s="6" t="str">
        <f>TEXT(Base1[[#This Row],[Fechas]],"DDDD")</f>
        <v>sábado</v>
      </c>
      <c r="F148" s="6" t="str">
        <f>TEXT(Base1[[#This Row],[Fechas]],"MMMM")</f>
        <v>noviembre</v>
      </c>
      <c r="G148" s="6">
        <f ca="1">_xlfn.DAYS(TODAY(),Base1[[#This Row],[Fechas]])</f>
        <v>585</v>
      </c>
      <c r="H148" s="7">
        <f ca="1">BaseA[[#This Row],[Días Transcurridos]]/360</f>
        <v>1.625</v>
      </c>
    </row>
    <row r="149" spans="1:8" x14ac:dyDescent="0.3">
      <c r="A149" s="6">
        <v>148</v>
      </c>
      <c r="B149" s="6">
        <f>YEAR(Base1[[#This Row],[Fechas]])</f>
        <v>2025</v>
      </c>
      <c r="C149" s="6">
        <f>MONTH(Base1[[#This Row],[Fechas]])</f>
        <v>3</v>
      </c>
      <c r="D149" s="6">
        <f>DAY(Base1[[#This Row],[Fechas]])</f>
        <v>19</v>
      </c>
      <c r="E149" s="6" t="str">
        <f>TEXT(Base1[[#This Row],[Fechas]],"DDDD")</f>
        <v>miércoles</v>
      </c>
      <c r="F149" s="6" t="str">
        <f>TEXT(Base1[[#This Row],[Fechas]],"MMMM")</f>
        <v>marzo</v>
      </c>
      <c r="G149" s="6">
        <f ca="1">_xlfn.DAYS(TODAY(),Base1[[#This Row],[Fechas]])</f>
        <v>462</v>
      </c>
      <c r="H149" s="7">
        <f ca="1">BaseA[[#This Row],[Días Transcurridos]]/360</f>
        <v>1.2833333333333334</v>
      </c>
    </row>
    <row r="150" spans="1:8" x14ac:dyDescent="0.3">
      <c r="A150" s="6">
        <v>149</v>
      </c>
      <c r="B150" s="6">
        <f>YEAR(Base1[[#This Row],[Fechas]])</f>
        <v>2023</v>
      </c>
      <c r="C150" s="6">
        <f>MONTH(Base1[[#This Row],[Fechas]])</f>
        <v>12</v>
      </c>
      <c r="D150" s="6">
        <f>DAY(Base1[[#This Row],[Fechas]])</f>
        <v>27</v>
      </c>
      <c r="E150" s="6" t="str">
        <f>TEXT(Base1[[#This Row],[Fechas]],"DDDD")</f>
        <v>miércoles</v>
      </c>
      <c r="F150" s="6" t="str">
        <f>TEXT(Base1[[#This Row],[Fechas]],"MMMM")</f>
        <v>diciembre</v>
      </c>
      <c r="G150" s="6">
        <f ca="1">_xlfn.DAYS(TODAY(),Base1[[#This Row],[Fechas]])</f>
        <v>910</v>
      </c>
      <c r="H150" s="7">
        <f ca="1">BaseA[[#This Row],[Días Transcurridos]]/360</f>
        <v>2.5277777777777777</v>
      </c>
    </row>
    <row r="151" spans="1:8" x14ac:dyDescent="0.3">
      <c r="A151" s="6">
        <v>150</v>
      </c>
      <c r="B151" s="6">
        <f>YEAR(Base1[[#This Row],[Fechas]])</f>
        <v>2025</v>
      </c>
      <c r="C151" s="6">
        <f>MONTH(Base1[[#This Row],[Fechas]])</f>
        <v>7</v>
      </c>
      <c r="D151" s="6">
        <f>DAY(Base1[[#This Row],[Fechas]])</f>
        <v>29</v>
      </c>
      <c r="E151" s="6" t="str">
        <f>TEXT(Base1[[#This Row],[Fechas]],"DDDD")</f>
        <v>martes</v>
      </c>
      <c r="F151" s="6" t="str">
        <f>TEXT(Base1[[#This Row],[Fechas]],"MMMM")</f>
        <v>julio</v>
      </c>
      <c r="G151" s="6">
        <f ca="1">_xlfn.DAYS(TODAY(),Base1[[#This Row],[Fechas]])</f>
        <v>330</v>
      </c>
      <c r="H151" s="7">
        <f ca="1">BaseA[[#This Row],[Días Transcurridos]]/360</f>
        <v>0.91666666666666663</v>
      </c>
    </row>
    <row r="152" spans="1:8" x14ac:dyDescent="0.3">
      <c r="A152" s="6">
        <v>151</v>
      </c>
      <c r="B152" s="6">
        <f>YEAR(Base1[[#This Row],[Fechas]])</f>
        <v>2023</v>
      </c>
      <c r="C152" s="6">
        <f>MONTH(Base1[[#This Row],[Fechas]])</f>
        <v>8</v>
      </c>
      <c r="D152" s="6">
        <f>DAY(Base1[[#This Row],[Fechas]])</f>
        <v>6</v>
      </c>
      <c r="E152" s="6" t="str">
        <f>TEXT(Base1[[#This Row],[Fechas]],"DDDD")</f>
        <v>domingo</v>
      </c>
      <c r="F152" s="6" t="str">
        <f>TEXT(Base1[[#This Row],[Fechas]],"MMMM")</f>
        <v>agosto</v>
      </c>
      <c r="G152" s="6">
        <f ca="1">_xlfn.DAYS(TODAY(),Base1[[#This Row],[Fechas]])</f>
        <v>1053</v>
      </c>
      <c r="H152" s="7">
        <f ca="1">BaseA[[#This Row],[Días Transcurridos]]/360</f>
        <v>2.9249999999999998</v>
      </c>
    </row>
    <row r="153" spans="1:8" x14ac:dyDescent="0.3">
      <c r="A153" s="6">
        <v>152</v>
      </c>
      <c r="B153" s="6">
        <f>YEAR(Base1[[#This Row],[Fechas]])</f>
        <v>2023</v>
      </c>
      <c r="C153" s="6">
        <f>MONTH(Base1[[#This Row],[Fechas]])</f>
        <v>8</v>
      </c>
      <c r="D153" s="6">
        <f>DAY(Base1[[#This Row],[Fechas]])</f>
        <v>7</v>
      </c>
      <c r="E153" s="6" t="str">
        <f>TEXT(Base1[[#This Row],[Fechas]],"DDDD")</f>
        <v>lunes</v>
      </c>
      <c r="F153" s="6" t="str">
        <f>TEXT(Base1[[#This Row],[Fechas]],"MMMM")</f>
        <v>agosto</v>
      </c>
      <c r="G153" s="6">
        <f ca="1">_xlfn.DAYS(TODAY(),Base1[[#This Row],[Fechas]])</f>
        <v>1052</v>
      </c>
      <c r="H153" s="7">
        <f ca="1">BaseA[[#This Row],[Días Transcurridos]]/360</f>
        <v>2.9222222222222221</v>
      </c>
    </row>
    <row r="154" spans="1:8" x14ac:dyDescent="0.3">
      <c r="A154" s="6">
        <v>153</v>
      </c>
      <c r="B154" s="6">
        <f>YEAR(Base1[[#This Row],[Fechas]])</f>
        <v>2024</v>
      </c>
      <c r="C154" s="6">
        <f>MONTH(Base1[[#This Row],[Fechas]])</f>
        <v>2</v>
      </c>
      <c r="D154" s="6">
        <f>DAY(Base1[[#This Row],[Fechas]])</f>
        <v>24</v>
      </c>
      <c r="E154" s="6" t="str">
        <f>TEXT(Base1[[#This Row],[Fechas]],"DDDD")</f>
        <v>sábado</v>
      </c>
      <c r="F154" s="6" t="str">
        <f>TEXT(Base1[[#This Row],[Fechas]],"MMMM")</f>
        <v>febrero</v>
      </c>
      <c r="G154" s="6">
        <f ca="1">_xlfn.DAYS(TODAY(),Base1[[#This Row],[Fechas]])</f>
        <v>851</v>
      </c>
      <c r="H154" s="7">
        <f ca="1">BaseA[[#This Row],[Días Transcurridos]]/360</f>
        <v>2.3638888888888889</v>
      </c>
    </row>
    <row r="155" spans="1:8" x14ac:dyDescent="0.3">
      <c r="A155" s="6">
        <v>154</v>
      </c>
      <c r="B155" s="6">
        <f>YEAR(Base1[[#This Row],[Fechas]])</f>
        <v>2024</v>
      </c>
      <c r="C155" s="6">
        <f>MONTH(Base1[[#This Row],[Fechas]])</f>
        <v>3</v>
      </c>
      <c r="D155" s="6">
        <f>DAY(Base1[[#This Row],[Fechas]])</f>
        <v>21</v>
      </c>
      <c r="E155" s="6" t="str">
        <f>TEXT(Base1[[#This Row],[Fechas]],"DDDD")</f>
        <v>jueves</v>
      </c>
      <c r="F155" s="6" t="str">
        <f>TEXT(Base1[[#This Row],[Fechas]],"MMMM")</f>
        <v>marzo</v>
      </c>
      <c r="G155" s="6">
        <f ca="1">_xlfn.DAYS(TODAY(),Base1[[#This Row],[Fechas]])</f>
        <v>825</v>
      </c>
      <c r="H155" s="7">
        <f ca="1">BaseA[[#This Row],[Días Transcurridos]]/360</f>
        <v>2.2916666666666665</v>
      </c>
    </row>
    <row r="156" spans="1:8" x14ac:dyDescent="0.3">
      <c r="A156" s="6">
        <v>155</v>
      </c>
      <c r="B156" s="6">
        <f>YEAR(Base1[[#This Row],[Fechas]])</f>
        <v>2023</v>
      </c>
      <c r="C156" s="6">
        <f>MONTH(Base1[[#This Row],[Fechas]])</f>
        <v>4</v>
      </c>
      <c r="D156" s="6">
        <f>DAY(Base1[[#This Row],[Fechas]])</f>
        <v>20</v>
      </c>
      <c r="E156" s="6" t="str">
        <f>TEXT(Base1[[#This Row],[Fechas]],"DDDD")</f>
        <v>jueves</v>
      </c>
      <c r="F156" s="6" t="str">
        <f>TEXT(Base1[[#This Row],[Fechas]],"MMMM")</f>
        <v>abril</v>
      </c>
      <c r="G156" s="6">
        <f ca="1">_xlfn.DAYS(TODAY(),Base1[[#This Row],[Fechas]])</f>
        <v>1161</v>
      </c>
      <c r="H156" s="7">
        <f ca="1">BaseA[[#This Row],[Días Transcurridos]]/360</f>
        <v>3.2250000000000001</v>
      </c>
    </row>
    <row r="157" spans="1:8" x14ac:dyDescent="0.3">
      <c r="A157" s="6">
        <v>156</v>
      </c>
      <c r="B157" s="6">
        <f>YEAR(Base1[[#This Row],[Fechas]])</f>
        <v>2025</v>
      </c>
      <c r="C157" s="6">
        <f>MONTH(Base1[[#This Row],[Fechas]])</f>
        <v>10</v>
      </c>
      <c r="D157" s="6">
        <f>DAY(Base1[[#This Row],[Fechas]])</f>
        <v>2</v>
      </c>
      <c r="E157" s="6" t="str">
        <f>TEXT(Base1[[#This Row],[Fechas]],"DDDD")</f>
        <v>jueves</v>
      </c>
      <c r="F157" s="6" t="str">
        <f>TEXT(Base1[[#This Row],[Fechas]],"MMMM")</f>
        <v>octubre</v>
      </c>
      <c r="G157" s="6">
        <f ca="1">_xlfn.DAYS(TODAY(),Base1[[#This Row],[Fechas]])</f>
        <v>265</v>
      </c>
      <c r="H157" s="7">
        <f ca="1">BaseA[[#This Row],[Días Transcurridos]]/360</f>
        <v>0.73611111111111116</v>
      </c>
    </row>
    <row r="158" spans="1:8" x14ac:dyDescent="0.3">
      <c r="A158" s="6">
        <v>157</v>
      </c>
      <c r="B158" s="6">
        <f>YEAR(Base1[[#This Row],[Fechas]])</f>
        <v>2024</v>
      </c>
      <c r="C158" s="6">
        <f>MONTH(Base1[[#This Row],[Fechas]])</f>
        <v>1</v>
      </c>
      <c r="D158" s="6">
        <f>DAY(Base1[[#This Row],[Fechas]])</f>
        <v>11</v>
      </c>
      <c r="E158" s="6" t="str">
        <f>TEXT(Base1[[#This Row],[Fechas]],"DDDD")</f>
        <v>jueves</v>
      </c>
      <c r="F158" s="6" t="str">
        <f>TEXT(Base1[[#This Row],[Fechas]],"MMMM")</f>
        <v>enero</v>
      </c>
      <c r="G158" s="6">
        <f ca="1">_xlfn.DAYS(TODAY(),Base1[[#This Row],[Fechas]])</f>
        <v>895</v>
      </c>
      <c r="H158" s="7">
        <f ca="1">BaseA[[#This Row],[Días Transcurridos]]/360</f>
        <v>2.4861111111111112</v>
      </c>
    </row>
    <row r="159" spans="1:8" x14ac:dyDescent="0.3">
      <c r="A159" s="6">
        <v>158</v>
      </c>
      <c r="B159" s="6">
        <f>YEAR(Base1[[#This Row],[Fechas]])</f>
        <v>2023</v>
      </c>
      <c r="C159" s="6">
        <f>MONTH(Base1[[#This Row],[Fechas]])</f>
        <v>1</v>
      </c>
      <c r="D159" s="6">
        <f>DAY(Base1[[#This Row],[Fechas]])</f>
        <v>2</v>
      </c>
      <c r="E159" s="6" t="str">
        <f>TEXT(Base1[[#This Row],[Fechas]],"DDDD")</f>
        <v>lunes</v>
      </c>
      <c r="F159" s="6" t="str">
        <f>TEXT(Base1[[#This Row],[Fechas]],"MMMM")</f>
        <v>enero</v>
      </c>
      <c r="G159" s="6">
        <f ca="1">_xlfn.DAYS(TODAY(),Base1[[#This Row],[Fechas]])</f>
        <v>1269</v>
      </c>
      <c r="H159" s="7">
        <f ca="1">BaseA[[#This Row],[Días Transcurridos]]/360</f>
        <v>3.5249999999999999</v>
      </c>
    </row>
    <row r="160" spans="1:8" x14ac:dyDescent="0.3">
      <c r="A160" s="6">
        <v>159</v>
      </c>
      <c r="B160" s="6">
        <f>YEAR(Base1[[#This Row],[Fechas]])</f>
        <v>2024</v>
      </c>
      <c r="C160" s="6">
        <f>MONTH(Base1[[#This Row],[Fechas]])</f>
        <v>11</v>
      </c>
      <c r="D160" s="6">
        <f>DAY(Base1[[#This Row],[Fechas]])</f>
        <v>27</v>
      </c>
      <c r="E160" s="6" t="str">
        <f>TEXT(Base1[[#This Row],[Fechas]],"DDDD")</f>
        <v>miércoles</v>
      </c>
      <c r="F160" s="6" t="str">
        <f>TEXT(Base1[[#This Row],[Fechas]],"MMMM")</f>
        <v>noviembre</v>
      </c>
      <c r="G160" s="6">
        <f ca="1">_xlfn.DAYS(TODAY(),Base1[[#This Row],[Fechas]])</f>
        <v>574</v>
      </c>
      <c r="H160" s="7">
        <f ca="1">BaseA[[#This Row],[Días Transcurridos]]/360</f>
        <v>1.5944444444444446</v>
      </c>
    </row>
    <row r="161" spans="1:8" x14ac:dyDescent="0.3">
      <c r="A161" s="6">
        <v>160</v>
      </c>
      <c r="B161" s="6">
        <f>YEAR(Base1[[#This Row],[Fechas]])</f>
        <v>2024</v>
      </c>
      <c r="C161" s="6">
        <f>MONTH(Base1[[#This Row],[Fechas]])</f>
        <v>11</v>
      </c>
      <c r="D161" s="6">
        <f>DAY(Base1[[#This Row],[Fechas]])</f>
        <v>29</v>
      </c>
      <c r="E161" s="6" t="str">
        <f>TEXT(Base1[[#This Row],[Fechas]],"DDDD")</f>
        <v>viernes</v>
      </c>
      <c r="F161" s="6" t="str">
        <f>TEXT(Base1[[#This Row],[Fechas]],"MMMM")</f>
        <v>noviembre</v>
      </c>
      <c r="G161" s="6">
        <f ca="1">_xlfn.DAYS(TODAY(),Base1[[#This Row],[Fechas]])</f>
        <v>572</v>
      </c>
      <c r="H161" s="7">
        <f ca="1">BaseA[[#This Row],[Días Transcurridos]]/360</f>
        <v>1.5888888888888888</v>
      </c>
    </row>
    <row r="162" spans="1:8" x14ac:dyDescent="0.3">
      <c r="A162" s="6">
        <v>161</v>
      </c>
      <c r="B162" s="6">
        <f>YEAR(Base1[[#This Row],[Fechas]])</f>
        <v>2023</v>
      </c>
      <c r="C162" s="6">
        <f>MONTH(Base1[[#This Row],[Fechas]])</f>
        <v>8</v>
      </c>
      <c r="D162" s="6">
        <f>DAY(Base1[[#This Row],[Fechas]])</f>
        <v>15</v>
      </c>
      <c r="E162" s="6" t="str">
        <f>TEXT(Base1[[#This Row],[Fechas]],"DDDD")</f>
        <v>martes</v>
      </c>
      <c r="F162" s="6" t="str">
        <f>TEXT(Base1[[#This Row],[Fechas]],"MMMM")</f>
        <v>agosto</v>
      </c>
      <c r="G162" s="6">
        <f ca="1">_xlfn.DAYS(TODAY(),Base1[[#This Row],[Fechas]])</f>
        <v>1044</v>
      </c>
      <c r="H162" s="7">
        <f ca="1">BaseA[[#This Row],[Días Transcurridos]]/360</f>
        <v>2.9</v>
      </c>
    </row>
    <row r="163" spans="1:8" x14ac:dyDescent="0.3">
      <c r="A163" s="6">
        <v>162</v>
      </c>
      <c r="B163" s="6">
        <f>YEAR(Base1[[#This Row],[Fechas]])</f>
        <v>2025</v>
      </c>
      <c r="C163" s="6">
        <f>MONTH(Base1[[#This Row],[Fechas]])</f>
        <v>5</v>
      </c>
      <c r="D163" s="6">
        <f>DAY(Base1[[#This Row],[Fechas]])</f>
        <v>6</v>
      </c>
      <c r="E163" s="6" t="str">
        <f>TEXT(Base1[[#This Row],[Fechas]],"DDDD")</f>
        <v>martes</v>
      </c>
      <c r="F163" s="6" t="str">
        <f>TEXT(Base1[[#This Row],[Fechas]],"MMMM")</f>
        <v>mayo</v>
      </c>
      <c r="G163" s="6">
        <f ca="1">_xlfn.DAYS(TODAY(),Base1[[#This Row],[Fechas]])</f>
        <v>414</v>
      </c>
      <c r="H163" s="7">
        <f ca="1">BaseA[[#This Row],[Días Transcurridos]]/360</f>
        <v>1.1499999999999999</v>
      </c>
    </row>
    <row r="164" spans="1:8" x14ac:dyDescent="0.3">
      <c r="A164" s="6">
        <v>163</v>
      </c>
      <c r="B164" s="6">
        <f>YEAR(Base1[[#This Row],[Fechas]])</f>
        <v>2023</v>
      </c>
      <c r="C164" s="6">
        <f>MONTH(Base1[[#This Row],[Fechas]])</f>
        <v>11</v>
      </c>
      <c r="D164" s="6">
        <f>DAY(Base1[[#This Row],[Fechas]])</f>
        <v>20</v>
      </c>
      <c r="E164" s="6" t="str">
        <f>TEXT(Base1[[#This Row],[Fechas]],"DDDD")</f>
        <v>lunes</v>
      </c>
      <c r="F164" s="6" t="str">
        <f>TEXT(Base1[[#This Row],[Fechas]],"MMMM")</f>
        <v>noviembre</v>
      </c>
      <c r="G164" s="6">
        <f ca="1">_xlfn.DAYS(TODAY(),Base1[[#This Row],[Fechas]])</f>
        <v>947</v>
      </c>
      <c r="H164" s="7">
        <f ca="1">BaseA[[#This Row],[Días Transcurridos]]/360</f>
        <v>2.6305555555555555</v>
      </c>
    </row>
    <row r="165" spans="1:8" x14ac:dyDescent="0.3">
      <c r="A165" s="6">
        <v>164</v>
      </c>
      <c r="B165" s="6">
        <f>YEAR(Base1[[#This Row],[Fechas]])</f>
        <v>2024</v>
      </c>
      <c r="C165" s="6">
        <f>MONTH(Base1[[#This Row],[Fechas]])</f>
        <v>6</v>
      </c>
      <c r="D165" s="6">
        <f>DAY(Base1[[#This Row],[Fechas]])</f>
        <v>8</v>
      </c>
      <c r="E165" s="6" t="str">
        <f>TEXT(Base1[[#This Row],[Fechas]],"DDDD")</f>
        <v>sábado</v>
      </c>
      <c r="F165" s="6" t="str">
        <f>TEXT(Base1[[#This Row],[Fechas]],"MMMM")</f>
        <v>junio</v>
      </c>
      <c r="G165" s="6">
        <f ca="1">_xlfn.DAYS(TODAY(),Base1[[#This Row],[Fechas]])</f>
        <v>746</v>
      </c>
      <c r="H165" s="7">
        <f ca="1">BaseA[[#This Row],[Días Transcurridos]]/360</f>
        <v>2.0722222222222224</v>
      </c>
    </row>
    <row r="166" spans="1:8" x14ac:dyDescent="0.3">
      <c r="A166" s="6">
        <v>165</v>
      </c>
      <c r="B166" s="6">
        <f>YEAR(Base1[[#This Row],[Fechas]])</f>
        <v>2025</v>
      </c>
      <c r="C166" s="6">
        <f>MONTH(Base1[[#This Row],[Fechas]])</f>
        <v>5</v>
      </c>
      <c r="D166" s="6">
        <f>DAY(Base1[[#This Row],[Fechas]])</f>
        <v>23</v>
      </c>
      <c r="E166" s="6" t="str">
        <f>TEXT(Base1[[#This Row],[Fechas]],"DDDD")</f>
        <v>viernes</v>
      </c>
      <c r="F166" s="6" t="str">
        <f>TEXT(Base1[[#This Row],[Fechas]],"MMMM")</f>
        <v>mayo</v>
      </c>
      <c r="G166" s="6">
        <f ca="1">_xlfn.DAYS(TODAY(),Base1[[#This Row],[Fechas]])</f>
        <v>397</v>
      </c>
      <c r="H166" s="7">
        <f ca="1">BaseA[[#This Row],[Días Transcurridos]]/360</f>
        <v>1.1027777777777779</v>
      </c>
    </row>
    <row r="167" spans="1:8" x14ac:dyDescent="0.3">
      <c r="A167" s="6">
        <v>166</v>
      </c>
      <c r="B167" s="6">
        <f>YEAR(Base1[[#This Row],[Fechas]])</f>
        <v>2024</v>
      </c>
      <c r="C167" s="6">
        <f>MONTH(Base1[[#This Row],[Fechas]])</f>
        <v>4</v>
      </c>
      <c r="D167" s="6">
        <f>DAY(Base1[[#This Row],[Fechas]])</f>
        <v>21</v>
      </c>
      <c r="E167" s="6" t="str">
        <f>TEXT(Base1[[#This Row],[Fechas]],"DDDD")</f>
        <v>domingo</v>
      </c>
      <c r="F167" s="6" t="str">
        <f>TEXT(Base1[[#This Row],[Fechas]],"MMMM")</f>
        <v>abril</v>
      </c>
      <c r="G167" s="6">
        <f ca="1">_xlfn.DAYS(TODAY(),Base1[[#This Row],[Fechas]])</f>
        <v>794</v>
      </c>
      <c r="H167" s="7">
        <f ca="1">BaseA[[#This Row],[Días Transcurridos]]/360</f>
        <v>2.2055555555555557</v>
      </c>
    </row>
    <row r="168" spans="1:8" x14ac:dyDescent="0.3">
      <c r="A168" s="6">
        <v>167</v>
      </c>
      <c r="B168" s="6">
        <f>YEAR(Base1[[#This Row],[Fechas]])</f>
        <v>2024</v>
      </c>
      <c r="C168" s="6">
        <f>MONTH(Base1[[#This Row],[Fechas]])</f>
        <v>8</v>
      </c>
      <c r="D168" s="6">
        <f>DAY(Base1[[#This Row],[Fechas]])</f>
        <v>5</v>
      </c>
      <c r="E168" s="6" t="str">
        <f>TEXT(Base1[[#This Row],[Fechas]],"DDDD")</f>
        <v>lunes</v>
      </c>
      <c r="F168" s="6" t="str">
        <f>TEXT(Base1[[#This Row],[Fechas]],"MMMM")</f>
        <v>agosto</v>
      </c>
      <c r="G168" s="6">
        <f ca="1">_xlfn.DAYS(TODAY(),Base1[[#This Row],[Fechas]])</f>
        <v>688</v>
      </c>
      <c r="H168" s="7">
        <f ca="1">BaseA[[#This Row],[Días Transcurridos]]/360</f>
        <v>1.9111111111111112</v>
      </c>
    </row>
    <row r="169" spans="1:8" x14ac:dyDescent="0.3">
      <c r="A169" s="6">
        <v>168</v>
      </c>
      <c r="B169" s="6">
        <f>YEAR(Base1[[#This Row],[Fechas]])</f>
        <v>2025</v>
      </c>
      <c r="C169" s="6">
        <f>MONTH(Base1[[#This Row],[Fechas]])</f>
        <v>3</v>
      </c>
      <c r="D169" s="6">
        <f>DAY(Base1[[#This Row],[Fechas]])</f>
        <v>30</v>
      </c>
      <c r="E169" s="6" t="str">
        <f>TEXT(Base1[[#This Row],[Fechas]],"DDDD")</f>
        <v>domingo</v>
      </c>
      <c r="F169" s="6" t="str">
        <f>TEXT(Base1[[#This Row],[Fechas]],"MMMM")</f>
        <v>marzo</v>
      </c>
      <c r="G169" s="6">
        <f ca="1">_xlfn.DAYS(TODAY(),Base1[[#This Row],[Fechas]])</f>
        <v>451</v>
      </c>
      <c r="H169" s="7">
        <f ca="1">BaseA[[#This Row],[Días Transcurridos]]/360</f>
        <v>1.2527777777777778</v>
      </c>
    </row>
    <row r="170" spans="1:8" x14ac:dyDescent="0.3">
      <c r="A170" s="6">
        <v>169</v>
      </c>
      <c r="B170" s="6">
        <f>YEAR(Base1[[#This Row],[Fechas]])</f>
        <v>2023</v>
      </c>
      <c r="C170" s="6">
        <f>MONTH(Base1[[#This Row],[Fechas]])</f>
        <v>2</v>
      </c>
      <c r="D170" s="6">
        <f>DAY(Base1[[#This Row],[Fechas]])</f>
        <v>20</v>
      </c>
      <c r="E170" s="6" t="str">
        <f>TEXT(Base1[[#This Row],[Fechas]],"DDDD")</f>
        <v>lunes</v>
      </c>
      <c r="F170" s="6" t="str">
        <f>TEXT(Base1[[#This Row],[Fechas]],"MMMM")</f>
        <v>febrero</v>
      </c>
      <c r="G170" s="6">
        <f ca="1">_xlfn.DAYS(TODAY(),Base1[[#This Row],[Fechas]])</f>
        <v>1220</v>
      </c>
      <c r="H170" s="7">
        <f ca="1">BaseA[[#This Row],[Días Transcurridos]]/360</f>
        <v>3.3888888888888888</v>
      </c>
    </row>
    <row r="171" spans="1:8" x14ac:dyDescent="0.3">
      <c r="A171" s="6">
        <v>170</v>
      </c>
      <c r="B171" s="6">
        <f>YEAR(Base1[[#This Row],[Fechas]])</f>
        <v>2024</v>
      </c>
      <c r="C171" s="6">
        <f>MONTH(Base1[[#This Row],[Fechas]])</f>
        <v>10</v>
      </c>
      <c r="D171" s="6">
        <f>DAY(Base1[[#This Row],[Fechas]])</f>
        <v>1</v>
      </c>
      <c r="E171" s="6" t="str">
        <f>TEXT(Base1[[#This Row],[Fechas]],"DDDD")</f>
        <v>martes</v>
      </c>
      <c r="F171" s="6" t="str">
        <f>TEXT(Base1[[#This Row],[Fechas]],"MMMM")</f>
        <v>octubre</v>
      </c>
      <c r="G171" s="6">
        <f ca="1">_xlfn.DAYS(TODAY(),Base1[[#This Row],[Fechas]])</f>
        <v>631</v>
      </c>
      <c r="H171" s="7">
        <f ca="1">BaseA[[#This Row],[Días Transcurridos]]/360</f>
        <v>1.7527777777777778</v>
      </c>
    </row>
    <row r="172" spans="1:8" x14ac:dyDescent="0.3">
      <c r="A172" s="6">
        <v>171</v>
      </c>
      <c r="B172" s="6">
        <f>YEAR(Base1[[#This Row],[Fechas]])</f>
        <v>2025</v>
      </c>
      <c r="C172" s="6">
        <f>MONTH(Base1[[#This Row],[Fechas]])</f>
        <v>6</v>
      </c>
      <c r="D172" s="6">
        <f>DAY(Base1[[#This Row],[Fechas]])</f>
        <v>14</v>
      </c>
      <c r="E172" s="6" t="str">
        <f>TEXT(Base1[[#This Row],[Fechas]],"DDDD")</f>
        <v>sábado</v>
      </c>
      <c r="F172" s="6" t="str">
        <f>TEXT(Base1[[#This Row],[Fechas]],"MMMM")</f>
        <v>junio</v>
      </c>
      <c r="G172" s="6">
        <f ca="1">_xlfn.DAYS(TODAY(),Base1[[#This Row],[Fechas]])</f>
        <v>375</v>
      </c>
      <c r="H172" s="7">
        <f ca="1">BaseA[[#This Row],[Días Transcurridos]]/360</f>
        <v>1.0416666666666667</v>
      </c>
    </row>
    <row r="173" spans="1:8" x14ac:dyDescent="0.3">
      <c r="A173" s="6">
        <v>172</v>
      </c>
      <c r="B173" s="6">
        <f>YEAR(Base1[[#This Row],[Fechas]])</f>
        <v>2025</v>
      </c>
      <c r="C173" s="6">
        <f>MONTH(Base1[[#This Row],[Fechas]])</f>
        <v>11</v>
      </c>
      <c r="D173" s="6">
        <f>DAY(Base1[[#This Row],[Fechas]])</f>
        <v>28</v>
      </c>
      <c r="E173" s="6" t="str">
        <f>TEXT(Base1[[#This Row],[Fechas]],"DDDD")</f>
        <v>viernes</v>
      </c>
      <c r="F173" s="6" t="str">
        <f>TEXT(Base1[[#This Row],[Fechas]],"MMMM")</f>
        <v>noviembre</v>
      </c>
      <c r="G173" s="6">
        <f ca="1">_xlfn.DAYS(TODAY(),Base1[[#This Row],[Fechas]])</f>
        <v>208</v>
      </c>
      <c r="H173" s="7">
        <f ca="1">BaseA[[#This Row],[Días Transcurridos]]/360</f>
        <v>0.57777777777777772</v>
      </c>
    </row>
    <row r="174" spans="1:8" x14ac:dyDescent="0.3">
      <c r="A174" s="6">
        <v>173</v>
      </c>
      <c r="B174" s="6">
        <f>YEAR(Base1[[#This Row],[Fechas]])</f>
        <v>2024</v>
      </c>
      <c r="C174" s="6">
        <f>MONTH(Base1[[#This Row],[Fechas]])</f>
        <v>1</v>
      </c>
      <c r="D174" s="6">
        <f>DAY(Base1[[#This Row],[Fechas]])</f>
        <v>28</v>
      </c>
      <c r="E174" s="6" t="str">
        <f>TEXT(Base1[[#This Row],[Fechas]],"DDDD")</f>
        <v>domingo</v>
      </c>
      <c r="F174" s="6" t="str">
        <f>TEXT(Base1[[#This Row],[Fechas]],"MMMM")</f>
        <v>enero</v>
      </c>
      <c r="G174" s="6">
        <f ca="1">_xlfn.DAYS(TODAY(),Base1[[#This Row],[Fechas]])</f>
        <v>878</v>
      </c>
      <c r="H174" s="7">
        <f ca="1">BaseA[[#This Row],[Días Transcurridos]]/360</f>
        <v>2.4388888888888891</v>
      </c>
    </row>
    <row r="175" spans="1:8" x14ac:dyDescent="0.3">
      <c r="A175" s="6">
        <v>174</v>
      </c>
      <c r="B175" s="6">
        <f>YEAR(Base1[[#This Row],[Fechas]])</f>
        <v>2025</v>
      </c>
      <c r="C175" s="6">
        <f>MONTH(Base1[[#This Row],[Fechas]])</f>
        <v>4</v>
      </c>
      <c r="D175" s="6">
        <f>DAY(Base1[[#This Row],[Fechas]])</f>
        <v>29</v>
      </c>
      <c r="E175" s="6" t="str">
        <f>TEXT(Base1[[#This Row],[Fechas]],"DDDD")</f>
        <v>martes</v>
      </c>
      <c r="F175" s="6" t="str">
        <f>TEXT(Base1[[#This Row],[Fechas]],"MMMM")</f>
        <v>abril</v>
      </c>
      <c r="G175" s="6">
        <f ca="1">_xlfn.DAYS(TODAY(),Base1[[#This Row],[Fechas]])</f>
        <v>421</v>
      </c>
      <c r="H175" s="7">
        <f ca="1">BaseA[[#This Row],[Días Transcurridos]]/360</f>
        <v>1.1694444444444445</v>
      </c>
    </row>
    <row r="176" spans="1:8" x14ac:dyDescent="0.3">
      <c r="A176" s="6">
        <v>175</v>
      </c>
      <c r="B176" s="6">
        <f>YEAR(Base1[[#This Row],[Fechas]])</f>
        <v>2023</v>
      </c>
      <c r="C176" s="6">
        <f>MONTH(Base1[[#This Row],[Fechas]])</f>
        <v>3</v>
      </c>
      <c r="D176" s="6">
        <f>DAY(Base1[[#This Row],[Fechas]])</f>
        <v>3</v>
      </c>
      <c r="E176" s="6" t="str">
        <f>TEXT(Base1[[#This Row],[Fechas]],"DDDD")</f>
        <v>viernes</v>
      </c>
      <c r="F176" s="6" t="str">
        <f>TEXT(Base1[[#This Row],[Fechas]],"MMMM")</f>
        <v>marzo</v>
      </c>
      <c r="G176" s="6">
        <f ca="1">_xlfn.DAYS(TODAY(),Base1[[#This Row],[Fechas]])</f>
        <v>1209</v>
      </c>
      <c r="H176" s="7">
        <f ca="1">BaseA[[#This Row],[Días Transcurridos]]/360</f>
        <v>3.3583333333333334</v>
      </c>
    </row>
    <row r="177" spans="1:8" x14ac:dyDescent="0.3">
      <c r="A177" s="6">
        <v>176</v>
      </c>
      <c r="B177" s="6">
        <f>YEAR(Base1[[#This Row],[Fechas]])</f>
        <v>2025</v>
      </c>
      <c r="C177" s="6">
        <f>MONTH(Base1[[#This Row],[Fechas]])</f>
        <v>6</v>
      </c>
      <c r="D177" s="6">
        <f>DAY(Base1[[#This Row],[Fechas]])</f>
        <v>25</v>
      </c>
      <c r="E177" s="6" t="str">
        <f>TEXT(Base1[[#This Row],[Fechas]],"DDDD")</f>
        <v>miércoles</v>
      </c>
      <c r="F177" s="6" t="str">
        <f>TEXT(Base1[[#This Row],[Fechas]],"MMMM")</f>
        <v>junio</v>
      </c>
      <c r="G177" s="6">
        <f ca="1">_xlfn.DAYS(TODAY(),Base1[[#This Row],[Fechas]])</f>
        <v>364</v>
      </c>
      <c r="H177" s="7">
        <f ca="1">BaseA[[#This Row],[Días Transcurridos]]/360</f>
        <v>1.0111111111111111</v>
      </c>
    </row>
    <row r="178" spans="1:8" x14ac:dyDescent="0.3">
      <c r="A178" s="6">
        <v>177</v>
      </c>
      <c r="B178" s="6">
        <f>YEAR(Base1[[#This Row],[Fechas]])</f>
        <v>2023</v>
      </c>
      <c r="C178" s="6">
        <f>MONTH(Base1[[#This Row],[Fechas]])</f>
        <v>2</v>
      </c>
      <c r="D178" s="6">
        <f>DAY(Base1[[#This Row],[Fechas]])</f>
        <v>15</v>
      </c>
      <c r="E178" s="6" t="str">
        <f>TEXT(Base1[[#This Row],[Fechas]],"DDDD")</f>
        <v>miércoles</v>
      </c>
      <c r="F178" s="6" t="str">
        <f>TEXT(Base1[[#This Row],[Fechas]],"MMMM")</f>
        <v>febrero</v>
      </c>
      <c r="G178" s="6">
        <f ca="1">_xlfn.DAYS(TODAY(),Base1[[#This Row],[Fechas]])</f>
        <v>1225</v>
      </c>
      <c r="H178" s="7">
        <f ca="1">BaseA[[#This Row],[Días Transcurridos]]/360</f>
        <v>3.4027777777777777</v>
      </c>
    </row>
    <row r="179" spans="1:8" x14ac:dyDescent="0.3">
      <c r="A179" s="6">
        <v>178</v>
      </c>
      <c r="B179" s="6">
        <f>YEAR(Base1[[#This Row],[Fechas]])</f>
        <v>2025</v>
      </c>
      <c r="C179" s="6">
        <f>MONTH(Base1[[#This Row],[Fechas]])</f>
        <v>1</v>
      </c>
      <c r="D179" s="6">
        <f>DAY(Base1[[#This Row],[Fechas]])</f>
        <v>9</v>
      </c>
      <c r="E179" s="6" t="str">
        <f>TEXT(Base1[[#This Row],[Fechas]],"DDDD")</f>
        <v>jueves</v>
      </c>
      <c r="F179" s="6" t="str">
        <f>TEXT(Base1[[#This Row],[Fechas]],"MMMM")</f>
        <v>enero</v>
      </c>
      <c r="G179" s="6">
        <f ca="1">_xlfn.DAYS(TODAY(),Base1[[#This Row],[Fechas]])</f>
        <v>531</v>
      </c>
      <c r="H179" s="7">
        <f ca="1">BaseA[[#This Row],[Días Transcurridos]]/360</f>
        <v>1.4750000000000001</v>
      </c>
    </row>
    <row r="180" spans="1:8" x14ac:dyDescent="0.3">
      <c r="A180" s="6">
        <v>179</v>
      </c>
      <c r="B180" s="6">
        <f>YEAR(Base1[[#This Row],[Fechas]])</f>
        <v>2023</v>
      </c>
      <c r="C180" s="6">
        <f>MONTH(Base1[[#This Row],[Fechas]])</f>
        <v>7</v>
      </c>
      <c r="D180" s="6">
        <f>DAY(Base1[[#This Row],[Fechas]])</f>
        <v>28</v>
      </c>
      <c r="E180" s="6" t="str">
        <f>TEXT(Base1[[#This Row],[Fechas]],"DDDD")</f>
        <v>viernes</v>
      </c>
      <c r="F180" s="6" t="str">
        <f>TEXT(Base1[[#This Row],[Fechas]],"MMMM")</f>
        <v>julio</v>
      </c>
      <c r="G180" s="6">
        <f ca="1">_xlfn.DAYS(TODAY(),Base1[[#This Row],[Fechas]])</f>
        <v>1062</v>
      </c>
      <c r="H180" s="7">
        <f ca="1">BaseA[[#This Row],[Días Transcurridos]]/360</f>
        <v>2.95</v>
      </c>
    </row>
    <row r="181" spans="1:8" x14ac:dyDescent="0.3">
      <c r="A181" s="6">
        <v>180</v>
      </c>
      <c r="B181" s="6">
        <f>YEAR(Base1[[#This Row],[Fechas]])</f>
        <v>2025</v>
      </c>
      <c r="C181" s="6">
        <f>MONTH(Base1[[#This Row],[Fechas]])</f>
        <v>10</v>
      </c>
      <c r="D181" s="6">
        <f>DAY(Base1[[#This Row],[Fechas]])</f>
        <v>9</v>
      </c>
      <c r="E181" s="6" t="str">
        <f>TEXT(Base1[[#This Row],[Fechas]],"DDDD")</f>
        <v>jueves</v>
      </c>
      <c r="F181" s="6" t="str">
        <f>TEXT(Base1[[#This Row],[Fechas]],"MMMM")</f>
        <v>octubre</v>
      </c>
      <c r="G181" s="6">
        <f ca="1">_xlfn.DAYS(TODAY(),Base1[[#This Row],[Fechas]])</f>
        <v>258</v>
      </c>
      <c r="H181" s="7">
        <f ca="1">BaseA[[#This Row],[Días Transcurridos]]/360</f>
        <v>0.71666666666666667</v>
      </c>
    </row>
    <row r="182" spans="1:8" x14ac:dyDescent="0.3">
      <c r="A182" s="6">
        <v>181</v>
      </c>
      <c r="B182" s="6">
        <f>YEAR(Base1[[#This Row],[Fechas]])</f>
        <v>2025</v>
      </c>
      <c r="C182" s="6">
        <f>MONTH(Base1[[#This Row],[Fechas]])</f>
        <v>3</v>
      </c>
      <c r="D182" s="6">
        <f>DAY(Base1[[#This Row],[Fechas]])</f>
        <v>2</v>
      </c>
      <c r="E182" s="6" t="str">
        <f>TEXT(Base1[[#This Row],[Fechas]],"DDDD")</f>
        <v>domingo</v>
      </c>
      <c r="F182" s="6" t="str">
        <f>TEXT(Base1[[#This Row],[Fechas]],"MMMM")</f>
        <v>marzo</v>
      </c>
      <c r="G182" s="6">
        <f ca="1">_xlfn.DAYS(TODAY(),Base1[[#This Row],[Fechas]])</f>
        <v>479</v>
      </c>
      <c r="H182" s="7">
        <f ca="1">BaseA[[#This Row],[Días Transcurridos]]/360</f>
        <v>1.3305555555555555</v>
      </c>
    </row>
    <row r="183" spans="1:8" x14ac:dyDescent="0.3">
      <c r="A183" s="6">
        <v>182</v>
      </c>
      <c r="B183" s="6">
        <f>YEAR(Base1[[#This Row],[Fechas]])</f>
        <v>2023</v>
      </c>
      <c r="C183" s="6">
        <f>MONTH(Base1[[#This Row],[Fechas]])</f>
        <v>9</v>
      </c>
      <c r="D183" s="6">
        <f>DAY(Base1[[#This Row],[Fechas]])</f>
        <v>4</v>
      </c>
      <c r="E183" s="6" t="str">
        <f>TEXT(Base1[[#This Row],[Fechas]],"DDDD")</f>
        <v>lunes</v>
      </c>
      <c r="F183" s="6" t="str">
        <f>TEXT(Base1[[#This Row],[Fechas]],"MMMM")</f>
        <v>septiembre</v>
      </c>
      <c r="G183" s="6">
        <f ca="1">_xlfn.DAYS(TODAY(),Base1[[#This Row],[Fechas]])</f>
        <v>1024</v>
      </c>
      <c r="H183" s="7">
        <f ca="1">BaseA[[#This Row],[Días Transcurridos]]/360</f>
        <v>2.8444444444444446</v>
      </c>
    </row>
    <row r="184" spans="1:8" x14ac:dyDescent="0.3">
      <c r="A184" s="6">
        <v>183</v>
      </c>
      <c r="B184" s="6">
        <f>YEAR(Base1[[#This Row],[Fechas]])</f>
        <v>2025</v>
      </c>
      <c r="C184" s="6">
        <f>MONTH(Base1[[#This Row],[Fechas]])</f>
        <v>4</v>
      </c>
      <c r="D184" s="6">
        <f>DAY(Base1[[#This Row],[Fechas]])</f>
        <v>8</v>
      </c>
      <c r="E184" s="6" t="str">
        <f>TEXT(Base1[[#This Row],[Fechas]],"DDDD")</f>
        <v>martes</v>
      </c>
      <c r="F184" s="6" t="str">
        <f>TEXT(Base1[[#This Row],[Fechas]],"MMMM")</f>
        <v>abril</v>
      </c>
      <c r="G184" s="6">
        <f ca="1">_xlfn.DAYS(TODAY(),Base1[[#This Row],[Fechas]])</f>
        <v>442</v>
      </c>
      <c r="H184" s="7">
        <f ca="1">BaseA[[#This Row],[Días Transcurridos]]/360</f>
        <v>1.2277777777777779</v>
      </c>
    </row>
    <row r="185" spans="1:8" x14ac:dyDescent="0.3">
      <c r="A185" s="6">
        <v>184</v>
      </c>
      <c r="B185" s="6">
        <f>YEAR(Base1[[#This Row],[Fechas]])</f>
        <v>2024</v>
      </c>
      <c r="C185" s="6">
        <f>MONTH(Base1[[#This Row],[Fechas]])</f>
        <v>9</v>
      </c>
      <c r="D185" s="6">
        <f>DAY(Base1[[#This Row],[Fechas]])</f>
        <v>29</v>
      </c>
      <c r="E185" s="6" t="str">
        <f>TEXT(Base1[[#This Row],[Fechas]],"DDDD")</f>
        <v>domingo</v>
      </c>
      <c r="F185" s="6" t="str">
        <f>TEXT(Base1[[#This Row],[Fechas]],"MMMM")</f>
        <v>septiembre</v>
      </c>
      <c r="G185" s="6">
        <f ca="1">_xlfn.DAYS(TODAY(),Base1[[#This Row],[Fechas]])</f>
        <v>633</v>
      </c>
      <c r="H185" s="7">
        <f ca="1">BaseA[[#This Row],[Días Transcurridos]]/360</f>
        <v>1.7583333333333333</v>
      </c>
    </row>
    <row r="186" spans="1:8" x14ac:dyDescent="0.3">
      <c r="A186" s="6">
        <v>185</v>
      </c>
      <c r="B186" s="6">
        <f>YEAR(Base1[[#This Row],[Fechas]])</f>
        <v>2025</v>
      </c>
      <c r="C186" s="6">
        <f>MONTH(Base1[[#This Row],[Fechas]])</f>
        <v>8</v>
      </c>
      <c r="D186" s="6">
        <f>DAY(Base1[[#This Row],[Fechas]])</f>
        <v>25</v>
      </c>
      <c r="E186" s="6" t="str">
        <f>TEXT(Base1[[#This Row],[Fechas]],"DDDD")</f>
        <v>lunes</v>
      </c>
      <c r="F186" s="6" t="str">
        <f>TEXT(Base1[[#This Row],[Fechas]],"MMMM")</f>
        <v>agosto</v>
      </c>
      <c r="G186" s="6">
        <f ca="1">_xlfn.DAYS(TODAY(),Base1[[#This Row],[Fechas]])</f>
        <v>303</v>
      </c>
      <c r="H186" s="7">
        <f ca="1">BaseA[[#This Row],[Días Transcurridos]]/360</f>
        <v>0.84166666666666667</v>
      </c>
    </row>
    <row r="187" spans="1:8" x14ac:dyDescent="0.3">
      <c r="A187" s="6">
        <v>186</v>
      </c>
      <c r="B187" s="6">
        <f>YEAR(Base1[[#This Row],[Fechas]])</f>
        <v>2025</v>
      </c>
      <c r="C187" s="6">
        <f>MONTH(Base1[[#This Row],[Fechas]])</f>
        <v>10</v>
      </c>
      <c r="D187" s="6">
        <f>DAY(Base1[[#This Row],[Fechas]])</f>
        <v>17</v>
      </c>
      <c r="E187" s="6" t="str">
        <f>TEXT(Base1[[#This Row],[Fechas]],"DDDD")</f>
        <v>viernes</v>
      </c>
      <c r="F187" s="6" t="str">
        <f>TEXT(Base1[[#This Row],[Fechas]],"MMMM")</f>
        <v>octubre</v>
      </c>
      <c r="G187" s="6">
        <f ca="1">_xlfn.DAYS(TODAY(),Base1[[#This Row],[Fechas]])</f>
        <v>250</v>
      </c>
      <c r="H187" s="7">
        <f ca="1">BaseA[[#This Row],[Días Transcurridos]]/360</f>
        <v>0.69444444444444442</v>
      </c>
    </row>
    <row r="188" spans="1:8" x14ac:dyDescent="0.3">
      <c r="A188" s="6">
        <v>187</v>
      </c>
      <c r="B188" s="6">
        <f>YEAR(Base1[[#This Row],[Fechas]])</f>
        <v>2024</v>
      </c>
      <c r="C188" s="6">
        <f>MONTH(Base1[[#This Row],[Fechas]])</f>
        <v>2</v>
      </c>
      <c r="D188" s="6">
        <f>DAY(Base1[[#This Row],[Fechas]])</f>
        <v>24</v>
      </c>
      <c r="E188" s="6" t="str">
        <f>TEXT(Base1[[#This Row],[Fechas]],"DDDD")</f>
        <v>sábado</v>
      </c>
      <c r="F188" s="6" t="str">
        <f>TEXT(Base1[[#This Row],[Fechas]],"MMMM")</f>
        <v>febrero</v>
      </c>
      <c r="G188" s="6">
        <f ca="1">_xlfn.DAYS(TODAY(),Base1[[#This Row],[Fechas]])</f>
        <v>851</v>
      </c>
      <c r="H188" s="7">
        <f ca="1">BaseA[[#This Row],[Días Transcurridos]]/360</f>
        <v>2.3638888888888889</v>
      </c>
    </row>
    <row r="189" spans="1:8" x14ac:dyDescent="0.3">
      <c r="A189" s="6">
        <v>188</v>
      </c>
      <c r="B189" s="6">
        <f>YEAR(Base1[[#This Row],[Fechas]])</f>
        <v>2024</v>
      </c>
      <c r="C189" s="6">
        <f>MONTH(Base1[[#This Row],[Fechas]])</f>
        <v>3</v>
      </c>
      <c r="D189" s="6">
        <f>DAY(Base1[[#This Row],[Fechas]])</f>
        <v>21</v>
      </c>
      <c r="E189" s="6" t="str">
        <f>TEXT(Base1[[#This Row],[Fechas]],"DDDD")</f>
        <v>jueves</v>
      </c>
      <c r="F189" s="6" t="str">
        <f>TEXT(Base1[[#This Row],[Fechas]],"MMMM")</f>
        <v>marzo</v>
      </c>
      <c r="G189" s="6">
        <f ca="1">_xlfn.DAYS(TODAY(),Base1[[#This Row],[Fechas]])</f>
        <v>825</v>
      </c>
      <c r="H189" s="7">
        <f ca="1">BaseA[[#This Row],[Días Transcurridos]]/360</f>
        <v>2.2916666666666665</v>
      </c>
    </row>
    <row r="190" spans="1:8" x14ac:dyDescent="0.3">
      <c r="A190" s="6">
        <v>189</v>
      </c>
      <c r="B190" s="6">
        <f>YEAR(Base1[[#This Row],[Fechas]])</f>
        <v>2023</v>
      </c>
      <c r="C190" s="6">
        <f>MONTH(Base1[[#This Row],[Fechas]])</f>
        <v>4</v>
      </c>
      <c r="D190" s="6">
        <f>DAY(Base1[[#This Row],[Fechas]])</f>
        <v>20</v>
      </c>
      <c r="E190" s="6" t="str">
        <f>TEXT(Base1[[#This Row],[Fechas]],"DDDD")</f>
        <v>jueves</v>
      </c>
      <c r="F190" s="6" t="str">
        <f>TEXT(Base1[[#This Row],[Fechas]],"MMMM")</f>
        <v>abril</v>
      </c>
      <c r="G190" s="6">
        <f ca="1">_xlfn.DAYS(TODAY(),Base1[[#This Row],[Fechas]])</f>
        <v>1161</v>
      </c>
      <c r="H190" s="7">
        <f ca="1">BaseA[[#This Row],[Días Transcurridos]]/360</f>
        <v>3.2250000000000001</v>
      </c>
    </row>
    <row r="191" spans="1:8" x14ac:dyDescent="0.3">
      <c r="A191" s="6">
        <v>190</v>
      </c>
      <c r="B191" s="6">
        <f>YEAR(Base1[[#This Row],[Fechas]])</f>
        <v>2025</v>
      </c>
      <c r="C191" s="6">
        <f>MONTH(Base1[[#This Row],[Fechas]])</f>
        <v>10</v>
      </c>
      <c r="D191" s="6">
        <f>DAY(Base1[[#This Row],[Fechas]])</f>
        <v>2</v>
      </c>
      <c r="E191" s="6" t="str">
        <f>TEXT(Base1[[#This Row],[Fechas]],"DDDD")</f>
        <v>jueves</v>
      </c>
      <c r="F191" s="6" t="str">
        <f>TEXT(Base1[[#This Row],[Fechas]],"MMMM")</f>
        <v>octubre</v>
      </c>
      <c r="G191" s="6">
        <f ca="1">_xlfn.DAYS(TODAY(),Base1[[#This Row],[Fechas]])</f>
        <v>265</v>
      </c>
      <c r="H191" s="7">
        <f ca="1">BaseA[[#This Row],[Días Transcurridos]]/360</f>
        <v>0.73611111111111116</v>
      </c>
    </row>
    <row r="192" spans="1:8" x14ac:dyDescent="0.3">
      <c r="A192" s="6">
        <v>191</v>
      </c>
      <c r="B192" s="6">
        <f>YEAR(Base1[[#This Row],[Fechas]])</f>
        <v>2024</v>
      </c>
      <c r="C192" s="6">
        <f>MONTH(Base1[[#This Row],[Fechas]])</f>
        <v>1</v>
      </c>
      <c r="D192" s="6">
        <f>DAY(Base1[[#This Row],[Fechas]])</f>
        <v>11</v>
      </c>
      <c r="E192" s="6" t="str">
        <f>TEXT(Base1[[#This Row],[Fechas]],"DDDD")</f>
        <v>jueves</v>
      </c>
      <c r="F192" s="6" t="str">
        <f>TEXT(Base1[[#This Row],[Fechas]],"MMMM")</f>
        <v>enero</v>
      </c>
      <c r="G192" s="6">
        <f ca="1">_xlfn.DAYS(TODAY(),Base1[[#This Row],[Fechas]])</f>
        <v>895</v>
      </c>
      <c r="H192" s="7">
        <f ca="1">BaseA[[#This Row],[Días Transcurridos]]/360</f>
        <v>2.4861111111111112</v>
      </c>
    </row>
    <row r="193" spans="1:8" x14ac:dyDescent="0.3">
      <c r="A193" s="6">
        <v>192</v>
      </c>
      <c r="B193" s="6">
        <f>YEAR(Base1[[#This Row],[Fechas]])</f>
        <v>2023</v>
      </c>
      <c r="C193" s="6">
        <f>MONTH(Base1[[#This Row],[Fechas]])</f>
        <v>1</v>
      </c>
      <c r="D193" s="6">
        <f>DAY(Base1[[#This Row],[Fechas]])</f>
        <v>2</v>
      </c>
      <c r="E193" s="6" t="str">
        <f>TEXT(Base1[[#This Row],[Fechas]],"DDDD")</f>
        <v>lunes</v>
      </c>
      <c r="F193" s="6" t="str">
        <f>TEXT(Base1[[#This Row],[Fechas]],"MMMM")</f>
        <v>enero</v>
      </c>
      <c r="G193" s="6">
        <f ca="1">_xlfn.DAYS(TODAY(),Base1[[#This Row],[Fechas]])</f>
        <v>1269</v>
      </c>
      <c r="H193" s="7">
        <f ca="1">BaseA[[#This Row],[Días Transcurridos]]/360</f>
        <v>3.5249999999999999</v>
      </c>
    </row>
    <row r="194" spans="1:8" x14ac:dyDescent="0.3">
      <c r="A194" s="6">
        <v>193</v>
      </c>
      <c r="B194" s="6">
        <f>YEAR(Base1[[#This Row],[Fechas]])</f>
        <v>2024</v>
      </c>
      <c r="C194" s="6">
        <f>MONTH(Base1[[#This Row],[Fechas]])</f>
        <v>11</v>
      </c>
      <c r="D194" s="6">
        <f>DAY(Base1[[#This Row],[Fechas]])</f>
        <v>27</v>
      </c>
      <c r="E194" s="6" t="str">
        <f>TEXT(Base1[[#This Row],[Fechas]],"DDDD")</f>
        <v>miércoles</v>
      </c>
      <c r="F194" s="6" t="str">
        <f>TEXT(Base1[[#This Row],[Fechas]],"MMMM")</f>
        <v>noviembre</v>
      </c>
      <c r="G194" s="6">
        <f ca="1">_xlfn.DAYS(TODAY(),Base1[[#This Row],[Fechas]])</f>
        <v>574</v>
      </c>
      <c r="H194" s="7">
        <f ca="1">BaseA[[#This Row],[Días Transcurridos]]/360</f>
        <v>1.5944444444444446</v>
      </c>
    </row>
    <row r="195" spans="1:8" x14ac:dyDescent="0.3">
      <c r="A195" s="6">
        <v>194</v>
      </c>
      <c r="B195" s="6">
        <f>YEAR(Base1[[#This Row],[Fechas]])</f>
        <v>2024</v>
      </c>
      <c r="C195" s="6">
        <f>MONTH(Base1[[#This Row],[Fechas]])</f>
        <v>11</v>
      </c>
      <c r="D195" s="6">
        <f>DAY(Base1[[#This Row],[Fechas]])</f>
        <v>29</v>
      </c>
      <c r="E195" s="6" t="str">
        <f>TEXT(Base1[[#This Row],[Fechas]],"DDDD")</f>
        <v>viernes</v>
      </c>
      <c r="F195" s="6" t="str">
        <f>TEXT(Base1[[#This Row],[Fechas]],"MMMM")</f>
        <v>noviembre</v>
      </c>
      <c r="G195" s="6">
        <f ca="1">_xlfn.DAYS(TODAY(),Base1[[#This Row],[Fechas]])</f>
        <v>572</v>
      </c>
      <c r="H195" s="7">
        <f ca="1">BaseA[[#This Row],[Días Transcurridos]]/360</f>
        <v>1.5888888888888888</v>
      </c>
    </row>
    <row r="196" spans="1:8" x14ac:dyDescent="0.3">
      <c r="A196" s="6">
        <v>195</v>
      </c>
      <c r="B196" s="6">
        <f>YEAR(Base1[[#This Row],[Fechas]])</f>
        <v>2023</v>
      </c>
      <c r="C196" s="6">
        <f>MONTH(Base1[[#This Row],[Fechas]])</f>
        <v>8</v>
      </c>
      <c r="D196" s="6">
        <f>DAY(Base1[[#This Row],[Fechas]])</f>
        <v>15</v>
      </c>
      <c r="E196" s="6" t="str">
        <f>TEXT(Base1[[#This Row],[Fechas]],"DDDD")</f>
        <v>martes</v>
      </c>
      <c r="F196" s="6" t="str">
        <f>TEXT(Base1[[#This Row],[Fechas]],"MMMM")</f>
        <v>agosto</v>
      </c>
      <c r="G196" s="6">
        <f ca="1">_xlfn.DAYS(TODAY(),Base1[[#This Row],[Fechas]])</f>
        <v>1044</v>
      </c>
      <c r="H196" s="7">
        <f ca="1">BaseA[[#This Row],[Días Transcurridos]]/360</f>
        <v>2.9</v>
      </c>
    </row>
    <row r="197" spans="1:8" x14ac:dyDescent="0.3">
      <c r="A197" s="6">
        <v>196</v>
      </c>
      <c r="B197" s="6">
        <f>YEAR(Base1[[#This Row],[Fechas]])</f>
        <v>2025</v>
      </c>
      <c r="C197" s="6">
        <f>MONTH(Base1[[#This Row],[Fechas]])</f>
        <v>5</v>
      </c>
      <c r="D197" s="6">
        <f>DAY(Base1[[#This Row],[Fechas]])</f>
        <v>6</v>
      </c>
      <c r="E197" s="6" t="str">
        <f>TEXT(Base1[[#This Row],[Fechas]],"DDDD")</f>
        <v>martes</v>
      </c>
      <c r="F197" s="6" t="str">
        <f>TEXT(Base1[[#This Row],[Fechas]],"MMMM")</f>
        <v>mayo</v>
      </c>
      <c r="G197" s="6">
        <f ca="1">_xlfn.DAYS(TODAY(),Base1[[#This Row],[Fechas]])</f>
        <v>414</v>
      </c>
      <c r="H197" s="7">
        <f ca="1">BaseA[[#This Row],[Días Transcurridos]]/360</f>
        <v>1.1499999999999999</v>
      </c>
    </row>
    <row r="198" spans="1:8" x14ac:dyDescent="0.3">
      <c r="A198" s="6">
        <v>197</v>
      </c>
      <c r="B198" s="6">
        <f>YEAR(Base1[[#This Row],[Fechas]])</f>
        <v>2023</v>
      </c>
      <c r="C198" s="6">
        <f>MONTH(Base1[[#This Row],[Fechas]])</f>
        <v>11</v>
      </c>
      <c r="D198" s="6">
        <f>DAY(Base1[[#This Row],[Fechas]])</f>
        <v>20</v>
      </c>
      <c r="E198" s="6" t="str">
        <f>TEXT(Base1[[#This Row],[Fechas]],"DDDD")</f>
        <v>lunes</v>
      </c>
      <c r="F198" s="6" t="str">
        <f>TEXT(Base1[[#This Row],[Fechas]],"MMMM")</f>
        <v>noviembre</v>
      </c>
      <c r="G198" s="6">
        <f ca="1">_xlfn.DAYS(TODAY(),Base1[[#This Row],[Fechas]])</f>
        <v>947</v>
      </c>
      <c r="H198" s="7">
        <f ca="1">BaseA[[#This Row],[Días Transcurridos]]/360</f>
        <v>2.6305555555555555</v>
      </c>
    </row>
    <row r="199" spans="1:8" x14ac:dyDescent="0.3">
      <c r="A199" s="6">
        <v>198</v>
      </c>
      <c r="B199" s="6">
        <f>YEAR(Base1[[#This Row],[Fechas]])</f>
        <v>2024</v>
      </c>
      <c r="C199" s="6">
        <f>MONTH(Base1[[#This Row],[Fechas]])</f>
        <v>6</v>
      </c>
      <c r="D199" s="6">
        <f>DAY(Base1[[#This Row],[Fechas]])</f>
        <v>8</v>
      </c>
      <c r="E199" s="6" t="str">
        <f>TEXT(Base1[[#This Row],[Fechas]],"DDDD")</f>
        <v>sábado</v>
      </c>
      <c r="F199" s="6" t="str">
        <f>TEXT(Base1[[#This Row],[Fechas]],"MMMM")</f>
        <v>junio</v>
      </c>
      <c r="G199" s="6">
        <f ca="1">_xlfn.DAYS(TODAY(),Base1[[#This Row],[Fechas]])</f>
        <v>746</v>
      </c>
      <c r="H199" s="7">
        <f ca="1">BaseA[[#This Row],[Días Transcurridos]]/360</f>
        <v>2.0722222222222224</v>
      </c>
    </row>
    <row r="200" spans="1:8" x14ac:dyDescent="0.3">
      <c r="A200" s="6">
        <v>199</v>
      </c>
      <c r="B200" s="6">
        <f>YEAR(Base1[[#This Row],[Fechas]])</f>
        <v>2025</v>
      </c>
      <c r="C200" s="6">
        <f>MONTH(Base1[[#This Row],[Fechas]])</f>
        <v>5</v>
      </c>
      <c r="D200" s="6">
        <f>DAY(Base1[[#This Row],[Fechas]])</f>
        <v>23</v>
      </c>
      <c r="E200" s="6" t="str">
        <f>TEXT(Base1[[#This Row],[Fechas]],"DDDD")</f>
        <v>viernes</v>
      </c>
      <c r="F200" s="6" t="str">
        <f>TEXT(Base1[[#This Row],[Fechas]],"MMMM")</f>
        <v>mayo</v>
      </c>
      <c r="G200" s="6">
        <f ca="1">_xlfn.DAYS(TODAY(),Base1[[#This Row],[Fechas]])</f>
        <v>397</v>
      </c>
      <c r="H200" s="7">
        <f ca="1">BaseA[[#This Row],[Días Transcurridos]]/360</f>
        <v>1.1027777777777779</v>
      </c>
    </row>
    <row r="201" spans="1:8" x14ac:dyDescent="0.3">
      <c r="A201" s="6">
        <v>200</v>
      </c>
      <c r="B201" s="6">
        <f>YEAR(Base1[[#This Row],[Fechas]])</f>
        <v>2024</v>
      </c>
      <c r="C201" s="6">
        <f>MONTH(Base1[[#This Row],[Fechas]])</f>
        <v>4</v>
      </c>
      <c r="D201" s="6">
        <f>DAY(Base1[[#This Row],[Fechas]])</f>
        <v>21</v>
      </c>
      <c r="E201" s="6" t="str">
        <f>TEXT(Base1[[#This Row],[Fechas]],"DDDD")</f>
        <v>domingo</v>
      </c>
      <c r="F201" s="6" t="str">
        <f>TEXT(Base1[[#This Row],[Fechas]],"MMMM")</f>
        <v>abril</v>
      </c>
      <c r="G201" s="6">
        <f ca="1">_xlfn.DAYS(TODAY(),Base1[[#This Row],[Fechas]])</f>
        <v>794</v>
      </c>
      <c r="H201" s="7">
        <f ca="1">BaseA[[#This Row],[Días Transcurridos]]/360</f>
        <v>2.2055555555555557</v>
      </c>
    </row>
    <row r="202" spans="1:8" x14ac:dyDescent="0.3">
      <c r="A202" s="6">
        <v>201</v>
      </c>
      <c r="B202" s="6">
        <f>YEAR(Base1[[#This Row],[Fechas]])</f>
        <v>2024</v>
      </c>
      <c r="C202" s="6">
        <f>MONTH(Base1[[#This Row],[Fechas]])</f>
        <v>8</v>
      </c>
      <c r="D202" s="6">
        <f>DAY(Base1[[#This Row],[Fechas]])</f>
        <v>5</v>
      </c>
      <c r="E202" s="6" t="str">
        <f>TEXT(Base1[[#This Row],[Fechas]],"DDDD")</f>
        <v>lunes</v>
      </c>
      <c r="F202" s="6" t="str">
        <f>TEXT(Base1[[#This Row],[Fechas]],"MMMM")</f>
        <v>agosto</v>
      </c>
      <c r="G202" s="6">
        <f ca="1">_xlfn.DAYS(TODAY(),Base1[[#This Row],[Fechas]])</f>
        <v>688</v>
      </c>
      <c r="H202" s="7">
        <f ca="1">BaseA[[#This Row],[Días Transcurridos]]/360</f>
        <v>1.9111111111111112</v>
      </c>
    </row>
    <row r="203" spans="1:8" x14ac:dyDescent="0.3">
      <c r="A203" s="6">
        <v>202</v>
      </c>
      <c r="B203" s="6">
        <f>YEAR(Base1[[#This Row],[Fechas]])</f>
        <v>2025</v>
      </c>
      <c r="C203" s="6">
        <f>MONTH(Base1[[#This Row],[Fechas]])</f>
        <v>3</v>
      </c>
      <c r="D203" s="6">
        <f>DAY(Base1[[#This Row],[Fechas]])</f>
        <v>30</v>
      </c>
      <c r="E203" s="6" t="str">
        <f>TEXT(Base1[[#This Row],[Fechas]],"DDDD")</f>
        <v>domingo</v>
      </c>
      <c r="F203" s="6" t="str">
        <f>TEXT(Base1[[#This Row],[Fechas]],"MMMM")</f>
        <v>marzo</v>
      </c>
      <c r="G203" s="6">
        <f ca="1">_xlfn.DAYS(TODAY(),Base1[[#This Row],[Fechas]])</f>
        <v>451</v>
      </c>
      <c r="H203" s="7">
        <f ca="1">BaseA[[#This Row],[Días Transcurridos]]/360</f>
        <v>1.2527777777777778</v>
      </c>
    </row>
    <row r="204" spans="1:8" x14ac:dyDescent="0.3">
      <c r="A204" s="6">
        <v>203</v>
      </c>
      <c r="B204" s="6">
        <f>YEAR(Base1[[#This Row],[Fechas]])</f>
        <v>2023</v>
      </c>
      <c r="C204" s="6">
        <f>MONTH(Base1[[#This Row],[Fechas]])</f>
        <v>2</v>
      </c>
      <c r="D204" s="6">
        <f>DAY(Base1[[#This Row],[Fechas]])</f>
        <v>20</v>
      </c>
      <c r="E204" s="6" t="str">
        <f>TEXT(Base1[[#This Row],[Fechas]],"DDDD")</f>
        <v>lunes</v>
      </c>
      <c r="F204" s="6" t="str">
        <f>TEXT(Base1[[#This Row],[Fechas]],"MMMM")</f>
        <v>febrero</v>
      </c>
      <c r="G204" s="6">
        <f ca="1">_xlfn.DAYS(TODAY(),Base1[[#This Row],[Fechas]])</f>
        <v>1220</v>
      </c>
      <c r="H204" s="7">
        <f ca="1">BaseA[[#This Row],[Días Transcurridos]]/360</f>
        <v>3.3888888888888888</v>
      </c>
    </row>
    <row r="205" spans="1:8" x14ac:dyDescent="0.3">
      <c r="A205" s="6">
        <v>204</v>
      </c>
      <c r="B205" s="6">
        <f>YEAR(Base1[[#This Row],[Fechas]])</f>
        <v>2024</v>
      </c>
      <c r="C205" s="6">
        <f>MONTH(Base1[[#This Row],[Fechas]])</f>
        <v>10</v>
      </c>
      <c r="D205" s="6">
        <f>DAY(Base1[[#This Row],[Fechas]])</f>
        <v>1</v>
      </c>
      <c r="E205" s="6" t="str">
        <f>TEXT(Base1[[#This Row],[Fechas]],"DDDD")</f>
        <v>martes</v>
      </c>
      <c r="F205" s="6" t="str">
        <f>TEXT(Base1[[#This Row],[Fechas]],"MMMM")</f>
        <v>octubre</v>
      </c>
      <c r="G205" s="6">
        <f ca="1">_xlfn.DAYS(TODAY(),Base1[[#This Row],[Fechas]])</f>
        <v>631</v>
      </c>
      <c r="H205" s="7">
        <f ca="1">BaseA[[#This Row],[Días Transcurridos]]/360</f>
        <v>1.7527777777777778</v>
      </c>
    </row>
    <row r="206" spans="1:8" x14ac:dyDescent="0.3">
      <c r="A206" s="6">
        <v>205</v>
      </c>
      <c r="B206" s="6">
        <f>YEAR(Base1[[#This Row],[Fechas]])</f>
        <v>2025</v>
      </c>
      <c r="C206" s="6">
        <f>MONTH(Base1[[#This Row],[Fechas]])</f>
        <v>6</v>
      </c>
      <c r="D206" s="6">
        <f>DAY(Base1[[#This Row],[Fechas]])</f>
        <v>14</v>
      </c>
      <c r="E206" s="6" t="str">
        <f>TEXT(Base1[[#This Row],[Fechas]],"DDDD")</f>
        <v>sábado</v>
      </c>
      <c r="F206" s="6" t="str">
        <f>TEXT(Base1[[#This Row],[Fechas]],"MMMM")</f>
        <v>junio</v>
      </c>
      <c r="G206" s="6">
        <f ca="1">_xlfn.DAYS(TODAY(),Base1[[#This Row],[Fechas]])</f>
        <v>375</v>
      </c>
      <c r="H206" s="7">
        <f ca="1">BaseA[[#This Row],[Días Transcurridos]]/360</f>
        <v>1.0416666666666667</v>
      </c>
    </row>
    <row r="207" spans="1:8" x14ac:dyDescent="0.3">
      <c r="A207" s="6">
        <v>206</v>
      </c>
      <c r="B207" s="6">
        <f>YEAR(Base1[[#This Row],[Fechas]])</f>
        <v>2025</v>
      </c>
      <c r="C207" s="6">
        <f>MONTH(Base1[[#This Row],[Fechas]])</f>
        <v>11</v>
      </c>
      <c r="D207" s="6">
        <f>DAY(Base1[[#This Row],[Fechas]])</f>
        <v>28</v>
      </c>
      <c r="E207" s="6" t="str">
        <f>TEXT(Base1[[#This Row],[Fechas]],"DDDD")</f>
        <v>viernes</v>
      </c>
      <c r="F207" s="6" t="str">
        <f>TEXT(Base1[[#This Row],[Fechas]],"MMMM")</f>
        <v>noviembre</v>
      </c>
      <c r="G207" s="6">
        <f ca="1">_xlfn.DAYS(TODAY(),Base1[[#This Row],[Fechas]])</f>
        <v>208</v>
      </c>
      <c r="H207" s="7">
        <f ca="1">BaseA[[#This Row],[Días Transcurridos]]/360</f>
        <v>0.57777777777777772</v>
      </c>
    </row>
    <row r="208" spans="1:8" x14ac:dyDescent="0.3">
      <c r="A208" s="6">
        <v>207</v>
      </c>
      <c r="B208" s="6">
        <f>YEAR(Base1[[#This Row],[Fechas]])</f>
        <v>2024</v>
      </c>
      <c r="C208" s="6">
        <f>MONTH(Base1[[#This Row],[Fechas]])</f>
        <v>1</v>
      </c>
      <c r="D208" s="6">
        <f>DAY(Base1[[#This Row],[Fechas]])</f>
        <v>28</v>
      </c>
      <c r="E208" s="6" t="str">
        <f>TEXT(Base1[[#This Row],[Fechas]],"DDDD")</f>
        <v>domingo</v>
      </c>
      <c r="F208" s="6" t="str">
        <f>TEXT(Base1[[#This Row],[Fechas]],"MMMM")</f>
        <v>enero</v>
      </c>
      <c r="G208" s="6">
        <f ca="1">_xlfn.DAYS(TODAY(),Base1[[#This Row],[Fechas]])</f>
        <v>878</v>
      </c>
      <c r="H208" s="7">
        <f ca="1">BaseA[[#This Row],[Días Transcurridos]]/360</f>
        <v>2.4388888888888891</v>
      </c>
    </row>
    <row r="209" spans="1:8" x14ac:dyDescent="0.3">
      <c r="A209" s="6">
        <v>208</v>
      </c>
      <c r="B209" s="6">
        <f>YEAR(Base1[[#This Row],[Fechas]])</f>
        <v>2025</v>
      </c>
      <c r="C209" s="6">
        <f>MONTH(Base1[[#This Row],[Fechas]])</f>
        <v>4</v>
      </c>
      <c r="D209" s="6">
        <f>DAY(Base1[[#This Row],[Fechas]])</f>
        <v>29</v>
      </c>
      <c r="E209" s="6" t="str">
        <f>TEXT(Base1[[#This Row],[Fechas]],"DDDD")</f>
        <v>martes</v>
      </c>
      <c r="F209" s="6" t="str">
        <f>TEXT(Base1[[#This Row],[Fechas]],"MMMM")</f>
        <v>abril</v>
      </c>
      <c r="G209" s="6">
        <f ca="1">_xlfn.DAYS(TODAY(),Base1[[#This Row],[Fechas]])</f>
        <v>421</v>
      </c>
      <c r="H209" s="7">
        <f ca="1">BaseA[[#This Row],[Días Transcurridos]]/360</f>
        <v>1.1694444444444445</v>
      </c>
    </row>
    <row r="210" spans="1:8" x14ac:dyDescent="0.3">
      <c r="A210" s="6">
        <v>209</v>
      </c>
      <c r="B210" s="6">
        <f>YEAR(Base1[[#This Row],[Fechas]])</f>
        <v>2023</v>
      </c>
      <c r="C210" s="6">
        <f>MONTH(Base1[[#This Row],[Fechas]])</f>
        <v>3</v>
      </c>
      <c r="D210" s="6">
        <f>DAY(Base1[[#This Row],[Fechas]])</f>
        <v>3</v>
      </c>
      <c r="E210" s="6" t="str">
        <f>TEXT(Base1[[#This Row],[Fechas]],"DDDD")</f>
        <v>viernes</v>
      </c>
      <c r="F210" s="6" t="str">
        <f>TEXT(Base1[[#This Row],[Fechas]],"MMMM")</f>
        <v>marzo</v>
      </c>
      <c r="G210" s="6">
        <f ca="1">_xlfn.DAYS(TODAY(),Base1[[#This Row],[Fechas]])</f>
        <v>1209</v>
      </c>
      <c r="H210" s="7">
        <f ca="1">BaseA[[#This Row],[Días Transcurridos]]/360</f>
        <v>3.3583333333333334</v>
      </c>
    </row>
    <row r="211" spans="1:8" x14ac:dyDescent="0.3">
      <c r="A211" s="6">
        <v>210</v>
      </c>
      <c r="B211" s="6">
        <f>YEAR(Base1[[#This Row],[Fechas]])</f>
        <v>2025</v>
      </c>
      <c r="C211" s="6">
        <f>MONTH(Base1[[#This Row],[Fechas]])</f>
        <v>6</v>
      </c>
      <c r="D211" s="6">
        <f>DAY(Base1[[#This Row],[Fechas]])</f>
        <v>25</v>
      </c>
      <c r="E211" s="6" t="str">
        <f>TEXT(Base1[[#This Row],[Fechas]],"DDDD")</f>
        <v>miércoles</v>
      </c>
      <c r="F211" s="6" t="str">
        <f>TEXT(Base1[[#This Row],[Fechas]],"MMMM")</f>
        <v>junio</v>
      </c>
      <c r="G211" s="6">
        <f ca="1">_xlfn.DAYS(TODAY(),Base1[[#This Row],[Fechas]])</f>
        <v>364</v>
      </c>
      <c r="H211" s="7">
        <f ca="1">BaseA[[#This Row],[Días Transcurridos]]/360</f>
        <v>1.0111111111111111</v>
      </c>
    </row>
    <row r="212" spans="1:8" x14ac:dyDescent="0.3">
      <c r="A212" s="6">
        <v>211</v>
      </c>
      <c r="B212" s="6">
        <f>YEAR(Base1[[#This Row],[Fechas]])</f>
        <v>2023</v>
      </c>
      <c r="C212" s="6">
        <f>MONTH(Base1[[#This Row],[Fechas]])</f>
        <v>2</v>
      </c>
      <c r="D212" s="6">
        <f>DAY(Base1[[#This Row],[Fechas]])</f>
        <v>15</v>
      </c>
      <c r="E212" s="6" t="str">
        <f>TEXT(Base1[[#This Row],[Fechas]],"DDDD")</f>
        <v>miércoles</v>
      </c>
      <c r="F212" s="6" t="str">
        <f>TEXT(Base1[[#This Row],[Fechas]],"MMMM")</f>
        <v>febrero</v>
      </c>
      <c r="G212" s="6">
        <f ca="1">_xlfn.DAYS(TODAY(),Base1[[#This Row],[Fechas]])</f>
        <v>1225</v>
      </c>
      <c r="H212" s="7">
        <f ca="1">BaseA[[#This Row],[Días Transcurridos]]/360</f>
        <v>3.4027777777777777</v>
      </c>
    </row>
    <row r="213" spans="1:8" x14ac:dyDescent="0.3">
      <c r="A213" s="6">
        <v>212</v>
      </c>
      <c r="B213" s="6">
        <f>YEAR(Base1[[#This Row],[Fechas]])</f>
        <v>2025</v>
      </c>
      <c r="C213" s="6">
        <f>MONTH(Base1[[#This Row],[Fechas]])</f>
        <v>1</v>
      </c>
      <c r="D213" s="6">
        <f>DAY(Base1[[#This Row],[Fechas]])</f>
        <v>9</v>
      </c>
      <c r="E213" s="6" t="str">
        <f>TEXT(Base1[[#This Row],[Fechas]],"DDDD")</f>
        <v>jueves</v>
      </c>
      <c r="F213" s="6" t="str">
        <f>TEXT(Base1[[#This Row],[Fechas]],"MMMM")</f>
        <v>enero</v>
      </c>
      <c r="G213" s="6">
        <f ca="1">_xlfn.DAYS(TODAY(),Base1[[#This Row],[Fechas]])</f>
        <v>531</v>
      </c>
      <c r="H213" s="7">
        <f ca="1">BaseA[[#This Row],[Días Transcurridos]]/360</f>
        <v>1.4750000000000001</v>
      </c>
    </row>
    <row r="214" spans="1:8" x14ac:dyDescent="0.3">
      <c r="A214" s="6">
        <v>213</v>
      </c>
      <c r="B214" s="6">
        <f>YEAR(Base1[[#This Row],[Fechas]])</f>
        <v>2023</v>
      </c>
      <c r="C214" s="6">
        <f>MONTH(Base1[[#This Row],[Fechas]])</f>
        <v>7</v>
      </c>
      <c r="D214" s="6">
        <f>DAY(Base1[[#This Row],[Fechas]])</f>
        <v>28</v>
      </c>
      <c r="E214" s="6" t="str">
        <f>TEXT(Base1[[#This Row],[Fechas]],"DDDD")</f>
        <v>viernes</v>
      </c>
      <c r="F214" s="6" t="str">
        <f>TEXT(Base1[[#This Row],[Fechas]],"MMMM")</f>
        <v>julio</v>
      </c>
      <c r="G214" s="6">
        <f ca="1">_xlfn.DAYS(TODAY(),Base1[[#This Row],[Fechas]])</f>
        <v>1062</v>
      </c>
      <c r="H214" s="7">
        <f ca="1">BaseA[[#This Row],[Días Transcurridos]]/360</f>
        <v>2.95</v>
      </c>
    </row>
    <row r="215" spans="1:8" x14ac:dyDescent="0.3">
      <c r="A215" s="6">
        <v>214</v>
      </c>
      <c r="B215" s="6">
        <f>YEAR(Base1[[#This Row],[Fechas]])</f>
        <v>2025</v>
      </c>
      <c r="C215" s="6">
        <f>MONTH(Base1[[#This Row],[Fechas]])</f>
        <v>10</v>
      </c>
      <c r="D215" s="6">
        <f>DAY(Base1[[#This Row],[Fechas]])</f>
        <v>9</v>
      </c>
      <c r="E215" s="6" t="str">
        <f>TEXT(Base1[[#This Row],[Fechas]],"DDDD")</f>
        <v>jueves</v>
      </c>
      <c r="F215" s="6" t="str">
        <f>TEXT(Base1[[#This Row],[Fechas]],"MMMM")</f>
        <v>octubre</v>
      </c>
      <c r="G215" s="6">
        <f ca="1">_xlfn.DAYS(TODAY(),Base1[[#This Row],[Fechas]])</f>
        <v>258</v>
      </c>
      <c r="H215" s="7">
        <f ca="1">BaseA[[#This Row],[Días Transcurridos]]/360</f>
        <v>0.71666666666666667</v>
      </c>
    </row>
    <row r="216" spans="1:8" x14ac:dyDescent="0.3">
      <c r="A216" s="6">
        <v>215</v>
      </c>
      <c r="B216" s="6">
        <f>YEAR(Base1[[#This Row],[Fechas]])</f>
        <v>2025</v>
      </c>
      <c r="C216" s="6">
        <f>MONTH(Base1[[#This Row],[Fechas]])</f>
        <v>3</v>
      </c>
      <c r="D216" s="6">
        <f>DAY(Base1[[#This Row],[Fechas]])</f>
        <v>2</v>
      </c>
      <c r="E216" s="6" t="str">
        <f>TEXT(Base1[[#This Row],[Fechas]],"DDDD")</f>
        <v>domingo</v>
      </c>
      <c r="F216" s="6" t="str">
        <f>TEXT(Base1[[#This Row],[Fechas]],"MMMM")</f>
        <v>marzo</v>
      </c>
      <c r="G216" s="6">
        <f ca="1">_xlfn.DAYS(TODAY(),Base1[[#This Row],[Fechas]])</f>
        <v>479</v>
      </c>
      <c r="H216" s="7">
        <f ca="1">BaseA[[#This Row],[Días Transcurridos]]/360</f>
        <v>1.3305555555555555</v>
      </c>
    </row>
    <row r="217" spans="1:8" x14ac:dyDescent="0.3">
      <c r="A217" s="6">
        <v>216</v>
      </c>
      <c r="B217" s="6">
        <f>YEAR(Base1[[#This Row],[Fechas]])</f>
        <v>2023</v>
      </c>
      <c r="C217" s="6">
        <f>MONTH(Base1[[#This Row],[Fechas]])</f>
        <v>9</v>
      </c>
      <c r="D217" s="6">
        <f>DAY(Base1[[#This Row],[Fechas]])</f>
        <v>4</v>
      </c>
      <c r="E217" s="6" t="str">
        <f>TEXT(Base1[[#This Row],[Fechas]],"DDDD")</f>
        <v>lunes</v>
      </c>
      <c r="F217" s="6" t="str">
        <f>TEXT(Base1[[#This Row],[Fechas]],"MMMM")</f>
        <v>septiembre</v>
      </c>
      <c r="G217" s="6">
        <f ca="1">_xlfn.DAYS(TODAY(),Base1[[#This Row],[Fechas]])</f>
        <v>1024</v>
      </c>
      <c r="H217" s="7">
        <f ca="1">BaseA[[#This Row],[Días Transcurridos]]/360</f>
        <v>2.8444444444444446</v>
      </c>
    </row>
    <row r="218" spans="1:8" x14ac:dyDescent="0.3">
      <c r="A218" s="6">
        <v>217</v>
      </c>
      <c r="B218" s="6">
        <f>YEAR(Base1[[#This Row],[Fechas]])</f>
        <v>2025</v>
      </c>
      <c r="C218" s="6">
        <f>MONTH(Base1[[#This Row],[Fechas]])</f>
        <v>4</v>
      </c>
      <c r="D218" s="6">
        <f>DAY(Base1[[#This Row],[Fechas]])</f>
        <v>8</v>
      </c>
      <c r="E218" s="6" t="str">
        <f>TEXT(Base1[[#This Row],[Fechas]],"DDDD")</f>
        <v>martes</v>
      </c>
      <c r="F218" s="6" t="str">
        <f>TEXT(Base1[[#This Row],[Fechas]],"MMMM")</f>
        <v>abril</v>
      </c>
      <c r="G218" s="6">
        <f ca="1">_xlfn.DAYS(TODAY(),Base1[[#This Row],[Fechas]])</f>
        <v>442</v>
      </c>
      <c r="H218" s="7">
        <f ca="1">BaseA[[#This Row],[Días Transcurridos]]/360</f>
        <v>1.2277777777777779</v>
      </c>
    </row>
    <row r="219" spans="1:8" x14ac:dyDescent="0.3">
      <c r="A219" s="6">
        <v>218</v>
      </c>
      <c r="B219" s="6">
        <f>YEAR(Base1[[#This Row],[Fechas]])</f>
        <v>2024</v>
      </c>
      <c r="C219" s="6">
        <f>MONTH(Base1[[#This Row],[Fechas]])</f>
        <v>9</v>
      </c>
      <c r="D219" s="6">
        <f>DAY(Base1[[#This Row],[Fechas]])</f>
        <v>29</v>
      </c>
      <c r="E219" s="6" t="str">
        <f>TEXT(Base1[[#This Row],[Fechas]],"DDDD")</f>
        <v>domingo</v>
      </c>
      <c r="F219" s="6" t="str">
        <f>TEXT(Base1[[#This Row],[Fechas]],"MMMM")</f>
        <v>septiembre</v>
      </c>
      <c r="G219" s="6">
        <f ca="1">_xlfn.DAYS(TODAY(),Base1[[#This Row],[Fechas]])</f>
        <v>633</v>
      </c>
      <c r="H219" s="7">
        <f ca="1">BaseA[[#This Row],[Días Transcurridos]]/360</f>
        <v>1.7583333333333333</v>
      </c>
    </row>
    <row r="220" spans="1:8" x14ac:dyDescent="0.3">
      <c r="A220" s="6">
        <v>219</v>
      </c>
      <c r="B220" s="6">
        <f>YEAR(Base1[[#This Row],[Fechas]])</f>
        <v>2025</v>
      </c>
      <c r="C220" s="6">
        <f>MONTH(Base1[[#This Row],[Fechas]])</f>
        <v>8</v>
      </c>
      <c r="D220" s="6">
        <f>DAY(Base1[[#This Row],[Fechas]])</f>
        <v>25</v>
      </c>
      <c r="E220" s="6" t="str">
        <f>TEXT(Base1[[#This Row],[Fechas]],"DDDD")</f>
        <v>lunes</v>
      </c>
      <c r="F220" s="6" t="str">
        <f>TEXT(Base1[[#This Row],[Fechas]],"MMMM")</f>
        <v>agosto</v>
      </c>
      <c r="G220" s="6">
        <f ca="1">_xlfn.DAYS(TODAY(),Base1[[#This Row],[Fechas]])</f>
        <v>303</v>
      </c>
      <c r="H220" s="7">
        <f ca="1">BaseA[[#This Row],[Días Transcurridos]]/360</f>
        <v>0.84166666666666667</v>
      </c>
    </row>
    <row r="221" spans="1:8" x14ac:dyDescent="0.3">
      <c r="A221" s="6">
        <v>220</v>
      </c>
      <c r="B221" s="6">
        <f>YEAR(Base1[[#This Row],[Fechas]])</f>
        <v>2025</v>
      </c>
      <c r="C221" s="6">
        <f>MONTH(Base1[[#This Row],[Fechas]])</f>
        <v>10</v>
      </c>
      <c r="D221" s="6">
        <f>DAY(Base1[[#This Row],[Fechas]])</f>
        <v>17</v>
      </c>
      <c r="E221" s="6" t="str">
        <f>TEXT(Base1[[#This Row],[Fechas]],"DDDD")</f>
        <v>viernes</v>
      </c>
      <c r="F221" s="6" t="str">
        <f>TEXT(Base1[[#This Row],[Fechas]],"MMMM")</f>
        <v>octubre</v>
      </c>
      <c r="G221" s="6">
        <f ca="1">_xlfn.DAYS(TODAY(),Base1[[#This Row],[Fechas]])</f>
        <v>250</v>
      </c>
      <c r="H221" s="7">
        <f ca="1">BaseA[[#This Row],[Días Transcurridos]]/360</f>
        <v>0.69444444444444442</v>
      </c>
    </row>
    <row r="222" spans="1:8" x14ac:dyDescent="0.3">
      <c r="A222" s="6">
        <v>221</v>
      </c>
      <c r="B222" s="6">
        <f>YEAR(Base1[[#This Row],[Fechas]])</f>
        <v>2024</v>
      </c>
      <c r="C222" s="6">
        <f>MONTH(Base1[[#This Row],[Fechas]])</f>
        <v>7</v>
      </c>
      <c r="D222" s="6">
        <f>DAY(Base1[[#This Row],[Fechas]])</f>
        <v>15</v>
      </c>
      <c r="E222" s="6" t="str">
        <f>TEXT(Base1[[#This Row],[Fechas]],"DDDD")</f>
        <v>lunes</v>
      </c>
      <c r="F222" s="6" t="str">
        <f>TEXT(Base1[[#This Row],[Fechas]],"MMMM")</f>
        <v>julio</v>
      </c>
      <c r="G222" s="6">
        <f ca="1">_xlfn.DAYS(TODAY(),Base1[[#This Row],[Fechas]])</f>
        <v>709</v>
      </c>
      <c r="H222" s="7">
        <f ca="1">BaseA[[#This Row],[Días Transcurridos]]/360</f>
        <v>1.9694444444444446</v>
      </c>
    </row>
    <row r="223" spans="1:8" x14ac:dyDescent="0.3">
      <c r="A223" s="6">
        <v>222</v>
      </c>
      <c r="B223" s="6">
        <f>YEAR(Base1[[#This Row],[Fechas]])</f>
        <v>2024</v>
      </c>
      <c r="C223" s="6">
        <f>MONTH(Base1[[#This Row],[Fechas]])</f>
        <v>1</v>
      </c>
      <c r="D223" s="6">
        <f>DAY(Base1[[#This Row],[Fechas]])</f>
        <v>20</v>
      </c>
      <c r="E223" s="6" t="str">
        <f>TEXT(Base1[[#This Row],[Fechas]],"DDDD")</f>
        <v>sábado</v>
      </c>
      <c r="F223" s="6" t="str">
        <f>TEXT(Base1[[#This Row],[Fechas]],"MMMM")</f>
        <v>enero</v>
      </c>
      <c r="G223" s="6">
        <f ca="1">_xlfn.DAYS(TODAY(),Base1[[#This Row],[Fechas]])</f>
        <v>886</v>
      </c>
      <c r="H223" s="7">
        <f ca="1">BaseA[[#This Row],[Días Transcurridos]]/360</f>
        <v>2.4611111111111112</v>
      </c>
    </row>
    <row r="224" spans="1:8" x14ac:dyDescent="0.3">
      <c r="A224" s="6">
        <v>223</v>
      </c>
      <c r="B224" s="6">
        <f>YEAR(Base1[[#This Row],[Fechas]])</f>
        <v>2023</v>
      </c>
      <c r="C224" s="6">
        <f>MONTH(Base1[[#This Row],[Fechas]])</f>
        <v>8</v>
      </c>
      <c r="D224" s="6">
        <f>DAY(Base1[[#This Row],[Fechas]])</f>
        <v>3</v>
      </c>
      <c r="E224" s="6" t="str">
        <f>TEXT(Base1[[#This Row],[Fechas]],"DDDD")</f>
        <v>jueves</v>
      </c>
      <c r="F224" s="6" t="str">
        <f>TEXT(Base1[[#This Row],[Fechas]],"MMMM")</f>
        <v>agosto</v>
      </c>
      <c r="G224" s="6">
        <f ca="1">_xlfn.DAYS(TODAY(),Base1[[#This Row],[Fechas]])</f>
        <v>1056</v>
      </c>
      <c r="H224" s="7">
        <f ca="1">BaseA[[#This Row],[Días Transcurridos]]/360</f>
        <v>2.9333333333333331</v>
      </c>
    </row>
    <row r="225" spans="1:8" x14ac:dyDescent="0.3">
      <c r="A225" s="6">
        <v>224</v>
      </c>
      <c r="B225" s="6">
        <f>YEAR(Base1[[#This Row],[Fechas]])</f>
        <v>2024</v>
      </c>
      <c r="C225" s="6">
        <f>MONTH(Base1[[#This Row],[Fechas]])</f>
        <v>1</v>
      </c>
      <c r="D225" s="6">
        <f>DAY(Base1[[#This Row],[Fechas]])</f>
        <v>11</v>
      </c>
      <c r="E225" s="6" t="str">
        <f>TEXT(Base1[[#This Row],[Fechas]],"DDDD")</f>
        <v>jueves</v>
      </c>
      <c r="F225" s="6" t="str">
        <f>TEXT(Base1[[#This Row],[Fechas]],"MMMM")</f>
        <v>enero</v>
      </c>
      <c r="G225" s="6">
        <f ca="1">_xlfn.DAYS(TODAY(),Base1[[#This Row],[Fechas]])</f>
        <v>895</v>
      </c>
      <c r="H225" s="7">
        <f ca="1">BaseA[[#This Row],[Días Transcurridos]]/360</f>
        <v>2.4861111111111112</v>
      </c>
    </row>
    <row r="226" spans="1:8" x14ac:dyDescent="0.3">
      <c r="A226" s="6">
        <v>225</v>
      </c>
      <c r="B226" s="6">
        <f>YEAR(Base1[[#This Row],[Fechas]])</f>
        <v>2025</v>
      </c>
      <c r="C226" s="6">
        <f>MONTH(Base1[[#This Row],[Fechas]])</f>
        <v>10</v>
      </c>
      <c r="D226" s="6">
        <f>DAY(Base1[[#This Row],[Fechas]])</f>
        <v>9</v>
      </c>
      <c r="E226" s="6" t="str">
        <f>TEXT(Base1[[#This Row],[Fechas]],"DDDD")</f>
        <v>jueves</v>
      </c>
      <c r="F226" s="6" t="str">
        <f>TEXT(Base1[[#This Row],[Fechas]],"MMMM")</f>
        <v>octubre</v>
      </c>
      <c r="G226" s="6">
        <f ca="1">_xlfn.DAYS(TODAY(),Base1[[#This Row],[Fechas]])</f>
        <v>258</v>
      </c>
      <c r="H226" s="7">
        <f ca="1">BaseA[[#This Row],[Días Transcurridos]]/360</f>
        <v>0.71666666666666667</v>
      </c>
    </row>
    <row r="227" spans="1:8" x14ac:dyDescent="0.3">
      <c r="A227" s="6">
        <v>226</v>
      </c>
      <c r="B227" s="6">
        <f>YEAR(Base1[[#This Row],[Fechas]])</f>
        <v>2025</v>
      </c>
      <c r="C227" s="6">
        <f>MONTH(Base1[[#This Row],[Fechas]])</f>
        <v>3</v>
      </c>
      <c r="D227" s="6">
        <f>DAY(Base1[[#This Row],[Fechas]])</f>
        <v>24</v>
      </c>
      <c r="E227" s="6" t="str">
        <f>TEXT(Base1[[#This Row],[Fechas]],"DDDD")</f>
        <v>lunes</v>
      </c>
      <c r="F227" s="6" t="str">
        <f>TEXT(Base1[[#This Row],[Fechas]],"MMMM")</f>
        <v>marzo</v>
      </c>
      <c r="G227" s="6">
        <f ca="1">_xlfn.DAYS(TODAY(),Base1[[#This Row],[Fechas]])</f>
        <v>457</v>
      </c>
      <c r="H227" s="7">
        <f ca="1">BaseA[[#This Row],[Días Transcurridos]]/360</f>
        <v>1.2694444444444444</v>
      </c>
    </row>
    <row r="228" spans="1:8" x14ac:dyDescent="0.3">
      <c r="A228" s="6">
        <v>227</v>
      </c>
      <c r="B228" s="6">
        <f>YEAR(Base1[[#This Row],[Fechas]])</f>
        <v>2025</v>
      </c>
      <c r="C228" s="6">
        <f>MONTH(Base1[[#This Row],[Fechas]])</f>
        <v>5</v>
      </c>
      <c r="D228" s="6">
        <f>DAY(Base1[[#This Row],[Fechas]])</f>
        <v>17</v>
      </c>
      <c r="E228" s="6" t="str">
        <f>TEXT(Base1[[#This Row],[Fechas]],"DDDD")</f>
        <v>sábado</v>
      </c>
      <c r="F228" s="6" t="str">
        <f>TEXT(Base1[[#This Row],[Fechas]],"MMMM")</f>
        <v>mayo</v>
      </c>
      <c r="G228" s="6">
        <f ca="1">_xlfn.DAYS(TODAY(),Base1[[#This Row],[Fechas]])</f>
        <v>403</v>
      </c>
      <c r="H228" s="7">
        <f ca="1">BaseA[[#This Row],[Días Transcurridos]]/360</f>
        <v>1.1194444444444445</v>
      </c>
    </row>
    <row r="229" spans="1:8" x14ac:dyDescent="0.3">
      <c r="A229" s="6">
        <v>228</v>
      </c>
      <c r="B229" s="6">
        <f>YEAR(Base1[[#This Row],[Fechas]])</f>
        <v>2023</v>
      </c>
      <c r="C229" s="6">
        <f>MONTH(Base1[[#This Row],[Fechas]])</f>
        <v>4</v>
      </c>
      <c r="D229" s="6">
        <f>DAY(Base1[[#This Row],[Fechas]])</f>
        <v>12</v>
      </c>
      <c r="E229" s="6" t="str">
        <f>TEXT(Base1[[#This Row],[Fechas]],"DDDD")</f>
        <v>miércoles</v>
      </c>
      <c r="F229" s="6" t="str">
        <f>TEXT(Base1[[#This Row],[Fechas]],"MMMM")</f>
        <v>abril</v>
      </c>
      <c r="G229" s="6">
        <f ca="1">_xlfn.DAYS(TODAY(),Base1[[#This Row],[Fechas]])</f>
        <v>1169</v>
      </c>
      <c r="H229" s="7">
        <f ca="1">BaseA[[#This Row],[Días Transcurridos]]/360</f>
        <v>3.2472222222222222</v>
      </c>
    </row>
    <row r="230" spans="1:8" x14ac:dyDescent="0.3">
      <c r="A230" s="6">
        <v>229</v>
      </c>
      <c r="B230" s="6">
        <f>YEAR(Base1[[#This Row],[Fechas]])</f>
        <v>2025</v>
      </c>
      <c r="C230" s="6">
        <f>MONTH(Base1[[#This Row],[Fechas]])</f>
        <v>11</v>
      </c>
      <c r="D230" s="6">
        <f>DAY(Base1[[#This Row],[Fechas]])</f>
        <v>8</v>
      </c>
      <c r="E230" s="6" t="str">
        <f>TEXT(Base1[[#This Row],[Fechas]],"DDDD")</f>
        <v>sábado</v>
      </c>
      <c r="F230" s="6" t="str">
        <f>TEXT(Base1[[#This Row],[Fechas]],"MMMM")</f>
        <v>noviembre</v>
      </c>
      <c r="G230" s="6">
        <f ca="1">_xlfn.DAYS(TODAY(),Base1[[#This Row],[Fechas]])</f>
        <v>228</v>
      </c>
      <c r="H230" s="7">
        <f ca="1">BaseA[[#This Row],[Días Transcurridos]]/360</f>
        <v>0.6333333333333333</v>
      </c>
    </row>
    <row r="231" spans="1:8" x14ac:dyDescent="0.3">
      <c r="A231" s="6">
        <v>230</v>
      </c>
      <c r="B231" s="6">
        <f>YEAR(Base1[[#This Row],[Fechas]])</f>
        <v>2025</v>
      </c>
      <c r="C231" s="6">
        <f>MONTH(Base1[[#This Row],[Fechas]])</f>
        <v>10</v>
      </c>
      <c r="D231" s="6">
        <f>DAY(Base1[[#This Row],[Fechas]])</f>
        <v>24</v>
      </c>
      <c r="E231" s="6" t="str">
        <f>TEXT(Base1[[#This Row],[Fechas]],"DDDD")</f>
        <v>viernes</v>
      </c>
      <c r="F231" s="6" t="str">
        <f>TEXT(Base1[[#This Row],[Fechas]],"MMMM")</f>
        <v>octubre</v>
      </c>
      <c r="G231" s="6">
        <f ca="1">_xlfn.DAYS(TODAY(),Base1[[#This Row],[Fechas]])</f>
        <v>243</v>
      </c>
      <c r="H231" s="7">
        <f ca="1">BaseA[[#This Row],[Días Transcurridos]]/360</f>
        <v>0.67500000000000004</v>
      </c>
    </row>
    <row r="232" spans="1:8" x14ac:dyDescent="0.3">
      <c r="A232" s="6">
        <v>231</v>
      </c>
      <c r="B232" s="6">
        <f>YEAR(Base1[[#This Row],[Fechas]])</f>
        <v>2024</v>
      </c>
      <c r="C232" s="6">
        <f>MONTH(Base1[[#This Row],[Fechas]])</f>
        <v>2</v>
      </c>
      <c r="D232" s="6">
        <f>DAY(Base1[[#This Row],[Fechas]])</f>
        <v>20</v>
      </c>
      <c r="E232" s="6" t="str">
        <f>TEXT(Base1[[#This Row],[Fechas]],"DDDD")</f>
        <v>martes</v>
      </c>
      <c r="F232" s="6" t="str">
        <f>TEXT(Base1[[#This Row],[Fechas]],"MMMM")</f>
        <v>febrero</v>
      </c>
      <c r="G232" s="6">
        <f ca="1">_xlfn.DAYS(TODAY(),Base1[[#This Row],[Fechas]])</f>
        <v>855</v>
      </c>
      <c r="H232" s="7">
        <f ca="1">BaseA[[#This Row],[Días Transcurridos]]/360</f>
        <v>2.375</v>
      </c>
    </row>
    <row r="233" spans="1:8" x14ac:dyDescent="0.3">
      <c r="A233" s="6">
        <v>232</v>
      </c>
      <c r="B233" s="6">
        <f>YEAR(Base1[[#This Row],[Fechas]])</f>
        <v>2024</v>
      </c>
      <c r="C233" s="6">
        <f>MONTH(Base1[[#This Row],[Fechas]])</f>
        <v>2</v>
      </c>
      <c r="D233" s="6">
        <f>DAY(Base1[[#This Row],[Fechas]])</f>
        <v>24</v>
      </c>
      <c r="E233" s="6" t="str">
        <f>TEXT(Base1[[#This Row],[Fechas]],"DDDD")</f>
        <v>sábado</v>
      </c>
      <c r="F233" s="6" t="str">
        <f>TEXT(Base1[[#This Row],[Fechas]],"MMMM")</f>
        <v>febrero</v>
      </c>
      <c r="G233" s="6">
        <f ca="1">_xlfn.DAYS(TODAY(),Base1[[#This Row],[Fechas]])</f>
        <v>851</v>
      </c>
      <c r="H233" s="7">
        <f ca="1">BaseA[[#This Row],[Días Transcurridos]]/360</f>
        <v>2.3638888888888889</v>
      </c>
    </row>
    <row r="234" spans="1:8" x14ac:dyDescent="0.3">
      <c r="A234" s="6">
        <v>233</v>
      </c>
      <c r="B234" s="6">
        <f>YEAR(Base1[[#This Row],[Fechas]])</f>
        <v>2024</v>
      </c>
      <c r="C234" s="6">
        <f>MONTH(Base1[[#This Row],[Fechas]])</f>
        <v>10</v>
      </c>
      <c r="D234" s="6">
        <f>DAY(Base1[[#This Row],[Fechas]])</f>
        <v>14</v>
      </c>
      <c r="E234" s="6" t="str">
        <f>TEXT(Base1[[#This Row],[Fechas]],"DDDD")</f>
        <v>lunes</v>
      </c>
      <c r="F234" s="6" t="str">
        <f>TEXT(Base1[[#This Row],[Fechas]],"MMMM")</f>
        <v>octubre</v>
      </c>
      <c r="G234" s="6">
        <f ca="1">_xlfn.DAYS(TODAY(),Base1[[#This Row],[Fechas]])</f>
        <v>618</v>
      </c>
      <c r="H234" s="7">
        <f ca="1">BaseA[[#This Row],[Días Transcurridos]]/360</f>
        <v>1.7166666666666666</v>
      </c>
    </row>
    <row r="235" spans="1:8" x14ac:dyDescent="0.3">
      <c r="A235" s="6">
        <v>234</v>
      </c>
      <c r="B235" s="6">
        <f>YEAR(Base1[[#This Row],[Fechas]])</f>
        <v>2025</v>
      </c>
      <c r="C235" s="6">
        <f>MONTH(Base1[[#This Row],[Fechas]])</f>
        <v>1</v>
      </c>
      <c r="D235" s="6">
        <f>DAY(Base1[[#This Row],[Fechas]])</f>
        <v>7</v>
      </c>
      <c r="E235" s="6" t="str">
        <f>TEXT(Base1[[#This Row],[Fechas]],"DDDD")</f>
        <v>martes</v>
      </c>
      <c r="F235" s="6" t="str">
        <f>TEXT(Base1[[#This Row],[Fechas]],"MMMM")</f>
        <v>enero</v>
      </c>
      <c r="G235" s="6">
        <f ca="1">_xlfn.DAYS(TODAY(),Base1[[#This Row],[Fechas]])</f>
        <v>533</v>
      </c>
      <c r="H235" s="7">
        <f ca="1">BaseA[[#This Row],[Días Transcurridos]]/360</f>
        <v>1.4805555555555556</v>
      </c>
    </row>
    <row r="236" spans="1:8" x14ac:dyDescent="0.3">
      <c r="A236" s="6">
        <v>235</v>
      </c>
      <c r="B236" s="6">
        <f>YEAR(Base1[[#This Row],[Fechas]])</f>
        <v>2025</v>
      </c>
      <c r="C236" s="6">
        <f>MONTH(Base1[[#This Row],[Fechas]])</f>
        <v>9</v>
      </c>
      <c r="D236" s="6">
        <f>DAY(Base1[[#This Row],[Fechas]])</f>
        <v>7</v>
      </c>
      <c r="E236" s="6" t="str">
        <f>TEXT(Base1[[#This Row],[Fechas]],"DDDD")</f>
        <v>domingo</v>
      </c>
      <c r="F236" s="6" t="str">
        <f>TEXT(Base1[[#This Row],[Fechas]],"MMMM")</f>
        <v>septiembre</v>
      </c>
      <c r="G236" s="6">
        <f ca="1">_xlfn.DAYS(TODAY(),Base1[[#This Row],[Fechas]])</f>
        <v>290</v>
      </c>
      <c r="H236" s="7">
        <f ca="1">BaseA[[#This Row],[Días Transcurridos]]/360</f>
        <v>0.80555555555555558</v>
      </c>
    </row>
    <row r="237" spans="1:8" x14ac:dyDescent="0.3">
      <c r="A237" s="6">
        <v>236</v>
      </c>
      <c r="B237" s="6">
        <f>YEAR(Base1[[#This Row],[Fechas]])</f>
        <v>2024</v>
      </c>
      <c r="C237" s="6">
        <f>MONTH(Base1[[#This Row],[Fechas]])</f>
        <v>7</v>
      </c>
      <c r="D237" s="6">
        <f>DAY(Base1[[#This Row],[Fechas]])</f>
        <v>29</v>
      </c>
      <c r="E237" s="6" t="str">
        <f>TEXT(Base1[[#This Row],[Fechas]],"DDDD")</f>
        <v>lunes</v>
      </c>
      <c r="F237" s="6" t="str">
        <f>TEXT(Base1[[#This Row],[Fechas]],"MMMM")</f>
        <v>julio</v>
      </c>
      <c r="G237" s="6">
        <f ca="1">_xlfn.DAYS(TODAY(),Base1[[#This Row],[Fechas]])</f>
        <v>695</v>
      </c>
      <c r="H237" s="7">
        <f ca="1">BaseA[[#This Row],[Días Transcurridos]]/360</f>
        <v>1.9305555555555556</v>
      </c>
    </row>
    <row r="238" spans="1:8" x14ac:dyDescent="0.3">
      <c r="A238" s="6">
        <v>237</v>
      </c>
      <c r="B238" s="6">
        <f>YEAR(Base1[[#This Row],[Fechas]])</f>
        <v>2023</v>
      </c>
      <c r="C238" s="6">
        <f>MONTH(Base1[[#This Row],[Fechas]])</f>
        <v>4</v>
      </c>
      <c r="D238" s="6">
        <f>DAY(Base1[[#This Row],[Fechas]])</f>
        <v>7</v>
      </c>
      <c r="E238" s="6" t="str">
        <f>TEXT(Base1[[#This Row],[Fechas]],"DDDD")</f>
        <v>viernes</v>
      </c>
      <c r="F238" s="6" t="str">
        <f>TEXT(Base1[[#This Row],[Fechas]],"MMMM")</f>
        <v>abril</v>
      </c>
      <c r="G238" s="6">
        <f ca="1">_xlfn.DAYS(TODAY(),Base1[[#This Row],[Fechas]])</f>
        <v>1174</v>
      </c>
      <c r="H238" s="7">
        <f ca="1">BaseA[[#This Row],[Días Transcurridos]]/360</f>
        <v>3.2611111111111111</v>
      </c>
    </row>
    <row r="239" spans="1:8" x14ac:dyDescent="0.3">
      <c r="A239" s="6">
        <v>238</v>
      </c>
      <c r="B239" s="6">
        <f>YEAR(Base1[[#This Row],[Fechas]])</f>
        <v>2023</v>
      </c>
      <c r="C239" s="6">
        <f>MONTH(Base1[[#This Row],[Fechas]])</f>
        <v>10</v>
      </c>
      <c r="D239" s="6">
        <f>DAY(Base1[[#This Row],[Fechas]])</f>
        <v>12</v>
      </c>
      <c r="E239" s="6" t="str">
        <f>TEXT(Base1[[#This Row],[Fechas]],"DDDD")</f>
        <v>jueves</v>
      </c>
      <c r="F239" s="6" t="str">
        <f>TEXT(Base1[[#This Row],[Fechas]],"MMMM")</f>
        <v>octubre</v>
      </c>
      <c r="G239" s="6">
        <f ca="1">_xlfn.DAYS(TODAY(),Base1[[#This Row],[Fechas]])</f>
        <v>986</v>
      </c>
      <c r="H239" s="7">
        <f ca="1">BaseA[[#This Row],[Días Transcurridos]]/360</f>
        <v>2.7388888888888889</v>
      </c>
    </row>
    <row r="240" spans="1:8" x14ac:dyDescent="0.3">
      <c r="A240" s="6">
        <v>239</v>
      </c>
      <c r="B240" s="6">
        <f>YEAR(Base1[[#This Row],[Fechas]])</f>
        <v>2024</v>
      </c>
      <c r="C240" s="6">
        <f>MONTH(Base1[[#This Row],[Fechas]])</f>
        <v>5</v>
      </c>
      <c r="D240" s="6">
        <f>DAY(Base1[[#This Row],[Fechas]])</f>
        <v>13</v>
      </c>
      <c r="E240" s="6" t="str">
        <f>TEXT(Base1[[#This Row],[Fechas]],"DDDD")</f>
        <v>lunes</v>
      </c>
      <c r="F240" s="6" t="str">
        <f>TEXT(Base1[[#This Row],[Fechas]],"MMMM")</f>
        <v>mayo</v>
      </c>
      <c r="G240" s="6">
        <f ca="1">_xlfn.DAYS(TODAY(),Base1[[#This Row],[Fechas]])</f>
        <v>772</v>
      </c>
      <c r="H240" s="7">
        <f ca="1">BaseA[[#This Row],[Días Transcurridos]]/360</f>
        <v>2.1444444444444444</v>
      </c>
    </row>
    <row r="241" spans="1:8" x14ac:dyDescent="0.3">
      <c r="A241" s="6">
        <v>240</v>
      </c>
      <c r="B241" s="6">
        <f>YEAR(Base1[[#This Row],[Fechas]])</f>
        <v>2025</v>
      </c>
      <c r="C241" s="6">
        <f>MONTH(Base1[[#This Row],[Fechas]])</f>
        <v>12</v>
      </c>
      <c r="D241" s="6">
        <f>DAY(Base1[[#This Row],[Fechas]])</f>
        <v>19</v>
      </c>
      <c r="E241" s="6" t="str">
        <f>TEXT(Base1[[#This Row],[Fechas]],"DDDD")</f>
        <v>viernes</v>
      </c>
      <c r="F241" s="6" t="str">
        <f>TEXT(Base1[[#This Row],[Fechas]],"MMMM")</f>
        <v>diciembre</v>
      </c>
      <c r="G241" s="6">
        <f ca="1">_xlfn.DAYS(TODAY(),Base1[[#This Row],[Fechas]])</f>
        <v>187</v>
      </c>
      <c r="H241" s="7">
        <f ca="1">BaseA[[#This Row],[Días Transcurridos]]/360</f>
        <v>0.51944444444444449</v>
      </c>
    </row>
    <row r="242" spans="1:8" x14ac:dyDescent="0.3">
      <c r="A242" s="6">
        <v>241</v>
      </c>
      <c r="B242" s="6">
        <f>YEAR(Base1[[#This Row],[Fechas]])</f>
        <v>2024</v>
      </c>
      <c r="C242" s="6">
        <f>MONTH(Base1[[#This Row],[Fechas]])</f>
        <v>10</v>
      </c>
      <c r="D242" s="6">
        <f>DAY(Base1[[#This Row],[Fechas]])</f>
        <v>21</v>
      </c>
      <c r="E242" s="6" t="str">
        <f>TEXT(Base1[[#This Row],[Fechas]],"DDDD")</f>
        <v>lunes</v>
      </c>
      <c r="F242" s="6" t="str">
        <f>TEXT(Base1[[#This Row],[Fechas]],"MMMM")</f>
        <v>octubre</v>
      </c>
      <c r="G242" s="6">
        <f ca="1">_xlfn.DAYS(TODAY(),Base1[[#This Row],[Fechas]])</f>
        <v>611</v>
      </c>
      <c r="H242" s="7">
        <f ca="1">BaseA[[#This Row],[Días Transcurridos]]/360</f>
        <v>1.6972222222222222</v>
      </c>
    </row>
    <row r="243" spans="1:8" x14ac:dyDescent="0.3">
      <c r="A243" s="6">
        <v>242</v>
      </c>
      <c r="B243" s="6">
        <f>YEAR(Base1[[#This Row],[Fechas]])</f>
        <v>2025</v>
      </c>
      <c r="C243" s="6">
        <f>MONTH(Base1[[#This Row],[Fechas]])</f>
        <v>5</v>
      </c>
      <c r="D243" s="6">
        <f>DAY(Base1[[#This Row],[Fechas]])</f>
        <v>19</v>
      </c>
      <c r="E243" s="6" t="str">
        <f>TEXT(Base1[[#This Row],[Fechas]],"DDDD")</f>
        <v>lunes</v>
      </c>
      <c r="F243" s="6" t="str">
        <f>TEXT(Base1[[#This Row],[Fechas]],"MMMM")</f>
        <v>mayo</v>
      </c>
      <c r="G243" s="6">
        <f ca="1">_xlfn.DAYS(TODAY(),Base1[[#This Row],[Fechas]])</f>
        <v>401</v>
      </c>
      <c r="H243" s="7">
        <f ca="1">BaseA[[#This Row],[Días Transcurridos]]/360</f>
        <v>1.1138888888888889</v>
      </c>
    </row>
    <row r="244" spans="1:8" x14ac:dyDescent="0.3">
      <c r="A244" s="6">
        <v>243</v>
      </c>
      <c r="B244" s="6">
        <f>YEAR(Base1[[#This Row],[Fechas]])</f>
        <v>2025</v>
      </c>
      <c r="C244" s="6">
        <f>MONTH(Base1[[#This Row],[Fechas]])</f>
        <v>6</v>
      </c>
      <c r="D244" s="6">
        <f>DAY(Base1[[#This Row],[Fechas]])</f>
        <v>4</v>
      </c>
      <c r="E244" s="6" t="str">
        <f>TEXT(Base1[[#This Row],[Fechas]],"DDDD")</f>
        <v>miércoles</v>
      </c>
      <c r="F244" s="6" t="str">
        <f>TEXT(Base1[[#This Row],[Fechas]],"MMMM")</f>
        <v>junio</v>
      </c>
      <c r="G244" s="6">
        <f ca="1">_xlfn.DAYS(TODAY(),Base1[[#This Row],[Fechas]])</f>
        <v>385</v>
      </c>
      <c r="H244" s="7">
        <f ca="1">BaseA[[#This Row],[Días Transcurridos]]/360</f>
        <v>1.0694444444444444</v>
      </c>
    </row>
    <row r="245" spans="1:8" x14ac:dyDescent="0.3">
      <c r="A245" s="6">
        <v>244</v>
      </c>
      <c r="B245" s="6">
        <f>YEAR(Base1[[#This Row],[Fechas]])</f>
        <v>2025</v>
      </c>
      <c r="C245" s="6">
        <f>MONTH(Base1[[#This Row],[Fechas]])</f>
        <v>5</v>
      </c>
      <c r="D245" s="6">
        <f>DAY(Base1[[#This Row],[Fechas]])</f>
        <v>12</v>
      </c>
      <c r="E245" s="6" t="str">
        <f>TEXT(Base1[[#This Row],[Fechas]],"DDDD")</f>
        <v>lunes</v>
      </c>
      <c r="F245" s="6" t="str">
        <f>TEXT(Base1[[#This Row],[Fechas]],"MMMM")</f>
        <v>mayo</v>
      </c>
      <c r="G245" s="6">
        <f ca="1">_xlfn.DAYS(TODAY(),Base1[[#This Row],[Fechas]])</f>
        <v>408</v>
      </c>
      <c r="H245" s="7">
        <f ca="1">BaseA[[#This Row],[Días Transcurridos]]/360</f>
        <v>1.1333333333333333</v>
      </c>
    </row>
    <row r="246" spans="1:8" x14ac:dyDescent="0.3">
      <c r="A246" s="6">
        <v>245</v>
      </c>
      <c r="B246" s="6">
        <f>YEAR(Base1[[#This Row],[Fechas]])</f>
        <v>2023</v>
      </c>
      <c r="C246" s="6">
        <f>MONTH(Base1[[#This Row],[Fechas]])</f>
        <v>11</v>
      </c>
      <c r="D246" s="6">
        <f>DAY(Base1[[#This Row],[Fechas]])</f>
        <v>28</v>
      </c>
      <c r="E246" s="6" t="str">
        <f>TEXT(Base1[[#This Row],[Fechas]],"DDDD")</f>
        <v>martes</v>
      </c>
      <c r="F246" s="6" t="str">
        <f>TEXT(Base1[[#This Row],[Fechas]],"MMMM")</f>
        <v>noviembre</v>
      </c>
      <c r="G246" s="6">
        <f ca="1">_xlfn.DAYS(TODAY(),Base1[[#This Row],[Fechas]])</f>
        <v>939</v>
      </c>
      <c r="H246" s="7">
        <f ca="1">BaseA[[#This Row],[Días Transcurridos]]/360</f>
        <v>2.6083333333333334</v>
      </c>
    </row>
    <row r="247" spans="1:8" x14ac:dyDescent="0.3">
      <c r="A247" s="6">
        <v>246</v>
      </c>
      <c r="B247" s="6">
        <f>YEAR(Base1[[#This Row],[Fechas]])</f>
        <v>2024</v>
      </c>
      <c r="C247" s="6">
        <f>MONTH(Base1[[#This Row],[Fechas]])</f>
        <v>11</v>
      </c>
      <c r="D247" s="6">
        <f>DAY(Base1[[#This Row],[Fechas]])</f>
        <v>15</v>
      </c>
      <c r="E247" s="6" t="str">
        <f>TEXT(Base1[[#This Row],[Fechas]],"DDDD")</f>
        <v>viernes</v>
      </c>
      <c r="F247" s="6" t="str">
        <f>TEXT(Base1[[#This Row],[Fechas]],"MMMM")</f>
        <v>noviembre</v>
      </c>
      <c r="G247" s="6">
        <f ca="1">_xlfn.DAYS(TODAY(),Base1[[#This Row],[Fechas]])</f>
        <v>586</v>
      </c>
      <c r="H247" s="7">
        <f ca="1">BaseA[[#This Row],[Días Transcurridos]]/360</f>
        <v>1.6277777777777778</v>
      </c>
    </row>
    <row r="248" spans="1:8" x14ac:dyDescent="0.3">
      <c r="A248" s="6">
        <v>247</v>
      </c>
      <c r="B248" s="6">
        <f>YEAR(Base1[[#This Row],[Fechas]])</f>
        <v>2024</v>
      </c>
      <c r="C248" s="6">
        <f>MONTH(Base1[[#This Row],[Fechas]])</f>
        <v>12</v>
      </c>
      <c r="D248" s="6">
        <f>DAY(Base1[[#This Row],[Fechas]])</f>
        <v>8</v>
      </c>
      <c r="E248" s="6" t="str">
        <f>TEXT(Base1[[#This Row],[Fechas]],"DDDD")</f>
        <v>domingo</v>
      </c>
      <c r="F248" s="6" t="str">
        <f>TEXT(Base1[[#This Row],[Fechas]],"MMMM")</f>
        <v>diciembre</v>
      </c>
      <c r="G248" s="6">
        <f ca="1">_xlfn.DAYS(TODAY(),Base1[[#This Row],[Fechas]])</f>
        <v>563</v>
      </c>
      <c r="H248" s="7">
        <f ca="1">BaseA[[#This Row],[Días Transcurridos]]/360</f>
        <v>1.5638888888888889</v>
      </c>
    </row>
    <row r="249" spans="1:8" x14ac:dyDescent="0.3">
      <c r="A249" s="6">
        <v>248</v>
      </c>
      <c r="B249" s="6">
        <f>YEAR(Base1[[#This Row],[Fechas]])</f>
        <v>2025</v>
      </c>
      <c r="C249" s="6">
        <f>MONTH(Base1[[#This Row],[Fechas]])</f>
        <v>9</v>
      </c>
      <c r="D249" s="6">
        <f>DAY(Base1[[#This Row],[Fechas]])</f>
        <v>28</v>
      </c>
      <c r="E249" s="6" t="str">
        <f>TEXT(Base1[[#This Row],[Fechas]],"DDDD")</f>
        <v>domingo</v>
      </c>
      <c r="F249" s="6" t="str">
        <f>TEXT(Base1[[#This Row],[Fechas]],"MMMM")</f>
        <v>septiembre</v>
      </c>
      <c r="G249" s="6">
        <f ca="1">_xlfn.DAYS(TODAY(),Base1[[#This Row],[Fechas]])</f>
        <v>269</v>
      </c>
      <c r="H249" s="7">
        <f ca="1">BaseA[[#This Row],[Días Transcurridos]]/360</f>
        <v>0.74722222222222223</v>
      </c>
    </row>
    <row r="250" spans="1:8" x14ac:dyDescent="0.3">
      <c r="A250" s="6">
        <v>249</v>
      </c>
      <c r="B250" s="6">
        <f>YEAR(Base1[[#This Row],[Fechas]])</f>
        <v>2024</v>
      </c>
      <c r="C250" s="6">
        <f>MONTH(Base1[[#This Row],[Fechas]])</f>
        <v>2</v>
      </c>
      <c r="D250" s="6">
        <f>DAY(Base1[[#This Row],[Fechas]])</f>
        <v>1</v>
      </c>
      <c r="E250" s="6" t="str">
        <f>TEXT(Base1[[#This Row],[Fechas]],"DDDD")</f>
        <v>jueves</v>
      </c>
      <c r="F250" s="6" t="str">
        <f>TEXT(Base1[[#This Row],[Fechas]],"MMMM")</f>
        <v>febrero</v>
      </c>
      <c r="G250" s="6">
        <f ca="1">_xlfn.DAYS(TODAY(),Base1[[#This Row],[Fechas]])</f>
        <v>874</v>
      </c>
      <c r="H250" s="7">
        <f ca="1">BaseA[[#This Row],[Días Transcurridos]]/360</f>
        <v>2.4277777777777776</v>
      </c>
    </row>
    <row r="251" spans="1:8" x14ac:dyDescent="0.3">
      <c r="A251" s="6">
        <v>250</v>
      </c>
      <c r="B251" s="6">
        <f>YEAR(Base1[[#This Row],[Fechas]])</f>
        <v>2025</v>
      </c>
      <c r="C251" s="6">
        <f>MONTH(Base1[[#This Row],[Fechas]])</f>
        <v>8</v>
      </c>
      <c r="D251" s="6">
        <f>DAY(Base1[[#This Row],[Fechas]])</f>
        <v>14</v>
      </c>
      <c r="E251" s="6" t="str">
        <f>TEXT(Base1[[#This Row],[Fechas]],"DDDD")</f>
        <v>jueves</v>
      </c>
      <c r="F251" s="6" t="str">
        <f>TEXT(Base1[[#This Row],[Fechas]],"MMMM")</f>
        <v>agosto</v>
      </c>
      <c r="G251" s="6">
        <f ca="1">_xlfn.DAYS(TODAY(),Base1[[#This Row],[Fechas]])</f>
        <v>314</v>
      </c>
      <c r="H251" s="7">
        <f ca="1">BaseA[[#This Row],[Días Transcurridos]]/360</f>
        <v>0.87222222222222223</v>
      </c>
    </row>
    <row r="252" spans="1:8" x14ac:dyDescent="0.3">
      <c r="A252" s="6">
        <v>251</v>
      </c>
      <c r="B252" s="6">
        <f>YEAR(Base1[[#This Row],[Fechas]])</f>
        <v>2024</v>
      </c>
      <c r="C252" s="6">
        <f>MONTH(Base1[[#This Row],[Fechas]])</f>
        <v>11</v>
      </c>
      <c r="D252" s="6">
        <f>DAY(Base1[[#This Row],[Fechas]])</f>
        <v>22</v>
      </c>
      <c r="E252" s="6" t="str">
        <f>TEXT(Base1[[#This Row],[Fechas]],"DDDD")</f>
        <v>viernes</v>
      </c>
      <c r="F252" s="6" t="str">
        <f>TEXT(Base1[[#This Row],[Fechas]],"MMMM")</f>
        <v>noviembre</v>
      </c>
      <c r="G252" s="6">
        <f ca="1">_xlfn.DAYS(TODAY(),Base1[[#This Row],[Fechas]])</f>
        <v>579</v>
      </c>
      <c r="H252" s="7">
        <f ca="1">BaseA[[#This Row],[Días Transcurridos]]/360</f>
        <v>1.6083333333333334</v>
      </c>
    </row>
    <row r="253" spans="1:8" x14ac:dyDescent="0.3">
      <c r="A253" s="6">
        <v>252</v>
      </c>
      <c r="B253" s="6">
        <f>YEAR(Base1[[#This Row],[Fechas]])</f>
        <v>2023</v>
      </c>
      <c r="C253" s="6">
        <f>MONTH(Base1[[#This Row],[Fechas]])</f>
        <v>1</v>
      </c>
      <c r="D253" s="6">
        <f>DAY(Base1[[#This Row],[Fechas]])</f>
        <v>10</v>
      </c>
      <c r="E253" s="6" t="str">
        <f>TEXT(Base1[[#This Row],[Fechas]],"DDDD")</f>
        <v>martes</v>
      </c>
      <c r="F253" s="6" t="str">
        <f>TEXT(Base1[[#This Row],[Fechas]],"MMMM")</f>
        <v>enero</v>
      </c>
      <c r="G253" s="6">
        <f ca="1">_xlfn.DAYS(TODAY(),Base1[[#This Row],[Fechas]])</f>
        <v>1261</v>
      </c>
      <c r="H253" s="7">
        <f ca="1">BaseA[[#This Row],[Días Transcurridos]]/360</f>
        <v>3.5027777777777778</v>
      </c>
    </row>
    <row r="254" spans="1:8" x14ac:dyDescent="0.3">
      <c r="A254" s="6">
        <v>253</v>
      </c>
      <c r="B254" s="6">
        <f>YEAR(Base1[[#This Row],[Fechas]])</f>
        <v>2024</v>
      </c>
      <c r="C254" s="6">
        <f>MONTH(Base1[[#This Row],[Fechas]])</f>
        <v>8</v>
      </c>
      <c r="D254" s="6">
        <f>DAY(Base1[[#This Row],[Fechas]])</f>
        <v>30</v>
      </c>
      <c r="E254" s="6" t="str">
        <f>TEXT(Base1[[#This Row],[Fechas]],"DDDD")</f>
        <v>viernes</v>
      </c>
      <c r="F254" s="6" t="str">
        <f>TEXT(Base1[[#This Row],[Fechas]],"MMMM")</f>
        <v>agosto</v>
      </c>
      <c r="G254" s="6">
        <f ca="1">_xlfn.DAYS(TODAY(),Base1[[#This Row],[Fechas]])</f>
        <v>663</v>
      </c>
      <c r="H254" s="7">
        <f ca="1">BaseA[[#This Row],[Días Transcurridos]]/360</f>
        <v>1.8416666666666666</v>
      </c>
    </row>
    <row r="255" spans="1:8" x14ac:dyDescent="0.3">
      <c r="A255" s="6">
        <v>254</v>
      </c>
      <c r="B255" s="6">
        <f>YEAR(Base1[[#This Row],[Fechas]])</f>
        <v>2024</v>
      </c>
      <c r="C255" s="6">
        <f>MONTH(Base1[[#This Row],[Fechas]])</f>
        <v>4</v>
      </c>
      <c r="D255" s="6">
        <f>DAY(Base1[[#This Row],[Fechas]])</f>
        <v>3</v>
      </c>
      <c r="E255" s="6" t="str">
        <f>TEXT(Base1[[#This Row],[Fechas]],"DDDD")</f>
        <v>miércoles</v>
      </c>
      <c r="F255" s="6" t="str">
        <f>TEXT(Base1[[#This Row],[Fechas]],"MMMM")</f>
        <v>abril</v>
      </c>
      <c r="G255" s="6">
        <f ca="1">_xlfn.DAYS(TODAY(),Base1[[#This Row],[Fechas]])</f>
        <v>812</v>
      </c>
      <c r="H255" s="7">
        <f ca="1">BaseA[[#This Row],[Días Transcurridos]]/360</f>
        <v>2.2555555555555555</v>
      </c>
    </row>
    <row r="256" spans="1:8" x14ac:dyDescent="0.3">
      <c r="A256" s="6">
        <v>255</v>
      </c>
      <c r="B256" s="6">
        <f>YEAR(Base1[[#This Row],[Fechas]])</f>
        <v>2025</v>
      </c>
      <c r="C256" s="6">
        <f>MONTH(Base1[[#This Row],[Fechas]])</f>
        <v>3</v>
      </c>
      <c r="D256" s="6">
        <f>DAY(Base1[[#This Row],[Fechas]])</f>
        <v>28</v>
      </c>
      <c r="E256" s="6" t="str">
        <f>TEXT(Base1[[#This Row],[Fechas]],"DDDD")</f>
        <v>viernes</v>
      </c>
      <c r="F256" s="6" t="str">
        <f>TEXT(Base1[[#This Row],[Fechas]],"MMMM")</f>
        <v>marzo</v>
      </c>
      <c r="G256" s="6">
        <f ca="1">_xlfn.DAYS(TODAY(),Base1[[#This Row],[Fechas]])</f>
        <v>453</v>
      </c>
      <c r="H256" s="7">
        <f ca="1">BaseA[[#This Row],[Días Transcurridos]]/360</f>
        <v>1.2583333333333333</v>
      </c>
    </row>
    <row r="257" spans="1:8" x14ac:dyDescent="0.3">
      <c r="A257" s="6">
        <v>256</v>
      </c>
      <c r="B257" s="6">
        <f>YEAR(Base1[[#This Row],[Fechas]])</f>
        <v>2025</v>
      </c>
      <c r="C257" s="6">
        <f>MONTH(Base1[[#This Row],[Fechas]])</f>
        <v>8</v>
      </c>
      <c r="D257" s="6">
        <f>DAY(Base1[[#This Row],[Fechas]])</f>
        <v>23</v>
      </c>
      <c r="E257" s="6" t="str">
        <f>TEXT(Base1[[#This Row],[Fechas]],"DDDD")</f>
        <v>sábado</v>
      </c>
      <c r="F257" s="6" t="str">
        <f>TEXT(Base1[[#This Row],[Fechas]],"MMMM")</f>
        <v>agosto</v>
      </c>
      <c r="G257" s="6">
        <f ca="1">_xlfn.DAYS(TODAY(),Base1[[#This Row],[Fechas]])</f>
        <v>305</v>
      </c>
      <c r="H257" s="7">
        <f ca="1">BaseA[[#This Row],[Días Transcurridos]]/360</f>
        <v>0.84722222222222221</v>
      </c>
    </row>
    <row r="258" spans="1:8" x14ac:dyDescent="0.3">
      <c r="A258" s="6">
        <v>257</v>
      </c>
      <c r="B258" s="6">
        <f>YEAR(Base1[[#This Row],[Fechas]])</f>
        <v>2025</v>
      </c>
      <c r="C258" s="6">
        <f>MONTH(Base1[[#This Row],[Fechas]])</f>
        <v>4</v>
      </c>
      <c r="D258" s="6">
        <f>DAY(Base1[[#This Row],[Fechas]])</f>
        <v>19</v>
      </c>
      <c r="E258" s="6" t="str">
        <f>TEXT(Base1[[#This Row],[Fechas]],"DDDD")</f>
        <v>sábado</v>
      </c>
      <c r="F258" s="6" t="str">
        <f>TEXT(Base1[[#This Row],[Fechas]],"MMMM")</f>
        <v>abril</v>
      </c>
      <c r="G258" s="6">
        <f ca="1">_xlfn.DAYS(TODAY(),Base1[[#This Row],[Fechas]])</f>
        <v>431</v>
      </c>
      <c r="H258" s="7">
        <f ca="1">BaseA[[#This Row],[Días Transcurridos]]/360</f>
        <v>1.1972222222222222</v>
      </c>
    </row>
    <row r="259" spans="1:8" x14ac:dyDescent="0.3">
      <c r="A259" s="6">
        <v>258</v>
      </c>
      <c r="B259" s="6">
        <f>YEAR(Base1[[#This Row],[Fechas]])</f>
        <v>2024</v>
      </c>
      <c r="C259" s="6">
        <f>MONTH(Base1[[#This Row],[Fechas]])</f>
        <v>1</v>
      </c>
      <c r="D259" s="6">
        <f>DAY(Base1[[#This Row],[Fechas]])</f>
        <v>23</v>
      </c>
      <c r="E259" s="6" t="str">
        <f>TEXT(Base1[[#This Row],[Fechas]],"DDDD")</f>
        <v>martes</v>
      </c>
      <c r="F259" s="6" t="str">
        <f>TEXT(Base1[[#This Row],[Fechas]],"MMMM")</f>
        <v>enero</v>
      </c>
      <c r="G259" s="6">
        <f ca="1">_xlfn.DAYS(TODAY(),Base1[[#This Row],[Fechas]])</f>
        <v>883</v>
      </c>
      <c r="H259" s="7">
        <f ca="1">BaseA[[#This Row],[Días Transcurridos]]/360</f>
        <v>2.4527777777777779</v>
      </c>
    </row>
    <row r="260" spans="1:8" x14ac:dyDescent="0.3">
      <c r="A260" s="6">
        <v>259</v>
      </c>
      <c r="B260" s="6">
        <f>YEAR(Base1[[#This Row],[Fechas]])</f>
        <v>2025</v>
      </c>
      <c r="C260" s="6">
        <f>MONTH(Base1[[#This Row],[Fechas]])</f>
        <v>2</v>
      </c>
      <c r="D260" s="6">
        <f>DAY(Base1[[#This Row],[Fechas]])</f>
        <v>10</v>
      </c>
      <c r="E260" s="6" t="str">
        <f>TEXT(Base1[[#This Row],[Fechas]],"DDDD")</f>
        <v>lunes</v>
      </c>
      <c r="F260" s="6" t="str">
        <f>TEXT(Base1[[#This Row],[Fechas]],"MMMM")</f>
        <v>febrero</v>
      </c>
      <c r="G260" s="6">
        <f ca="1">_xlfn.DAYS(TODAY(),Base1[[#This Row],[Fechas]])</f>
        <v>499</v>
      </c>
      <c r="H260" s="7">
        <f ca="1">BaseA[[#This Row],[Días Transcurridos]]/360</f>
        <v>1.3861111111111111</v>
      </c>
    </row>
    <row r="261" spans="1:8" x14ac:dyDescent="0.3">
      <c r="A261" s="6">
        <v>260</v>
      </c>
      <c r="B261" s="6">
        <f>YEAR(Base1[[#This Row],[Fechas]])</f>
        <v>2025</v>
      </c>
      <c r="C261" s="6">
        <f>MONTH(Base1[[#This Row],[Fechas]])</f>
        <v>1</v>
      </c>
      <c r="D261" s="6">
        <f>DAY(Base1[[#This Row],[Fechas]])</f>
        <v>26</v>
      </c>
      <c r="E261" s="6" t="str">
        <f>TEXT(Base1[[#This Row],[Fechas]],"DDDD")</f>
        <v>domingo</v>
      </c>
      <c r="F261" s="6" t="str">
        <f>TEXT(Base1[[#This Row],[Fechas]],"MMMM")</f>
        <v>enero</v>
      </c>
      <c r="G261" s="6">
        <f ca="1">_xlfn.DAYS(TODAY(),Base1[[#This Row],[Fechas]])</f>
        <v>514</v>
      </c>
      <c r="H261" s="7">
        <f ca="1">BaseA[[#This Row],[Días Transcurridos]]/360</f>
        <v>1.4277777777777778</v>
      </c>
    </row>
    <row r="262" spans="1:8" x14ac:dyDescent="0.3">
      <c r="A262" s="6">
        <v>261</v>
      </c>
      <c r="B262" s="6">
        <f>YEAR(Base1[[#This Row],[Fechas]])</f>
        <v>2023</v>
      </c>
      <c r="C262" s="6">
        <f>MONTH(Base1[[#This Row],[Fechas]])</f>
        <v>1</v>
      </c>
      <c r="D262" s="6">
        <f>DAY(Base1[[#This Row],[Fechas]])</f>
        <v>21</v>
      </c>
      <c r="E262" s="6" t="str">
        <f>TEXT(Base1[[#This Row],[Fechas]],"DDDD")</f>
        <v>sábado</v>
      </c>
      <c r="F262" s="6" t="str">
        <f>TEXT(Base1[[#This Row],[Fechas]],"MMMM")</f>
        <v>enero</v>
      </c>
      <c r="G262" s="6">
        <f ca="1">_xlfn.DAYS(TODAY(),Base1[[#This Row],[Fechas]])</f>
        <v>1250</v>
      </c>
      <c r="H262" s="7">
        <f ca="1">BaseA[[#This Row],[Días Transcurridos]]/360</f>
        <v>3.4722222222222223</v>
      </c>
    </row>
    <row r="263" spans="1:8" x14ac:dyDescent="0.3">
      <c r="A263" s="6">
        <v>262</v>
      </c>
      <c r="B263" s="6">
        <f>YEAR(Base1[[#This Row],[Fechas]])</f>
        <v>2023</v>
      </c>
      <c r="C263" s="6">
        <f>MONTH(Base1[[#This Row],[Fechas]])</f>
        <v>9</v>
      </c>
      <c r="D263" s="6">
        <f>DAY(Base1[[#This Row],[Fechas]])</f>
        <v>23</v>
      </c>
      <c r="E263" s="6" t="str">
        <f>TEXT(Base1[[#This Row],[Fechas]],"DDDD")</f>
        <v>sábado</v>
      </c>
      <c r="F263" s="6" t="str">
        <f>TEXT(Base1[[#This Row],[Fechas]],"MMMM")</f>
        <v>septiembre</v>
      </c>
      <c r="G263" s="6">
        <f ca="1">_xlfn.DAYS(TODAY(),Base1[[#This Row],[Fechas]])</f>
        <v>1005</v>
      </c>
      <c r="H263" s="7">
        <f ca="1">BaseA[[#This Row],[Días Transcurridos]]/360</f>
        <v>2.7916666666666665</v>
      </c>
    </row>
    <row r="264" spans="1:8" x14ac:dyDescent="0.3">
      <c r="A264" s="6">
        <v>263</v>
      </c>
      <c r="B264" s="6">
        <f>YEAR(Base1[[#This Row],[Fechas]])</f>
        <v>2025</v>
      </c>
      <c r="C264" s="6">
        <f>MONTH(Base1[[#This Row],[Fechas]])</f>
        <v>7</v>
      </c>
      <c r="D264" s="6">
        <f>DAY(Base1[[#This Row],[Fechas]])</f>
        <v>5</v>
      </c>
      <c r="E264" s="6" t="str">
        <f>TEXT(Base1[[#This Row],[Fechas]],"DDDD")</f>
        <v>sábado</v>
      </c>
      <c r="F264" s="6" t="str">
        <f>TEXT(Base1[[#This Row],[Fechas]],"MMMM")</f>
        <v>julio</v>
      </c>
      <c r="G264" s="6">
        <f ca="1">_xlfn.DAYS(TODAY(),Base1[[#This Row],[Fechas]])</f>
        <v>354</v>
      </c>
      <c r="H264" s="7">
        <f ca="1">BaseA[[#This Row],[Días Transcurridos]]/360</f>
        <v>0.98333333333333328</v>
      </c>
    </row>
    <row r="265" spans="1:8" x14ac:dyDescent="0.3">
      <c r="A265" s="6">
        <v>264</v>
      </c>
      <c r="B265" s="6">
        <f>YEAR(Base1[[#This Row],[Fechas]])</f>
        <v>2024</v>
      </c>
      <c r="C265" s="6">
        <f>MONTH(Base1[[#This Row],[Fechas]])</f>
        <v>1</v>
      </c>
      <c r="D265" s="6">
        <f>DAY(Base1[[#This Row],[Fechas]])</f>
        <v>16</v>
      </c>
      <c r="E265" s="6" t="str">
        <f>TEXT(Base1[[#This Row],[Fechas]],"DDDD")</f>
        <v>martes</v>
      </c>
      <c r="F265" s="6" t="str">
        <f>TEXT(Base1[[#This Row],[Fechas]],"MMMM")</f>
        <v>enero</v>
      </c>
      <c r="G265" s="6">
        <f ca="1">_xlfn.DAYS(TODAY(),Base1[[#This Row],[Fechas]])</f>
        <v>890</v>
      </c>
      <c r="H265" s="7">
        <f ca="1">BaseA[[#This Row],[Días Transcurridos]]/360</f>
        <v>2.4722222222222223</v>
      </c>
    </row>
    <row r="266" spans="1:8" x14ac:dyDescent="0.3">
      <c r="A266" s="6">
        <v>265</v>
      </c>
      <c r="B266" s="6">
        <f>YEAR(Base1[[#This Row],[Fechas]])</f>
        <v>2025</v>
      </c>
      <c r="C266" s="6">
        <f>MONTH(Base1[[#This Row],[Fechas]])</f>
        <v>2</v>
      </c>
      <c r="D266" s="6">
        <f>DAY(Base1[[#This Row],[Fechas]])</f>
        <v>14</v>
      </c>
      <c r="E266" s="6" t="str">
        <f>TEXT(Base1[[#This Row],[Fechas]],"DDDD")</f>
        <v>viernes</v>
      </c>
      <c r="F266" s="6" t="str">
        <f>TEXT(Base1[[#This Row],[Fechas]],"MMMM")</f>
        <v>febrero</v>
      </c>
      <c r="G266" s="6">
        <f ca="1">_xlfn.DAYS(TODAY(),Base1[[#This Row],[Fechas]])</f>
        <v>495</v>
      </c>
      <c r="H266" s="7">
        <f ca="1">BaseA[[#This Row],[Días Transcurridos]]/360</f>
        <v>1.375</v>
      </c>
    </row>
    <row r="267" spans="1:8" x14ac:dyDescent="0.3">
      <c r="A267" s="6">
        <v>266</v>
      </c>
      <c r="B267" s="6">
        <f>YEAR(Base1[[#This Row],[Fechas]])</f>
        <v>2025</v>
      </c>
      <c r="C267" s="6">
        <f>MONTH(Base1[[#This Row],[Fechas]])</f>
        <v>8</v>
      </c>
      <c r="D267" s="6">
        <f>DAY(Base1[[#This Row],[Fechas]])</f>
        <v>24</v>
      </c>
      <c r="E267" s="6" t="str">
        <f>TEXT(Base1[[#This Row],[Fechas]],"DDDD")</f>
        <v>domingo</v>
      </c>
      <c r="F267" s="6" t="str">
        <f>TEXT(Base1[[#This Row],[Fechas]],"MMMM")</f>
        <v>agosto</v>
      </c>
      <c r="G267" s="6">
        <f ca="1">_xlfn.DAYS(TODAY(),Base1[[#This Row],[Fechas]])</f>
        <v>304</v>
      </c>
      <c r="H267" s="7">
        <f ca="1">BaseA[[#This Row],[Días Transcurridos]]/360</f>
        <v>0.84444444444444444</v>
      </c>
    </row>
    <row r="268" spans="1:8" x14ac:dyDescent="0.3">
      <c r="A268" s="6">
        <v>267</v>
      </c>
      <c r="B268" s="6">
        <f>YEAR(Base1[[#This Row],[Fechas]])</f>
        <v>2025</v>
      </c>
      <c r="C268" s="6">
        <f>MONTH(Base1[[#This Row],[Fechas]])</f>
        <v>6</v>
      </c>
      <c r="D268" s="6">
        <f>DAY(Base1[[#This Row],[Fechas]])</f>
        <v>21</v>
      </c>
      <c r="E268" s="6" t="str">
        <f>TEXT(Base1[[#This Row],[Fechas]],"DDDD")</f>
        <v>sábado</v>
      </c>
      <c r="F268" s="6" t="str">
        <f>TEXT(Base1[[#This Row],[Fechas]],"MMMM")</f>
        <v>junio</v>
      </c>
      <c r="G268" s="6">
        <f ca="1">_xlfn.DAYS(TODAY(),Base1[[#This Row],[Fechas]])</f>
        <v>368</v>
      </c>
      <c r="H268" s="7">
        <f ca="1">BaseA[[#This Row],[Días Transcurridos]]/360</f>
        <v>1.0222222222222221</v>
      </c>
    </row>
    <row r="269" spans="1:8" x14ac:dyDescent="0.3">
      <c r="A269" s="6">
        <v>268</v>
      </c>
      <c r="B269" s="6">
        <f>YEAR(Base1[[#This Row],[Fechas]])</f>
        <v>2023</v>
      </c>
      <c r="C269" s="6">
        <f>MONTH(Base1[[#This Row],[Fechas]])</f>
        <v>8</v>
      </c>
      <c r="D269" s="6">
        <f>DAY(Base1[[#This Row],[Fechas]])</f>
        <v>13</v>
      </c>
      <c r="E269" s="6" t="str">
        <f>TEXT(Base1[[#This Row],[Fechas]],"DDDD")</f>
        <v>domingo</v>
      </c>
      <c r="F269" s="6" t="str">
        <f>TEXT(Base1[[#This Row],[Fechas]],"MMMM")</f>
        <v>agosto</v>
      </c>
      <c r="G269" s="6">
        <f ca="1">_xlfn.DAYS(TODAY(),Base1[[#This Row],[Fechas]])</f>
        <v>1046</v>
      </c>
      <c r="H269" s="7">
        <f ca="1">BaseA[[#This Row],[Días Transcurridos]]/360</f>
        <v>2.9055555555555554</v>
      </c>
    </row>
    <row r="270" spans="1:8" x14ac:dyDescent="0.3">
      <c r="A270" s="6">
        <v>269</v>
      </c>
      <c r="B270" s="6">
        <f>YEAR(Base1[[#This Row],[Fechas]])</f>
        <v>2024</v>
      </c>
      <c r="C270" s="6">
        <f>MONTH(Base1[[#This Row],[Fechas]])</f>
        <v>8</v>
      </c>
      <c r="D270" s="6">
        <f>DAY(Base1[[#This Row],[Fechas]])</f>
        <v>18</v>
      </c>
      <c r="E270" s="6" t="str">
        <f>TEXT(Base1[[#This Row],[Fechas]],"DDDD")</f>
        <v>domingo</v>
      </c>
      <c r="F270" s="6" t="str">
        <f>TEXT(Base1[[#This Row],[Fechas]],"MMMM")</f>
        <v>agosto</v>
      </c>
      <c r="G270" s="6">
        <f ca="1">_xlfn.DAYS(TODAY(),Base1[[#This Row],[Fechas]])</f>
        <v>675</v>
      </c>
      <c r="H270" s="7">
        <f ca="1">BaseA[[#This Row],[Días Transcurridos]]/360</f>
        <v>1.875</v>
      </c>
    </row>
    <row r="271" spans="1:8" x14ac:dyDescent="0.3">
      <c r="A271" s="6">
        <v>270</v>
      </c>
      <c r="B271" s="6">
        <f>YEAR(Base1[[#This Row],[Fechas]])</f>
        <v>2024</v>
      </c>
      <c r="C271" s="6">
        <f>MONTH(Base1[[#This Row],[Fechas]])</f>
        <v>2</v>
      </c>
      <c r="D271" s="6">
        <f>DAY(Base1[[#This Row],[Fechas]])</f>
        <v>13</v>
      </c>
      <c r="E271" s="6" t="str">
        <f>TEXT(Base1[[#This Row],[Fechas]],"DDDD")</f>
        <v>martes</v>
      </c>
      <c r="F271" s="6" t="str">
        <f>TEXT(Base1[[#This Row],[Fechas]],"MMMM")</f>
        <v>febrero</v>
      </c>
      <c r="G271" s="6">
        <f ca="1">_xlfn.DAYS(TODAY(),Base1[[#This Row],[Fechas]])</f>
        <v>862</v>
      </c>
      <c r="H271" s="7">
        <f ca="1">BaseA[[#This Row],[Días Transcurridos]]/360</f>
        <v>2.3944444444444444</v>
      </c>
    </row>
    <row r="272" spans="1:8" x14ac:dyDescent="0.3">
      <c r="A272" s="6">
        <v>271</v>
      </c>
      <c r="B272" s="6">
        <f>YEAR(Base1[[#This Row],[Fechas]])</f>
        <v>2025</v>
      </c>
      <c r="C272" s="6">
        <f>MONTH(Base1[[#This Row],[Fechas]])</f>
        <v>1</v>
      </c>
      <c r="D272" s="6">
        <f>DAY(Base1[[#This Row],[Fechas]])</f>
        <v>13</v>
      </c>
      <c r="E272" s="6" t="str">
        <f>TEXT(Base1[[#This Row],[Fechas]],"DDDD")</f>
        <v>lunes</v>
      </c>
      <c r="F272" s="6" t="str">
        <f>TEXT(Base1[[#This Row],[Fechas]],"MMMM")</f>
        <v>enero</v>
      </c>
      <c r="G272" s="6">
        <f ca="1">_xlfn.DAYS(TODAY(),Base1[[#This Row],[Fechas]])</f>
        <v>527</v>
      </c>
      <c r="H272" s="7">
        <f ca="1">BaseA[[#This Row],[Días Transcurridos]]/360</f>
        <v>1.4638888888888888</v>
      </c>
    </row>
    <row r="273" spans="1:8" x14ac:dyDescent="0.3">
      <c r="A273" s="6">
        <v>272</v>
      </c>
      <c r="B273" s="6">
        <f>YEAR(Base1[[#This Row],[Fechas]])</f>
        <v>2023</v>
      </c>
      <c r="C273" s="6">
        <f>MONTH(Base1[[#This Row],[Fechas]])</f>
        <v>7</v>
      </c>
      <c r="D273" s="6">
        <f>DAY(Base1[[#This Row],[Fechas]])</f>
        <v>30</v>
      </c>
      <c r="E273" s="6" t="str">
        <f>TEXT(Base1[[#This Row],[Fechas]],"DDDD")</f>
        <v>domingo</v>
      </c>
      <c r="F273" s="6" t="str">
        <f>TEXT(Base1[[#This Row],[Fechas]],"MMMM")</f>
        <v>julio</v>
      </c>
      <c r="G273" s="6">
        <f ca="1">_xlfn.DAYS(TODAY(),Base1[[#This Row],[Fechas]])</f>
        <v>1060</v>
      </c>
      <c r="H273" s="7">
        <f ca="1">BaseA[[#This Row],[Días Transcurridos]]/360</f>
        <v>2.9444444444444446</v>
      </c>
    </row>
    <row r="274" spans="1:8" x14ac:dyDescent="0.3">
      <c r="A274" s="6">
        <v>273</v>
      </c>
      <c r="B274" s="6">
        <f>YEAR(Base1[[#This Row],[Fechas]])</f>
        <v>2024</v>
      </c>
      <c r="C274" s="6">
        <f>MONTH(Base1[[#This Row],[Fechas]])</f>
        <v>6</v>
      </c>
      <c r="D274" s="6">
        <f>DAY(Base1[[#This Row],[Fechas]])</f>
        <v>3</v>
      </c>
      <c r="E274" s="6" t="str">
        <f>TEXT(Base1[[#This Row],[Fechas]],"DDDD")</f>
        <v>lunes</v>
      </c>
      <c r="F274" s="6" t="str">
        <f>TEXT(Base1[[#This Row],[Fechas]],"MMMM")</f>
        <v>junio</v>
      </c>
      <c r="G274" s="6">
        <f ca="1">_xlfn.DAYS(TODAY(),Base1[[#This Row],[Fechas]])</f>
        <v>751</v>
      </c>
      <c r="H274" s="7">
        <f ca="1">BaseA[[#This Row],[Días Transcurridos]]/360</f>
        <v>2.0861111111111112</v>
      </c>
    </row>
    <row r="275" spans="1:8" x14ac:dyDescent="0.3">
      <c r="A275" s="6">
        <v>274</v>
      </c>
      <c r="B275" s="6">
        <f>YEAR(Base1[[#This Row],[Fechas]])</f>
        <v>2025</v>
      </c>
      <c r="C275" s="6">
        <f>MONTH(Base1[[#This Row],[Fechas]])</f>
        <v>4</v>
      </c>
      <c r="D275" s="6">
        <f>DAY(Base1[[#This Row],[Fechas]])</f>
        <v>7</v>
      </c>
      <c r="E275" s="6" t="str">
        <f>TEXT(Base1[[#This Row],[Fechas]],"DDDD")</f>
        <v>lunes</v>
      </c>
      <c r="F275" s="6" t="str">
        <f>TEXT(Base1[[#This Row],[Fechas]],"MMMM")</f>
        <v>abril</v>
      </c>
      <c r="G275" s="6">
        <f ca="1">_xlfn.DAYS(TODAY(),Base1[[#This Row],[Fechas]])</f>
        <v>443</v>
      </c>
      <c r="H275" s="7">
        <f ca="1">BaseA[[#This Row],[Días Transcurridos]]/360</f>
        <v>1.2305555555555556</v>
      </c>
    </row>
    <row r="276" spans="1:8" x14ac:dyDescent="0.3">
      <c r="A276" s="6">
        <v>275</v>
      </c>
      <c r="B276" s="6">
        <f>YEAR(Base1[[#This Row],[Fechas]])</f>
        <v>2025</v>
      </c>
      <c r="C276" s="6">
        <f>MONTH(Base1[[#This Row],[Fechas]])</f>
        <v>2</v>
      </c>
      <c r="D276" s="6">
        <f>DAY(Base1[[#This Row],[Fechas]])</f>
        <v>23</v>
      </c>
      <c r="E276" s="6" t="str">
        <f>TEXT(Base1[[#This Row],[Fechas]],"DDDD")</f>
        <v>domingo</v>
      </c>
      <c r="F276" s="6" t="str">
        <f>TEXT(Base1[[#This Row],[Fechas]],"MMMM")</f>
        <v>febrero</v>
      </c>
      <c r="G276" s="6">
        <f ca="1">_xlfn.DAYS(TODAY(),Base1[[#This Row],[Fechas]])</f>
        <v>486</v>
      </c>
      <c r="H276" s="7">
        <f ca="1">BaseA[[#This Row],[Días Transcurridos]]/360</f>
        <v>1.35</v>
      </c>
    </row>
    <row r="277" spans="1:8" x14ac:dyDescent="0.3">
      <c r="A277" s="6">
        <v>276</v>
      </c>
      <c r="B277" s="6">
        <f>YEAR(Base1[[#This Row],[Fechas]])</f>
        <v>2025</v>
      </c>
      <c r="C277" s="6">
        <f>MONTH(Base1[[#This Row],[Fechas]])</f>
        <v>6</v>
      </c>
      <c r="D277" s="6">
        <f>DAY(Base1[[#This Row],[Fechas]])</f>
        <v>10</v>
      </c>
      <c r="E277" s="6" t="str">
        <f>TEXT(Base1[[#This Row],[Fechas]],"DDDD")</f>
        <v>martes</v>
      </c>
      <c r="F277" s="6" t="str">
        <f>TEXT(Base1[[#This Row],[Fechas]],"MMMM")</f>
        <v>junio</v>
      </c>
      <c r="G277" s="6">
        <f ca="1">_xlfn.DAYS(TODAY(),Base1[[#This Row],[Fechas]])</f>
        <v>379</v>
      </c>
      <c r="H277" s="7">
        <f ca="1">BaseA[[#This Row],[Días Transcurridos]]/360</f>
        <v>1.0527777777777778</v>
      </c>
    </row>
    <row r="278" spans="1:8" x14ac:dyDescent="0.3">
      <c r="A278" s="6">
        <v>277</v>
      </c>
      <c r="B278" s="6">
        <f>YEAR(Base1[[#This Row],[Fechas]])</f>
        <v>2024</v>
      </c>
      <c r="C278" s="6">
        <f>MONTH(Base1[[#This Row],[Fechas]])</f>
        <v>5</v>
      </c>
      <c r="D278" s="6">
        <f>DAY(Base1[[#This Row],[Fechas]])</f>
        <v>7</v>
      </c>
      <c r="E278" s="6" t="str">
        <f>TEXT(Base1[[#This Row],[Fechas]],"DDDD")</f>
        <v>martes</v>
      </c>
      <c r="F278" s="6" t="str">
        <f>TEXT(Base1[[#This Row],[Fechas]],"MMMM")</f>
        <v>mayo</v>
      </c>
      <c r="G278" s="6">
        <f ca="1">_xlfn.DAYS(TODAY(),Base1[[#This Row],[Fechas]])</f>
        <v>778</v>
      </c>
      <c r="H278" s="7">
        <f ca="1">BaseA[[#This Row],[Días Transcurridos]]/360</f>
        <v>2.161111111111111</v>
      </c>
    </row>
    <row r="279" spans="1:8" x14ac:dyDescent="0.3">
      <c r="A279" s="6">
        <v>278</v>
      </c>
      <c r="B279" s="6">
        <f>YEAR(Base1[[#This Row],[Fechas]])</f>
        <v>2023</v>
      </c>
      <c r="C279" s="6">
        <f>MONTH(Base1[[#This Row],[Fechas]])</f>
        <v>9</v>
      </c>
      <c r="D279" s="6">
        <f>DAY(Base1[[#This Row],[Fechas]])</f>
        <v>18</v>
      </c>
      <c r="E279" s="6" t="str">
        <f>TEXT(Base1[[#This Row],[Fechas]],"DDDD")</f>
        <v>lunes</v>
      </c>
      <c r="F279" s="6" t="str">
        <f>TEXT(Base1[[#This Row],[Fechas]],"MMMM")</f>
        <v>septiembre</v>
      </c>
      <c r="G279" s="6">
        <f ca="1">_xlfn.DAYS(TODAY(),Base1[[#This Row],[Fechas]])</f>
        <v>1010</v>
      </c>
      <c r="H279" s="7">
        <f ca="1">BaseA[[#This Row],[Días Transcurridos]]/360</f>
        <v>2.8055555555555554</v>
      </c>
    </row>
    <row r="280" spans="1:8" x14ac:dyDescent="0.3">
      <c r="A280" s="6">
        <v>279</v>
      </c>
      <c r="B280" s="6">
        <f>YEAR(Base1[[#This Row],[Fechas]])</f>
        <v>2025</v>
      </c>
      <c r="C280" s="6">
        <f>MONTH(Base1[[#This Row],[Fechas]])</f>
        <v>9</v>
      </c>
      <c r="D280" s="6">
        <f>DAY(Base1[[#This Row],[Fechas]])</f>
        <v>26</v>
      </c>
      <c r="E280" s="6" t="str">
        <f>TEXT(Base1[[#This Row],[Fechas]],"DDDD")</f>
        <v>viernes</v>
      </c>
      <c r="F280" s="6" t="str">
        <f>TEXT(Base1[[#This Row],[Fechas]],"MMMM")</f>
        <v>septiembre</v>
      </c>
      <c r="G280" s="6">
        <f ca="1">_xlfn.DAYS(TODAY(),Base1[[#This Row],[Fechas]])</f>
        <v>271</v>
      </c>
      <c r="H280" s="7">
        <f ca="1">BaseA[[#This Row],[Días Transcurridos]]/360</f>
        <v>0.75277777777777777</v>
      </c>
    </row>
    <row r="281" spans="1:8" x14ac:dyDescent="0.3">
      <c r="A281" s="6">
        <v>280</v>
      </c>
      <c r="B281" s="6">
        <f>YEAR(Base1[[#This Row],[Fechas]])</f>
        <v>2025</v>
      </c>
      <c r="C281" s="6">
        <f>MONTH(Base1[[#This Row],[Fechas]])</f>
        <v>6</v>
      </c>
      <c r="D281" s="6">
        <f>DAY(Base1[[#This Row],[Fechas]])</f>
        <v>18</v>
      </c>
      <c r="E281" s="6" t="str">
        <f>TEXT(Base1[[#This Row],[Fechas]],"DDDD")</f>
        <v>miércoles</v>
      </c>
      <c r="F281" s="6" t="str">
        <f>TEXT(Base1[[#This Row],[Fechas]],"MMMM")</f>
        <v>junio</v>
      </c>
      <c r="G281" s="6">
        <f ca="1">_xlfn.DAYS(TODAY(),Base1[[#This Row],[Fechas]])</f>
        <v>371</v>
      </c>
      <c r="H281" s="7">
        <f ca="1">BaseA[[#This Row],[Días Transcurridos]]/360</f>
        <v>1.0305555555555554</v>
      </c>
    </row>
    <row r="282" spans="1:8" x14ac:dyDescent="0.3">
      <c r="A282" s="6">
        <v>281</v>
      </c>
      <c r="B282" s="6">
        <f>YEAR(Base1[[#This Row],[Fechas]])</f>
        <v>2024</v>
      </c>
      <c r="C282" s="6">
        <f>MONTH(Base1[[#This Row],[Fechas]])</f>
        <v>12</v>
      </c>
      <c r="D282" s="6">
        <f>DAY(Base1[[#This Row],[Fechas]])</f>
        <v>9</v>
      </c>
      <c r="E282" s="6" t="str">
        <f>TEXT(Base1[[#This Row],[Fechas]],"DDDD")</f>
        <v>lunes</v>
      </c>
      <c r="F282" s="6" t="str">
        <f>TEXT(Base1[[#This Row],[Fechas]],"MMMM")</f>
        <v>diciembre</v>
      </c>
      <c r="G282" s="6">
        <f ca="1">_xlfn.DAYS(TODAY(),Base1[[#This Row],[Fechas]])</f>
        <v>562</v>
      </c>
      <c r="H282" s="7">
        <f ca="1">BaseA[[#This Row],[Días Transcurridos]]/360</f>
        <v>1.5611111111111111</v>
      </c>
    </row>
    <row r="283" spans="1:8" x14ac:dyDescent="0.3">
      <c r="A283" s="6">
        <v>282</v>
      </c>
      <c r="B283" s="6">
        <f>YEAR(Base1[[#This Row],[Fechas]])</f>
        <v>2025</v>
      </c>
      <c r="C283" s="6">
        <f>MONTH(Base1[[#This Row],[Fechas]])</f>
        <v>2</v>
      </c>
      <c r="D283" s="6">
        <f>DAY(Base1[[#This Row],[Fechas]])</f>
        <v>3</v>
      </c>
      <c r="E283" s="6" t="str">
        <f>TEXT(Base1[[#This Row],[Fechas]],"DDDD")</f>
        <v>lunes</v>
      </c>
      <c r="F283" s="6" t="str">
        <f>TEXT(Base1[[#This Row],[Fechas]],"MMMM")</f>
        <v>febrero</v>
      </c>
      <c r="G283" s="6">
        <f ca="1">_xlfn.DAYS(TODAY(),Base1[[#This Row],[Fechas]])</f>
        <v>506</v>
      </c>
      <c r="H283" s="7">
        <f ca="1">BaseA[[#This Row],[Días Transcurridos]]/360</f>
        <v>1.4055555555555554</v>
      </c>
    </row>
    <row r="284" spans="1:8" x14ac:dyDescent="0.3">
      <c r="A284" s="6">
        <v>283</v>
      </c>
      <c r="B284" s="6">
        <f>YEAR(Base1[[#This Row],[Fechas]])</f>
        <v>2024</v>
      </c>
      <c r="C284" s="6">
        <f>MONTH(Base1[[#This Row],[Fechas]])</f>
        <v>3</v>
      </c>
      <c r="D284" s="6">
        <f>DAY(Base1[[#This Row],[Fechas]])</f>
        <v>22</v>
      </c>
      <c r="E284" s="6" t="str">
        <f>TEXT(Base1[[#This Row],[Fechas]],"DDDD")</f>
        <v>viernes</v>
      </c>
      <c r="F284" s="6" t="str">
        <f>TEXT(Base1[[#This Row],[Fechas]],"MMMM")</f>
        <v>marzo</v>
      </c>
      <c r="G284" s="6">
        <f ca="1">_xlfn.DAYS(TODAY(),Base1[[#This Row],[Fechas]])</f>
        <v>824</v>
      </c>
      <c r="H284" s="7">
        <f ca="1">BaseA[[#This Row],[Días Transcurridos]]/360</f>
        <v>2.2888888888888888</v>
      </c>
    </row>
    <row r="285" spans="1:8" x14ac:dyDescent="0.3">
      <c r="A285" s="6">
        <v>284</v>
      </c>
      <c r="B285" s="6">
        <f>YEAR(Base1[[#This Row],[Fechas]])</f>
        <v>2023</v>
      </c>
      <c r="C285" s="6">
        <f>MONTH(Base1[[#This Row],[Fechas]])</f>
        <v>2</v>
      </c>
      <c r="D285" s="6">
        <f>DAY(Base1[[#This Row],[Fechas]])</f>
        <v>4</v>
      </c>
      <c r="E285" s="6" t="str">
        <f>TEXT(Base1[[#This Row],[Fechas]],"DDDD")</f>
        <v>sábado</v>
      </c>
      <c r="F285" s="6" t="str">
        <f>TEXT(Base1[[#This Row],[Fechas]],"MMMM")</f>
        <v>febrero</v>
      </c>
      <c r="G285" s="6">
        <f ca="1">_xlfn.DAYS(TODAY(),Base1[[#This Row],[Fechas]])</f>
        <v>1236</v>
      </c>
      <c r="H285" s="7">
        <f ca="1">BaseA[[#This Row],[Días Transcurridos]]/360</f>
        <v>3.4333333333333331</v>
      </c>
    </row>
    <row r="286" spans="1:8" x14ac:dyDescent="0.3">
      <c r="A286" s="6">
        <v>285</v>
      </c>
      <c r="B286" s="6">
        <f>YEAR(Base1[[#This Row],[Fechas]])</f>
        <v>2024</v>
      </c>
      <c r="C286" s="6">
        <f>MONTH(Base1[[#This Row],[Fechas]])</f>
        <v>11</v>
      </c>
      <c r="D286" s="6">
        <f>DAY(Base1[[#This Row],[Fechas]])</f>
        <v>26</v>
      </c>
      <c r="E286" s="6" t="str">
        <f>TEXT(Base1[[#This Row],[Fechas]],"DDDD")</f>
        <v>martes</v>
      </c>
      <c r="F286" s="6" t="str">
        <f>TEXT(Base1[[#This Row],[Fechas]],"MMMM")</f>
        <v>noviembre</v>
      </c>
      <c r="G286" s="6">
        <f ca="1">_xlfn.DAYS(TODAY(),Base1[[#This Row],[Fechas]])</f>
        <v>575</v>
      </c>
      <c r="H286" s="7">
        <f ca="1">BaseA[[#This Row],[Días Transcurridos]]/360</f>
        <v>1.5972222222222223</v>
      </c>
    </row>
    <row r="287" spans="1:8" x14ac:dyDescent="0.3">
      <c r="A287" s="6">
        <v>286</v>
      </c>
      <c r="B287" s="6">
        <f>YEAR(Base1[[#This Row],[Fechas]])</f>
        <v>2024</v>
      </c>
      <c r="C287" s="6">
        <f>MONTH(Base1[[#This Row],[Fechas]])</f>
        <v>7</v>
      </c>
      <c r="D287" s="6">
        <f>DAY(Base1[[#This Row],[Fechas]])</f>
        <v>30</v>
      </c>
      <c r="E287" s="6" t="str">
        <f>TEXT(Base1[[#This Row],[Fechas]],"DDDD")</f>
        <v>martes</v>
      </c>
      <c r="F287" s="6" t="str">
        <f>TEXT(Base1[[#This Row],[Fechas]],"MMMM")</f>
        <v>julio</v>
      </c>
      <c r="G287" s="6">
        <f ca="1">_xlfn.DAYS(TODAY(),Base1[[#This Row],[Fechas]])</f>
        <v>694</v>
      </c>
      <c r="H287" s="7">
        <f ca="1">BaseA[[#This Row],[Días Transcurridos]]/360</f>
        <v>1.9277777777777778</v>
      </c>
    </row>
    <row r="288" spans="1:8" x14ac:dyDescent="0.3">
      <c r="A288" s="6">
        <v>287</v>
      </c>
      <c r="B288" s="6">
        <f>YEAR(Base1[[#This Row],[Fechas]])</f>
        <v>2025</v>
      </c>
      <c r="C288" s="6">
        <f>MONTH(Base1[[#This Row],[Fechas]])</f>
        <v>12</v>
      </c>
      <c r="D288" s="6">
        <f>DAY(Base1[[#This Row],[Fechas]])</f>
        <v>23</v>
      </c>
      <c r="E288" s="6" t="str">
        <f>TEXT(Base1[[#This Row],[Fechas]],"DDDD")</f>
        <v>martes</v>
      </c>
      <c r="F288" s="6" t="str">
        <f>TEXT(Base1[[#This Row],[Fechas]],"MMMM")</f>
        <v>diciembre</v>
      </c>
      <c r="G288" s="6">
        <f ca="1">_xlfn.DAYS(TODAY(),Base1[[#This Row],[Fechas]])</f>
        <v>183</v>
      </c>
      <c r="H288" s="7">
        <f ca="1">BaseA[[#This Row],[Días Transcurridos]]/360</f>
        <v>0.5083333333333333</v>
      </c>
    </row>
    <row r="289" spans="1:8" x14ac:dyDescent="0.3">
      <c r="A289" s="6">
        <v>288</v>
      </c>
      <c r="B289" s="6">
        <f>YEAR(Base1[[#This Row],[Fechas]])</f>
        <v>2025</v>
      </c>
      <c r="C289" s="6">
        <f>MONTH(Base1[[#This Row],[Fechas]])</f>
        <v>7</v>
      </c>
      <c r="D289" s="6">
        <f>DAY(Base1[[#This Row],[Fechas]])</f>
        <v>14</v>
      </c>
      <c r="E289" s="6" t="str">
        <f>TEXT(Base1[[#This Row],[Fechas]],"DDDD")</f>
        <v>lunes</v>
      </c>
      <c r="F289" s="6" t="str">
        <f>TEXT(Base1[[#This Row],[Fechas]],"MMMM")</f>
        <v>julio</v>
      </c>
      <c r="G289" s="6">
        <f ca="1">_xlfn.DAYS(TODAY(),Base1[[#This Row],[Fechas]])</f>
        <v>345</v>
      </c>
      <c r="H289" s="7">
        <f ca="1">BaseA[[#This Row],[Días Transcurridos]]/360</f>
        <v>0.95833333333333337</v>
      </c>
    </row>
    <row r="290" spans="1:8" x14ac:dyDescent="0.3">
      <c r="A290" s="6">
        <v>289</v>
      </c>
      <c r="B290" s="6">
        <f>YEAR(Base1[[#This Row],[Fechas]])</f>
        <v>2024</v>
      </c>
      <c r="C290" s="6">
        <f>MONTH(Base1[[#This Row],[Fechas]])</f>
        <v>6</v>
      </c>
      <c r="D290" s="6">
        <f>DAY(Base1[[#This Row],[Fechas]])</f>
        <v>19</v>
      </c>
      <c r="E290" s="6" t="str">
        <f>TEXT(Base1[[#This Row],[Fechas]],"DDDD")</f>
        <v>miércoles</v>
      </c>
      <c r="F290" s="6" t="str">
        <f>TEXT(Base1[[#This Row],[Fechas]],"MMMM")</f>
        <v>junio</v>
      </c>
      <c r="G290" s="6">
        <f ca="1">_xlfn.DAYS(TODAY(),Base1[[#This Row],[Fechas]])</f>
        <v>735</v>
      </c>
      <c r="H290" s="7">
        <f ca="1">BaseA[[#This Row],[Días Transcurridos]]/360</f>
        <v>2.0416666666666665</v>
      </c>
    </row>
    <row r="291" spans="1:8" x14ac:dyDescent="0.3">
      <c r="A291" s="6">
        <v>290</v>
      </c>
      <c r="B291" s="6">
        <f>YEAR(Base1[[#This Row],[Fechas]])</f>
        <v>2024</v>
      </c>
      <c r="C291" s="6">
        <f>MONTH(Base1[[#This Row],[Fechas]])</f>
        <v>7</v>
      </c>
      <c r="D291" s="6">
        <f>DAY(Base1[[#This Row],[Fechas]])</f>
        <v>14</v>
      </c>
      <c r="E291" s="6" t="str">
        <f>TEXT(Base1[[#This Row],[Fechas]],"DDDD")</f>
        <v>domingo</v>
      </c>
      <c r="F291" s="6" t="str">
        <f>TEXT(Base1[[#This Row],[Fechas]],"MMMM")</f>
        <v>julio</v>
      </c>
      <c r="G291" s="6">
        <f ca="1">_xlfn.DAYS(TODAY(),Base1[[#This Row],[Fechas]])</f>
        <v>710</v>
      </c>
      <c r="H291" s="7">
        <f ca="1">BaseA[[#This Row],[Días Transcurridos]]/360</f>
        <v>1.9722222222222223</v>
      </c>
    </row>
    <row r="292" spans="1:8" x14ac:dyDescent="0.3">
      <c r="A292" s="6">
        <v>291</v>
      </c>
      <c r="B292" s="6">
        <f>YEAR(Base1[[#This Row],[Fechas]])</f>
        <v>2025</v>
      </c>
      <c r="C292" s="6">
        <f>MONTH(Base1[[#This Row],[Fechas]])</f>
        <v>8</v>
      </c>
      <c r="D292" s="6">
        <f>DAY(Base1[[#This Row],[Fechas]])</f>
        <v>13</v>
      </c>
      <c r="E292" s="6" t="str">
        <f>TEXT(Base1[[#This Row],[Fechas]],"DDDD")</f>
        <v>miércoles</v>
      </c>
      <c r="F292" s="6" t="str">
        <f>TEXT(Base1[[#This Row],[Fechas]],"MMMM")</f>
        <v>agosto</v>
      </c>
      <c r="G292" s="6">
        <f ca="1">_xlfn.DAYS(TODAY(),Base1[[#This Row],[Fechas]])</f>
        <v>315</v>
      </c>
      <c r="H292" s="7">
        <f ca="1">BaseA[[#This Row],[Días Transcurridos]]/360</f>
        <v>0.875</v>
      </c>
    </row>
    <row r="293" spans="1:8" x14ac:dyDescent="0.3">
      <c r="A293" s="6">
        <v>292</v>
      </c>
      <c r="B293" s="6">
        <f>YEAR(Base1[[#This Row],[Fechas]])</f>
        <v>2025</v>
      </c>
      <c r="C293" s="6">
        <f>MONTH(Base1[[#This Row],[Fechas]])</f>
        <v>2</v>
      </c>
      <c r="D293" s="6">
        <f>DAY(Base1[[#This Row],[Fechas]])</f>
        <v>11</v>
      </c>
      <c r="E293" s="6" t="str">
        <f>TEXT(Base1[[#This Row],[Fechas]],"DDDD")</f>
        <v>martes</v>
      </c>
      <c r="F293" s="6" t="str">
        <f>TEXT(Base1[[#This Row],[Fechas]],"MMMM")</f>
        <v>febrero</v>
      </c>
      <c r="G293" s="6">
        <f ca="1">_xlfn.DAYS(TODAY(),Base1[[#This Row],[Fechas]])</f>
        <v>498</v>
      </c>
      <c r="H293" s="7">
        <f ca="1">BaseA[[#This Row],[Días Transcurridos]]/360</f>
        <v>1.3833333333333333</v>
      </c>
    </row>
    <row r="294" spans="1:8" x14ac:dyDescent="0.3">
      <c r="A294" s="6">
        <v>293</v>
      </c>
      <c r="B294" s="6">
        <f>YEAR(Base1[[#This Row],[Fechas]])</f>
        <v>2025</v>
      </c>
      <c r="C294" s="6">
        <f>MONTH(Base1[[#This Row],[Fechas]])</f>
        <v>10</v>
      </c>
      <c r="D294" s="6">
        <f>DAY(Base1[[#This Row],[Fechas]])</f>
        <v>12</v>
      </c>
      <c r="E294" s="6" t="str">
        <f>TEXT(Base1[[#This Row],[Fechas]],"DDDD")</f>
        <v>domingo</v>
      </c>
      <c r="F294" s="6" t="str">
        <f>TEXT(Base1[[#This Row],[Fechas]],"MMMM")</f>
        <v>octubre</v>
      </c>
      <c r="G294" s="6">
        <f ca="1">_xlfn.DAYS(TODAY(),Base1[[#This Row],[Fechas]])</f>
        <v>255</v>
      </c>
      <c r="H294" s="7">
        <f ca="1">BaseA[[#This Row],[Días Transcurridos]]/360</f>
        <v>0.70833333333333337</v>
      </c>
    </row>
    <row r="295" spans="1:8" x14ac:dyDescent="0.3">
      <c r="A295" s="6">
        <v>294</v>
      </c>
      <c r="B295" s="6">
        <f>YEAR(Base1[[#This Row],[Fechas]])</f>
        <v>2025</v>
      </c>
      <c r="C295" s="6">
        <f>MONTH(Base1[[#This Row],[Fechas]])</f>
        <v>11</v>
      </c>
      <c r="D295" s="6">
        <f>DAY(Base1[[#This Row],[Fechas]])</f>
        <v>29</v>
      </c>
      <c r="E295" s="6" t="str">
        <f>TEXT(Base1[[#This Row],[Fechas]],"DDDD")</f>
        <v>sábado</v>
      </c>
      <c r="F295" s="6" t="str">
        <f>TEXT(Base1[[#This Row],[Fechas]],"MMMM")</f>
        <v>noviembre</v>
      </c>
      <c r="G295" s="6">
        <f ca="1">_xlfn.DAYS(TODAY(),Base1[[#This Row],[Fechas]])</f>
        <v>207</v>
      </c>
      <c r="H295" s="7">
        <f ca="1">BaseA[[#This Row],[Días Transcurridos]]/360</f>
        <v>0.57499999999999996</v>
      </c>
    </row>
    <row r="296" spans="1:8" x14ac:dyDescent="0.3">
      <c r="A296" s="6">
        <v>295</v>
      </c>
      <c r="B296" s="6">
        <f>YEAR(Base1[[#This Row],[Fechas]])</f>
        <v>2025</v>
      </c>
      <c r="C296" s="6">
        <f>MONTH(Base1[[#This Row],[Fechas]])</f>
        <v>2</v>
      </c>
      <c r="D296" s="6">
        <f>DAY(Base1[[#This Row],[Fechas]])</f>
        <v>6</v>
      </c>
      <c r="E296" s="6" t="str">
        <f>TEXT(Base1[[#This Row],[Fechas]],"DDDD")</f>
        <v>jueves</v>
      </c>
      <c r="F296" s="6" t="str">
        <f>TEXT(Base1[[#This Row],[Fechas]],"MMMM")</f>
        <v>febrero</v>
      </c>
      <c r="G296" s="6">
        <f ca="1">_xlfn.DAYS(TODAY(),Base1[[#This Row],[Fechas]])</f>
        <v>503</v>
      </c>
      <c r="H296" s="7">
        <f ca="1">BaseA[[#This Row],[Días Transcurridos]]/360</f>
        <v>1.3972222222222221</v>
      </c>
    </row>
    <row r="297" spans="1:8" x14ac:dyDescent="0.3">
      <c r="A297" s="6">
        <v>296</v>
      </c>
      <c r="B297" s="6">
        <f>YEAR(Base1[[#This Row],[Fechas]])</f>
        <v>2025</v>
      </c>
      <c r="C297" s="6">
        <f>MONTH(Base1[[#This Row],[Fechas]])</f>
        <v>8</v>
      </c>
      <c r="D297" s="6">
        <f>DAY(Base1[[#This Row],[Fechas]])</f>
        <v>3</v>
      </c>
      <c r="E297" s="6" t="str">
        <f>TEXT(Base1[[#This Row],[Fechas]],"DDDD")</f>
        <v>domingo</v>
      </c>
      <c r="F297" s="6" t="str">
        <f>TEXT(Base1[[#This Row],[Fechas]],"MMMM")</f>
        <v>agosto</v>
      </c>
      <c r="G297" s="6">
        <f ca="1">_xlfn.DAYS(TODAY(),Base1[[#This Row],[Fechas]])</f>
        <v>325</v>
      </c>
      <c r="H297" s="7">
        <f ca="1">BaseA[[#This Row],[Días Transcurridos]]/360</f>
        <v>0.90277777777777779</v>
      </c>
    </row>
    <row r="298" spans="1:8" x14ac:dyDescent="0.3">
      <c r="A298" s="6">
        <v>297</v>
      </c>
      <c r="B298" s="6">
        <f>YEAR(Base1[[#This Row],[Fechas]])</f>
        <v>2025</v>
      </c>
      <c r="C298" s="6">
        <f>MONTH(Base1[[#This Row],[Fechas]])</f>
        <v>6</v>
      </c>
      <c r="D298" s="6">
        <f>DAY(Base1[[#This Row],[Fechas]])</f>
        <v>22</v>
      </c>
      <c r="E298" s="6" t="str">
        <f>TEXT(Base1[[#This Row],[Fechas]],"DDDD")</f>
        <v>domingo</v>
      </c>
      <c r="F298" s="6" t="str">
        <f>TEXT(Base1[[#This Row],[Fechas]],"MMMM")</f>
        <v>junio</v>
      </c>
      <c r="G298" s="6">
        <f ca="1">_xlfn.DAYS(TODAY(),Base1[[#This Row],[Fechas]])</f>
        <v>367</v>
      </c>
      <c r="H298" s="7">
        <f ca="1">BaseA[[#This Row],[Días Transcurridos]]/360</f>
        <v>1.0194444444444444</v>
      </c>
    </row>
    <row r="299" spans="1:8" x14ac:dyDescent="0.3">
      <c r="A299" s="6">
        <v>298</v>
      </c>
      <c r="B299" s="6">
        <f>YEAR(Base1[[#This Row],[Fechas]])</f>
        <v>2025</v>
      </c>
      <c r="C299" s="6">
        <f>MONTH(Base1[[#This Row],[Fechas]])</f>
        <v>11</v>
      </c>
      <c r="D299" s="6">
        <f>DAY(Base1[[#This Row],[Fechas]])</f>
        <v>20</v>
      </c>
      <c r="E299" s="6" t="str">
        <f>TEXT(Base1[[#This Row],[Fechas]],"DDDD")</f>
        <v>jueves</v>
      </c>
      <c r="F299" s="6" t="str">
        <f>TEXT(Base1[[#This Row],[Fechas]],"MMMM")</f>
        <v>noviembre</v>
      </c>
      <c r="G299" s="6">
        <f ca="1">_xlfn.DAYS(TODAY(),Base1[[#This Row],[Fechas]])</f>
        <v>216</v>
      </c>
      <c r="H299" s="7">
        <f ca="1">BaseA[[#This Row],[Días Transcurridos]]/360</f>
        <v>0.6</v>
      </c>
    </row>
    <row r="300" spans="1:8" x14ac:dyDescent="0.3">
      <c r="A300" s="6">
        <v>299</v>
      </c>
      <c r="B300" s="6">
        <f>YEAR(Base1[[#This Row],[Fechas]])</f>
        <v>2025</v>
      </c>
      <c r="C300" s="6">
        <f>MONTH(Base1[[#This Row],[Fechas]])</f>
        <v>9</v>
      </c>
      <c r="D300" s="6">
        <f>DAY(Base1[[#This Row],[Fechas]])</f>
        <v>4</v>
      </c>
      <c r="E300" s="6" t="str">
        <f>TEXT(Base1[[#This Row],[Fechas]],"DDDD")</f>
        <v>jueves</v>
      </c>
      <c r="F300" s="6" t="str">
        <f>TEXT(Base1[[#This Row],[Fechas]],"MMMM")</f>
        <v>septiembre</v>
      </c>
      <c r="G300" s="6">
        <f ca="1">_xlfn.DAYS(TODAY(),Base1[[#This Row],[Fechas]])</f>
        <v>293</v>
      </c>
      <c r="H300" s="7">
        <f ca="1">BaseA[[#This Row],[Días Transcurridos]]/360</f>
        <v>0.81388888888888888</v>
      </c>
    </row>
    <row r="301" spans="1:8" x14ac:dyDescent="0.3">
      <c r="A301" s="6">
        <v>300</v>
      </c>
      <c r="B301" s="6">
        <f>YEAR(Base1[[#This Row],[Fechas]])</f>
        <v>2023</v>
      </c>
      <c r="C301" s="6">
        <f>MONTH(Base1[[#This Row],[Fechas]])</f>
        <v>8</v>
      </c>
      <c r="D301" s="6">
        <f>DAY(Base1[[#This Row],[Fechas]])</f>
        <v>22</v>
      </c>
      <c r="E301" s="6" t="str">
        <f>TEXT(Base1[[#This Row],[Fechas]],"DDDD")</f>
        <v>martes</v>
      </c>
      <c r="F301" s="6" t="str">
        <f>TEXT(Base1[[#This Row],[Fechas]],"MMMM")</f>
        <v>agosto</v>
      </c>
      <c r="G301" s="6">
        <f ca="1">_xlfn.DAYS(TODAY(),Base1[[#This Row],[Fechas]])</f>
        <v>1037</v>
      </c>
      <c r="H301" s="7">
        <f ca="1">BaseA[[#This Row],[Días Transcurridos]]/360</f>
        <v>2.8805555555555555</v>
      </c>
    </row>
    <row r="302" spans="1:8" x14ac:dyDescent="0.3">
      <c r="A302" s="6">
        <v>301</v>
      </c>
      <c r="B302" s="6">
        <f>YEAR(Base1[[#This Row],[Fechas]])</f>
        <v>2024</v>
      </c>
      <c r="C302" s="6">
        <f>MONTH(Base1[[#This Row],[Fechas]])</f>
        <v>7</v>
      </c>
      <c r="D302" s="6">
        <f>DAY(Base1[[#This Row],[Fechas]])</f>
        <v>6</v>
      </c>
      <c r="E302" s="6" t="str">
        <f>TEXT(Base1[[#This Row],[Fechas]],"DDDD")</f>
        <v>sábado</v>
      </c>
      <c r="F302" s="6" t="str">
        <f>TEXT(Base1[[#This Row],[Fechas]],"MMMM")</f>
        <v>julio</v>
      </c>
      <c r="G302" s="6">
        <f ca="1">_xlfn.DAYS(TODAY(),Base1[[#This Row],[Fechas]])</f>
        <v>718</v>
      </c>
      <c r="H302" s="7">
        <f ca="1">BaseA[[#This Row],[Días Transcurridos]]/360</f>
        <v>1.9944444444444445</v>
      </c>
    </row>
    <row r="303" spans="1:8" x14ac:dyDescent="0.3">
      <c r="A303" s="6">
        <v>302</v>
      </c>
      <c r="B303" s="6">
        <f>YEAR(Base1[[#This Row],[Fechas]])</f>
        <v>2025</v>
      </c>
      <c r="C303" s="6">
        <f>MONTH(Base1[[#This Row],[Fechas]])</f>
        <v>12</v>
      </c>
      <c r="D303" s="6">
        <f>DAY(Base1[[#This Row],[Fechas]])</f>
        <v>14</v>
      </c>
      <c r="E303" s="6" t="str">
        <f>TEXT(Base1[[#This Row],[Fechas]],"DDDD")</f>
        <v>domingo</v>
      </c>
      <c r="F303" s="6" t="str">
        <f>TEXT(Base1[[#This Row],[Fechas]],"MMMM")</f>
        <v>diciembre</v>
      </c>
      <c r="G303" s="6">
        <f ca="1">_xlfn.DAYS(TODAY(),Base1[[#This Row],[Fechas]])</f>
        <v>192</v>
      </c>
      <c r="H303" s="7">
        <f ca="1">BaseA[[#This Row],[Días Transcurridos]]/360</f>
        <v>0.53333333333333333</v>
      </c>
    </row>
    <row r="304" spans="1:8" x14ac:dyDescent="0.3">
      <c r="A304" s="6">
        <v>303</v>
      </c>
      <c r="B304" s="6">
        <f>YEAR(Base1[[#This Row],[Fechas]])</f>
        <v>2023</v>
      </c>
      <c r="C304" s="6">
        <f>MONTH(Base1[[#This Row],[Fechas]])</f>
        <v>5</v>
      </c>
      <c r="D304" s="6">
        <f>DAY(Base1[[#This Row],[Fechas]])</f>
        <v>4</v>
      </c>
      <c r="E304" s="6" t="str">
        <f>TEXT(Base1[[#This Row],[Fechas]],"DDDD")</f>
        <v>jueves</v>
      </c>
      <c r="F304" s="6" t="str">
        <f>TEXT(Base1[[#This Row],[Fechas]],"MMMM")</f>
        <v>mayo</v>
      </c>
      <c r="G304" s="6">
        <f ca="1">_xlfn.DAYS(TODAY(),Base1[[#This Row],[Fechas]])</f>
        <v>1147</v>
      </c>
      <c r="H304" s="7">
        <f ca="1">BaseA[[#This Row],[Días Transcurridos]]/360</f>
        <v>3.1861111111111109</v>
      </c>
    </row>
    <row r="305" spans="1:8" x14ac:dyDescent="0.3">
      <c r="A305" s="6">
        <v>304</v>
      </c>
      <c r="B305" s="6">
        <f>YEAR(Base1[[#This Row],[Fechas]])</f>
        <v>2025</v>
      </c>
      <c r="C305" s="6">
        <f>MONTH(Base1[[#This Row],[Fechas]])</f>
        <v>7</v>
      </c>
      <c r="D305" s="6">
        <f>DAY(Base1[[#This Row],[Fechas]])</f>
        <v>16</v>
      </c>
      <c r="E305" s="6" t="str">
        <f>TEXT(Base1[[#This Row],[Fechas]],"DDDD")</f>
        <v>miércoles</v>
      </c>
      <c r="F305" s="6" t="str">
        <f>TEXT(Base1[[#This Row],[Fechas]],"MMMM")</f>
        <v>julio</v>
      </c>
      <c r="G305" s="6">
        <f ca="1">_xlfn.DAYS(TODAY(),Base1[[#This Row],[Fechas]])</f>
        <v>343</v>
      </c>
      <c r="H305" s="7">
        <f ca="1">BaseA[[#This Row],[Días Transcurridos]]/360</f>
        <v>0.95277777777777772</v>
      </c>
    </row>
    <row r="306" spans="1:8" x14ac:dyDescent="0.3">
      <c r="A306" s="6">
        <v>305</v>
      </c>
      <c r="B306" s="6">
        <f>YEAR(Base1[[#This Row],[Fechas]])</f>
        <v>2025</v>
      </c>
      <c r="C306" s="6">
        <f>MONTH(Base1[[#This Row],[Fechas]])</f>
        <v>6</v>
      </c>
      <c r="D306" s="6">
        <f>DAY(Base1[[#This Row],[Fechas]])</f>
        <v>19</v>
      </c>
      <c r="E306" s="6" t="str">
        <f>TEXT(Base1[[#This Row],[Fechas]],"DDDD")</f>
        <v>jueves</v>
      </c>
      <c r="F306" s="6" t="str">
        <f>TEXT(Base1[[#This Row],[Fechas]],"MMMM")</f>
        <v>junio</v>
      </c>
      <c r="G306" s="6">
        <f ca="1">_xlfn.DAYS(TODAY(),Base1[[#This Row],[Fechas]])</f>
        <v>370</v>
      </c>
      <c r="H306" s="7">
        <f ca="1">BaseA[[#This Row],[Días Transcurridos]]/360</f>
        <v>1.0277777777777777</v>
      </c>
    </row>
    <row r="307" spans="1:8" x14ac:dyDescent="0.3">
      <c r="A307" s="6">
        <v>306</v>
      </c>
      <c r="B307" s="6">
        <f>YEAR(Base1[[#This Row],[Fechas]])</f>
        <v>2025</v>
      </c>
      <c r="C307" s="6">
        <f>MONTH(Base1[[#This Row],[Fechas]])</f>
        <v>11</v>
      </c>
      <c r="D307" s="6">
        <f>DAY(Base1[[#This Row],[Fechas]])</f>
        <v>1</v>
      </c>
      <c r="E307" s="6" t="str">
        <f>TEXT(Base1[[#This Row],[Fechas]],"DDDD")</f>
        <v>sábado</v>
      </c>
      <c r="F307" s="6" t="str">
        <f>TEXT(Base1[[#This Row],[Fechas]],"MMMM")</f>
        <v>noviembre</v>
      </c>
      <c r="G307" s="6">
        <f ca="1">_xlfn.DAYS(TODAY(),Base1[[#This Row],[Fechas]])</f>
        <v>235</v>
      </c>
      <c r="H307" s="7">
        <f ca="1">BaseA[[#This Row],[Días Transcurridos]]/360</f>
        <v>0.65277777777777779</v>
      </c>
    </row>
    <row r="308" spans="1:8" x14ac:dyDescent="0.3">
      <c r="A308" s="6">
        <v>307</v>
      </c>
      <c r="B308" s="6">
        <f>YEAR(Base1[[#This Row],[Fechas]])</f>
        <v>2025</v>
      </c>
      <c r="C308" s="6">
        <f>MONTH(Base1[[#This Row],[Fechas]])</f>
        <v>3</v>
      </c>
      <c r="D308" s="6">
        <f>DAY(Base1[[#This Row],[Fechas]])</f>
        <v>8</v>
      </c>
      <c r="E308" s="6" t="str">
        <f>TEXT(Base1[[#This Row],[Fechas]],"DDDD")</f>
        <v>sábado</v>
      </c>
      <c r="F308" s="6" t="str">
        <f>TEXT(Base1[[#This Row],[Fechas]],"MMMM")</f>
        <v>marzo</v>
      </c>
      <c r="G308" s="6">
        <f ca="1">_xlfn.DAYS(TODAY(),Base1[[#This Row],[Fechas]])</f>
        <v>473</v>
      </c>
      <c r="H308" s="7">
        <f ca="1">BaseA[[#This Row],[Días Transcurridos]]/360</f>
        <v>1.3138888888888889</v>
      </c>
    </row>
    <row r="309" spans="1:8" x14ac:dyDescent="0.3">
      <c r="A309" s="6">
        <v>308</v>
      </c>
      <c r="B309" s="6">
        <f>YEAR(Base1[[#This Row],[Fechas]])</f>
        <v>2025</v>
      </c>
      <c r="C309" s="6">
        <f>MONTH(Base1[[#This Row],[Fechas]])</f>
        <v>6</v>
      </c>
      <c r="D309" s="6">
        <f>DAY(Base1[[#This Row],[Fechas]])</f>
        <v>9</v>
      </c>
      <c r="E309" s="6" t="str">
        <f>TEXT(Base1[[#This Row],[Fechas]],"DDDD")</f>
        <v>lunes</v>
      </c>
      <c r="F309" s="6" t="str">
        <f>TEXT(Base1[[#This Row],[Fechas]],"MMMM")</f>
        <v>junio</v>
      </c>
      <c r="G309" s="6">
        <f ca="1">_xlfn.DAYS(TODAY(),Base1[[#This Row],[Fechas]])</f>
        <v>380</v>
      </c>
      <c r="H309" s="7">
        <f ca="1">BaseA[[#This Row],[Días Transcurridos]]/360</f>
        <v>1.0555555555555556</v>
      </c>
    </row>
    <row r="310" spans="1:8" x14ac:dyDescent="0.3">
      <c r="A310" s="6">
        <v>309</v>
      </c>
      <c r="B310" s="6">
        <f>YEAR(Base1[[#This Row],[Fechas]])</f>
        <v>2025</v>
      </c>
      <c r="C310" s="6">
        <f>MONTH(Base1[[#This Row],[Fechas]])</f>
        <v>9</v>
      </c>
      <c r="D310" s="6">
        <f>DAY(Base1[[#This Row],[Fechas]])</f>
        <v>4</v>
      </c>
      <c r="E310" s="6" t="str">
        <f>TEXT(Base1[[#This Row],[Fechas]],"DDDD")</f>
        <v>jueves</v>
      </c>
      <c r="F310" s="6" t="str">
        <f>TEXT(Base1[[#This Row],[Fechas]],"MMMM")</f>
        <v>septiembre</v>
      </c>
      <c r="G310" s="6">
        <f ca="1">_xlfn.DAYS(TODAY(),Base1[[#This Row],[Fechas]])</f>
        <v>293</v>
      </c>
      <c r="H310" s="7">
        <f ca="1">BaseA[[#This Row],[Días Transcurridos]]/360</f>
        <v>0.81388888888888888</v>
      </c>
    </row>
    <row r="311" spans="1:8" x14ac:dyDescent="0.3">
      <c r="A311" s="6">
        <v>310</v>
      </c>
      <c r="B311" s="6">
        <f>YEAR(Base1[[#This Row],[Fechas]])</f>
        <v>2025</v>
      </c>
      <c r="C311" s="6">
        <f>MONTH(Base1[[#This Row],[Fechas]])</f>
        <v>4</v>
      </c>
      <c r="D311" s="6">
        <f>DAY(Base1[[#This Row],[Fechas]])</f>
        <v>13</v>
      </c>
      <c r="E311" s="6" t="str">
        <f>TEXT(Base1[[#This Row],[Fechas]],"DDDD")</f>
        <v>domingo</v>
      </c>
      <c r="F311" s="6" t="str">
        <f>TEXT(Base1[[#This Row],[Fechas]],"MMMM")</f>
        <v>abril</v>
      </c>
      <c r="G311" s="6">
        <f ca="1">_xlfn.DAYS(TODAY(),Base1[[#This Row],[Fechas]])</f>
        <v>437</v>
      </c>
      <c r="H311" s="7">
        <f ca="1">BaseA[[#This Row],[Días Transcurridos]]/360</f>
        <v>1.2138888888888888</v>
      </c>
    </row>
    <row r="312" spans="1:8" x14ac:dyDescent="0.3">
      <c r="A312" s="6">
        <v>311</v>
      </c>
      <c r="B312" s="6">
        <f>YEAR(Base1[[#This Row],[Fechas]])</f>
        <v>2023</v>
      </c>
      <c r="C312" s="6">
        <f>MONTH(Base1[[#This Row],[Fechas]])</f>
        <v>5</v>
      </c>
      <c r="D312" s="6">
        <f>DAY(Base1[[#This Row],[Fechas]])</f>
        <v>21</v>
      </c>
      <c r="E312" s="6" t="str">
        <f>TEXT(Base1[[#This Row],[Fechas]],"DDDD")</f>
        <v>domingo</v>
      </c>
      <c r="F312" s="6" t="str">
        <f>TEXT(Base1[[#This Row],[Fechas]],"MMMM")</f>
        <v>mayo</v>
      </c>
      <c r="G312" s="6">
        <f ca="1">_xlfn.DAYS(TODAY(),Base1[[#This Row],[Fechas]])</f>
        <v>1130</v>
      </c>
      <c r="H312" s="7">
        <f ca="1">BaseA[[#This Row],[Días Transcurridos]]/360</f>
        <v>3.1388888888888888</v>
      </c>
    </row>
    <row r="313" spans="1:8" x14ac:dyDescent="0.3">
      <c r="A313" s="6">
        <v>312</v>
      </c>
      <c r="B313" s="6">
        <f>YEAR(Base1[[#This Row],[Fechas]])</f>
        <v>2025</v>
      </c>
      <c r="C313" s="6">
        <f>MONTH(Base1[[#This Row],[Fechas]])</f>
        <v>6</v>
      </c>
      <c r="D313" s="6">
        <f>DAY(Base1[[#This Row],[Fechas]])</f>
        <v>22</v>
      </c>
      <c r="E313" s="6" t="str">
        <f>TEXT(Base1[[#This Row],[Fechas]],"DDDD")</f>
        <v>domingo</v>
      </c>
      <c r="F313" s="6" t="str">
        <f>TEXT(Base1[[#This Row],[Fechas]],"MMMM")</f>
        <v>junio</v>
      </c>
      <c r="G313" s="6">
        <f ca="1">_xlfn.DAYS(TODAY(),Base1[[#This Row],[Fechas]])</f>
        <v>367</v>
      </c>
      <c r="H313" s="7">
        <f ca="1">BaseA[[#This Row],[Días Transcurridos]]/360</f>
        <v>1.0194444444444444</v>
      </c>
    </row>
    <row r="314" spans="1:8" x14ac:dyDescent="0.3">
      <c r="A314" s="6">
        <v>313</v>
      </c>
      <c r="B314" s="6">
        <f>YEAR(Base1[[#This Row],[Fechas]])</f>
        <v>2023</v>
      </c>
      <c r="C314" s="6">
        <f>MONTH(Base1[[#This Row],[Fechas]])</f>
        <v>2</v>
      </c>
      <c r="D314" s="6">
        <f>DAY(Base1[[#This Row],[Fechas]])</f>
        <v>27</v>
      </c>
      <c r="E314" s="6" t="str">
        <f>TEXT(Base1[[#This Row],[Fechas]],"DDDD")</f>
        <v>lunes</v>
      </c>
      <c r="F314" s="6" t="str">
        <f>TEXT(Base1[[#This Row],[Fechas]],"MMMM")</f>
        <v>febrero</v>
      </c>
      <c r="G314" s="6">
        <f ca="1">_xlfn.DAYS(TODAY(),Base1[[#This Row],[Fechas]])</f>
        <v>1213</v>
      </c>
      <c r="H314" s="7">
        <f ca="1">BaseA[[#This Row],[Días Transcurridos]]/360</f>
        <v>3.3694444444444445</v>
      </c>
    </row>
    <row r="315" spans="1:8" x14ac:dyDescent="0.3">
      <c r="A315" s="6">
        <v>314</v>
      </c>
      <c r="B315" s="6">
        <f>YEAR(Base1[[#This Row],[Fechas]])</f>
        <v>2025</v>
      </c>
      <c r="C315" s="6">
        <f>MONTH(Base1[[#This Row],[Fechas]])</f>
        <v>10</v>
      </c>
      <c r="D315" s="6">
        <f>DAY(Base1[[#This Row],[Fechas]])</f>
        <v>25</v>
      </c>
      <c r="E315" s="6" t="str">
        <f>TEXT(Base1[[#This Row],[Fechas]],"DDDD")</f>
        <v>sábado</v>
      </c>
      <c r="F315" s="6" t="str">
        <f>TEXT(Base1[[#This Row],[Fechas]],"MMMM")</f>
        <v>octubre</v>
      </c>
      <c r="G315" s="6">
        <f ca="1">_xlfn.DAYS(TODAY(),Base1[[#This Row],[Fechas]])</f>
        <v>242</v>
      </c>
      <c r="H315" s="7">
        <f ca="1">BaseA[[#This Row],[Días Transcurridos]]/360</f>
        <v>0.67222222222222228</v>
      </c>
    </row>
    <row r="316" spans="1:8" x14ac:dyDescent="0.3">
      <c r="A316" s="6">
        <v>315</v>
      </c>
      <c r="B316" s="6">
        <f>YEAR(Base1[[#This Row],[Fechas]])</f>
        <v>2025</v>
      </c>
      <c r="C316" s="6">
        <f>MONTH(Base1[[#This Row],[Fechas]])</f>
        <v>1</v>
      </c>
      <c r="D316" s="6">
        <f>DAY(Base1[[#This Row],[Fechas]])</f>
        <v>13</v>
      </c>
      <c r="E316" s="6" t="str">
        <f>TEXT(Base1[[#This Row],[Fechas]],"DDDD")</f>
        <v>lunes</v>
      </c>
      <c r="F316" s="6" t="str">
        <f>TEXT(Base1[[#This Row],[Fechas]],"MMMM")</f>
        <v>enero</v>
      </c>
      <c r="G316" s="6">
        <f ca="1">_xlfn.DAYS(TODAY(),Base1[[#This Row],[Fechas]])</f>
        <v>527</v>
      </c>
      <c r="H316" s="7">
        <f ca="1">BaseA[[#This Row],[Días Transcurridos]]/360</f>
        <v>1.4638888888888888</v>
      </c>
    </row>
    <row r="317" spans="1:8" x14ac:dyDescent="0.3">
      <c r="A317" s="6">
        <v>316</v>
      </c>
      <c r="B317" s="6">
        <f>YEAR(Base1[[#This Row],[Fechas]])</f>
        <v>2025</v>
      </c>
      <c r="C317" s="6">
        <f>MONTH(Base1[[#This Row],[Fechas]])</f>
        <v>11</v>
      </c>
      <c r="D317" s="6">
        <f>DAY(Base1[[#This Row],[Fechas]])</f>
        <v>2</v>
      </c>
      <c r="E317" s="6" t="str">
        <f>TEXT(Base1[[#This Row],[Fechas]],"DDDD")</f>
        <v>domingo</v>
      </c>
      <c r="F317" s="6" t="str">
        <f>TEXT(Base1[[#This Row],[Fechas]],"MMMM")</f>
        <v>noviembre</v>
      </c>
      <c r="G317" s="6">
        <f ca="1">_xlfn.DAYS(TODAY(),Base1[[#This Row],[Fechas]])</f>
        <v>234</v>
      </c>
      <c r="H317" s="7">
        <f ca="1">BaseA[[#This Row],[Días Transcurridos]]/360</f>
        <v>0.65</v>
      </c>
    </row>
    <row r="318" spans="1:8" x14ac:dyDescent="0.3">
      <c r="A318" s="6">
        <v>317</v>
      </c>
      <c r="B318" s="6">
        <f>YEAR(Base1[[#This Row],[Fechas]])</f>
        <v>2025</v>
      </c>
      <c r="C318" s="6">
        <f>MONTH(Base1[[#This Row],[Fechas]])</f>
        <v>2</v>
      </c>
      <c r="D318" s="6">
        <f>DAY(Base1[[#This Row],[Fechas]])</f>
        <v>26</v>
      </c>
      <c r="E318" s="6" t="str">
        <f>TEXT(Base1[[#This Row],[Fechas]],"DDDD")</f>
        <v>miércoles</v>
      </c>
      <c r="F318" s="6" t="str">
        <f>TEXT(Base1[[#This Row],[Fechas]],"MMMM")</f>
        <v>febrero</v>
      </c>
      <c r="G318" s="6">
        <f ca="1">_xlfn.DAYS(TODAY(),Base1[[#This Row],[Fechas]])</f>
        <v>483</v>
      </c>
      <c r="H318" s="7">
        <f ca="1">BaseA[[#This Row],[Días Transcurridos]]/360</f>
        <v>1.3416666666666666</v>
      </c>
    </row>
    <row r="319" spans="1:8" x14ac:dyDescent="0.3">
      <c r="A319" s="6">
        <v>318</v>
      </c>
      <c r="B319" s="6">
        <f>YEAR(Base1[[#This Row],[Fechas]])</f>
        <v>2024</v>
      </c>
      <c r="C319" s="6">
        <f>MONTH(Base1[[#This Row],[Fechas]])</f>
        <v>4</v>
      </c>
      <c r="D319" s="6">
        <f>DAY(Base1[[#This Row],[Fechas]])</f>
        <v>12</v>
      </c>
      <c r="E319" s="6" t="str">
        <f>TEXT(Base1[[#This Row],[Fechas]],"DDDD")</f>
        <v>viernes</v>
      </c>
      <c r="F319" s="6" t="str">
        <f>TEXT(Base1[[#This Row],[Fechas]],"MMMM")</f>
        <v>abril</v>
      </c>
      <c r="G319" s="6">
        <f ca="1">_xlfn.DAYS(TODAY(),Base1[[#This Row],[Fechas]])</f>
        <v>803</v>
      </c>
      <c r="H319" s="7">
        <f ca="1">BaseA[[#This Row],[Días Transcurridos]]/360</f>
        <v>2.2305555555555556</v>
      </c>
    </row>
    <row r="320" spans="1:8" x14ac:dyDescent="0.3">
      <c r="A320" s="6">
        <v>319</v>
      </c>
      <c r="B320" s="6">
        <f>YEAR(Base1[[#This Row],[Fechas]])</f>
        <v>2023</v>
      </c>
      <c r="C320" s="6">
        <f>MONTH(Base1[[#This Row],[Fechas]])</f>
        <v>2</v>
      </c>
      <c r="D320" s="6">
        <f>DAY(Base1[[#This Row],[Fechas]])</f>
        <v>4</v>
      </c>
      <c r="E320" s="6" t="str">
        <f>TEXT(Base1[[#This Row],[Fechas]],"DDDD")</f>
        <v>sábado</v>
      </c>
      <c r="F320" s="6" t="str">
        <f>TEXT(Base1[[#This Row],[Fechas]],"MMMM")</f>
        <v>febrero</v>
      </c>
      <c r="G320" s="6">
        <f ca="1">_xlfn.DAYS(TODAY(),Base1[[#This Row],[Fechas]])</f>
        <v>1236</v>
      </c>
      <c r="H320" s="7">
        <f ca="1">BaseA[[#This Row],[Días Transcurridos]]/360</f>
        <v>3.4333333333333331</v>
      </c>
    </row>
    <row r="321" spans="1:8" x14ac:dyDescent="0.3">
      <c r="A321" s="6">
        <v>320</v>
      </c>
      <c r="B321" s="6">
        <f>YEAR(Base1[[#This Row],[Fechas]])</f>
        <v>2025</v>
      </c>
      <c r="C321" s="6">
        <f>MONTH(Base1[[#This Row],[Fechas]])</f>
        <v>5</v>
      </c>
      <c r="D321" s="6">
        <f>DAY(Base1[[#This Row],[Fechas]])</f>
        <v>25</v>
      </c>
      <c r="E321" s="6" t="str">
        <f>TEXT(Base1[[#This Row],[Fechas]],"DDDD")</f>
        <v>domingo</v>
      </c>
      <c r="F321" s="6" t="str">
        <f>TEXT(Base1[[#This Row],[Fechas]],"MMMM")</f>
        <v>mayo</v>
      </c>
      <c r="G321" s="6">
        <f ca="1">_xlfn.DAYS(TODAY(),Base1[[#This Row],[Fechas]])</f>
        <v>395</v>
      </c>
      <c r="H321" s="7">
        <f ca="1">BaseA[[#This Row],[Días Transcurridos]]/360</f>
        <v>1.0972222222222223</v>
      </c>
    </row>
    <row r="322" spans="1:8" x14ac:dyDescent="0.3">
      <c r="A322" s="6">
        <v>321</v>
      </c>
      <c r="B322" s="6">
        <f>YEAR(Base1[[#This Row],[Fechas]])</f>
        <v>2023</v>
      </c>
      <c r="C322" s="6">
        <f>MONTH(Base1[[#This Row],[Fechas]])</f>
        <v>10</v>
      </c>
      <c r="D322" s="6">
        <f>DAY(Base1[[#This Row],[Fechas]])</f>
        <v>23</v>
      </c>
      <c r="E322" s="6" t="str">
        <f>TEXT(Base1[[#This Row],[Fechas]],"DDDD")</f>
        <v>lunes</v>
      </c>
      <c r="F322" s="6" t="str">
        <f>TEXT(Base1[[#This Row],[Fechas]],"MMMM")</f>
        <v>octubre</v>
      </c>
      <c r="G322" s="6">
        <f ca="1">_xlfn.DAYS(TODAY(),Base1[[#This Row],[Fechas]])</f>
        <v>975</v>
      </c>
      <c r="H322" s="7">
        <f ca="1">BaseA[[#This Row],[Días Transcurridos]]/360</f>
        <v>2.7083333333333335</v>
      </c>
    </row>
    <row r="323" spans="1:8" x14ac:dyDescent="0.3">
      <c r="A323" s="6">
        <v>322</v>
      </c>
      <c r="B323" s="6">
        <f>YEAR(Base1[[#This Row],[Fechas]])</f>
        <v>2025</v>
      </c>
      <c r="C323" s="6">
        <f>MONTH(Base1[[#This Row],[Fechas]])</f>
        <v>8</v>
      </c>
      <c r="D323" s="6">
        <f>DAY(Base1[[#This Row],[Fechas]])</f>
        <v>12</v>
      </c>
      <c r="E323" s="6" t="str">
        <f>TEXT(Base1[[#This Row],[Fechas]],"DDDD")</f>
        <v>martes</v>
      </c>
      <c r="F323" s="6" t="str">
        <f>TEXT(Base1[[#This Row],[Fechas]],"MMMM")</f>
        <v>agosto</v>
      </c>
      <c r="G323" s="6">
        <f ca="1">_xlfn.DAYS(TODAY(),Base1[[#This Row],[Fechas]])</f>
        <v>316</v>
      </c>
      <c r="H323" s="7">
        <f ca="1">BaseA[[#This Row],[Días Transcurridos]]/360</f>
        <v>0.87777777777777777</v>
      </c>
    </row>
    <row r="324" spans="1:8" x14ac:dyDescent="0.3">
      <c r="A324" s="6">
        <v>323</v>
      </c>
      <c r="B324" s="6">
        <f>YEAR(Base1[[#This Row],[Fechas]])</f>
        <v>2025</v>
      </c>
      <c r="C324" s="6">
        <f>MONTH(Base1[[#This Row],[Fechas]])</f>
        <v>1</v>
      </c>
      <c r="D324" s="6">
        <f>DAY(Base1[[#This Row],[Fechas]])</f>
        <v>1</v>
      </c>
      <c r="E324" s="6" t="str">
        <f>TEXT(Base1[[#This Row],[Fechas]],"DDDD")</f>
        <v>miércoles</v>
      </c>
      <c r="F324" s="6" t="str">
        <f>TEXT(Base1[[#This Row],[Fechas]],"MMMM")</f>
        <v>enero</v>
      </c>
      <c r="G324" s="6">
        <f ca="1">_xlfn.DAYS(TODAY(),Base1[[#This Row],[Fechas]])</f>
        <v>539</v>
      </c>
      <c r="H324" s="7">
        <f ca="1">BaseA[[#This Row],[Días Transcurridos]]/360</f>
        <v>1.4972222222222222</v>
      </c>
    </row>
    <row r="325" spans="1:8" x14ac:dyDescent="0.3">
      <c r="A325" s="6">
        <v>324</v>
      </c>
      <c r="B325" s="6">
        <f>YEAR(Base1[[#This Row],[Fechas]])</f>
        <v>2024</v>
      </c>
      <c r="C325" s="6">
        <f>MONTH(Base1[[#This Row],[Fechas]])</f>
        <v>7</v>
      </c>
      <c r="D325" s="6">
        <f>DAY(Base1[[#This Row],[Fechas]])</f>
        <v>10</v>
      </c>
      <c r="E325" s="6" t="str">
        <f>TEXT(Base1[[#This Row],[Fechas]],"DDDD")</f>
        <v>miércoles</v>
      </c>
      <c r="F325" s="6" t="str">
        <f>TEXT(Base1[[#This Row],[Fechas]],"MMMM")</f>
        <v>julio</v>
      </c>
      <c r="G325" s="6">
        <f ca="1">_xlfn.DAYS(TODAY(),Base1[[#This Row],[Fechas]])</f>
        <v>714</v>
      </c>
      <c r="H325" s="7">
        <f ca="1">BaseA[[#This Row],[Días Transcurridos]]/360</f>
        <v>1.9833333333333334</v>
      </c>
    </row>
    <row r="326" spans="1:8" x14ac:dyDescent="0.3">
      <c r="A326" s="6">
        <v>325</v>
      </c>
      <c r="B326" s="6">
        <f>YEAR(Base1[[#This Row],[Fechas]])</f>
        <v>2024</v>
      </c>
      <c r="C326" s="6">
        <f>MONTH(Base1[[#This Row],[Fechas]])</f>
        <v>3</v>
      </c>
      <c r="D326" s="6">
        <f>DAY(Base1[[#This Row],[Fechas]])</f>
        <v>27</v>
      </c>
      <c r="E326" s="6" t="str">
        <f>TEXT(Base1[[#This Row],[Fechas]],"DDDD")</f>
        <v>miércoles</v>
      </c>
      <c r="F326" s="6" t="str">
        <f>TEXT(Base1[[#This Row],[Fechas]],"MMMM")</f>
        <v>marzo</v>
      </c>
      <c r="G326" s="6">
        <f ca="1">_xlfn.DAYS(TODAY(),Base1[[#This Row],[Fechas]])</f>
        <v>819</v>
      </c>
      <c r="H326" s="7">
        <f ca="1">BaseA[[#This Row],[Días Transcurridos]]/360</f>
        <v>2.2749999999999999</v>
      </c>
    </row>
    <row r="327" spans="1:8" x14ac:dyDescent="0.3">
      <c r="A327" s="6">
        <v>326</v>
      </c>
      <c r="B327" s="6">
        <f>YEAR(Base1[[#This Row],[Fechas]])</f>
        <v>2025</v>
      </c>
      <c r="C327" s="6">
        <f>MONTH(Base1[[#This Row],[Fechas]])</f>
        <v>10</v>
      </c>
      <c r="D327" s="6">
        <f>DAY(Base1[[#This Row],[Fechas]])</f>
        <v>2</v>
      </c>
      <c r="E327" s="6" t="str">
        <f>TEXT(Base1[[#This Row],[Fechas]],"DDDD")</f>
        <v>jueves</v>
      </c>
      <c r="F327" s="6" t="str">
        <f>TEXT(Base1[[#This Row],[Fechas]],"MMMM")</f>
        <v>octubre</v>
      </c>
      <c r="G327" s="6">
        <f ca="1">_xlfn.DAYS(TODAY(),Base1[[#This Row],[Fechas]])</f>
        <v>265</v>
      </c>
      <c r="H327" s="7">
        <f ca="1">BaseA[[#This Row],[Días Transcurridos]]/360</f>
        <v>0.73611111111111116</v>
      </c>
    </row>
    <row r="328" spans="1:8" x14ac:dyDescent="0.3">
      <c r="A328" s="6">
        <v>327</v>
      </c>
      <c r="B328" s="6">
        <f>YEAR(Base1[[#This Row],[Fechas]])</f>
        <v>2025</v>
      </c>
      <c r="C328" s="6">
        <f>MONTH(Base1[[#This Row],[Fechas]])</f>
        <v>1</v>
      </c>
      <c r="D328" s="6">
        <f>DAY(Base1[[#This Row],[Fechas]])</f>
        <v>28</v>
      </c>
      <c r="E328" s="6" t="str">
        <f>TEXT(Base1[[#This Row],[Fechas]],"DDDD")</f>
        <v>martes</v>
      </c>
      <c r="F328" s="6" t="str">
        <f>TEXT(Base1[[#This Row],[Fechas]],"MMMM")</f>
        <v>enero</v>
      </c>
      <c r="G328" s="6">
        <f ca="1">_xlfn.DAYS(TODAY(),Base1[[#This Row],[Fechas]])</f>
        <v>512</v>
      </c>
      <c r="H328" s="7">
        <f ca="1">BaseA[[#This Row],[Días Transcurridos]]/360</f>
        <v>1.4222222222222223</v>
      </c>
    </row>
    <row r="329" spans="1:8" x14ac:dyDescent="0.3">
      <c r="A329" s="6">
        <v>328</v>
      </c>
      <c r="B329" s="6">
        <f>YEAR(Base1[[#This Row],[Fechas]])</f>
        <v>2025</v>
      </c>
      <c r="C329" s="6">
        <f>MONTH(Base1[[#This Row],[Fechas]])</f>
        <v>2</v>
      </c>
      <c r="D329" s="6">
        <f>DAY(Base1[[#This Row],[Fechas]])</f>
        <v>3</v>
      </c>
      <c r="E329" s="6" t="str">
        <f>TEXT(Base1[[#This Row],[Fechas]],"DDDD")</f>
        <v>lunes</v>
      </c>
      <c r="F329" s="6" t="str">
        <f>TEXT(Base1[[#This Row],[Fechas]],"MMMM")</f>
        <v>febrero</v>
      </c>
      <c r="G329" s="6">
        <f ca="1">_xlfn.DAYS(TODAY(),Base1[[#This Row],[Fechas]])</f>
        <v>506</v>
      </c>
      <c r="H329" s="7">
        <f ca="1">BaseA[[#This Row],[Días Transcurridos]]/360</f>
        <v>1.4055555555555554</v>
      </c>
    </row>
    <row r="330" spans="1:8" x14ac:dyDescent="0.3">
      <c r="A330" s="6">
        <v>329</v>
      </c>
      <c r="B330" s="6">
        <f>YEAR(Base1[[#This Row],[Fechas]])</f>
        <v>2024</v>
      </c>
      <c r="C330" s="6">
        <f>MONTH(Base1[[#This Row],[Fechas]])</f>
        <v>4</v>
      </c>
      <c r="D330" s="6">
        <f>DAY(Base1[[#This Row],[Fechas]])</f>
        <v>21</v>
      </c>
      <c r="E330" s="6" t="str">
        <f>TEXT(Base1[[#This Row],[Fechas]],"DDDD")</f>
        <v>domingo</v>
      </c>
      <c r="F330" s="6" t="str">
        <f>TEXT(Base1[[#This Row],[Fechas]],"MMMM")</f>
        <v>abril</v>
      </c>
      <c r="G330" s="6">
        <f ca="1">_xlfn.DAYS(TODAY(),Base1[[#This Row],[Fechas]])</f>
        <v>794</v>
      </c>
      <c r="H330" s="7">
        <f ca="1">BaseA[[#This Row],[Días Transcurridos]]/360</f>
        <v>2.2055555555555557</v>
      </c>
    </row>
    <row r="331" spans="1:8" x14ac:dyDescent="0.3">
      <c r="A331" s="6">
        <v>330</v>
      </c>
      <c r="B331" s="6">
        <f>YEAR(Base1[[#This Row],[Fechas]])</f>
        <v>2025</v>
      </c>
      <c r="C331" s="6">
        <f>MONTH(Base1[[#This Row],[Fechas]])</f>
        <v>8</v>
      </c>
      <c r="D331" s="6">
        <f>DAY(Base1[[#This Row],[Fechas]])</f>
        <v>21</v>
      </c>
      <c r="E331" s="6" t="str">
        <f>TEXT(Base1[[#This Row],[Fechas]],"DDDD")</f>
        <v>jueves</v>
      </c>
      <c r="F331" s="6" t="str">
        <f>TEXT(Base1[[#This Row],[Fechas]],"MMMM")</f>
        <v>agosto</v>
      </c>
      <c r="G331" s="6">
        <f ca="1">_xlfn.DAYS(TODAY(),Base1[[#This Row],[Fechas]])</f>
        <v>307</v>
      </c>
      <c r="H331" s="7">
        <f ca="1">BaseA[[#This Row],[Días Transcurridos]]/360</f>
        <v>0.85277777777777775</v>
      </c>
    </row>
    <row r="332" spans="1:8" x14ac:dyDescent="0.3">
      <c r="A332" s="6">
        <v>331</v>
      </c>
      <c r="B332" s="6">
        <f>YEAR(Base1[[#This Row],[Fechas]])</f>
        <v>2025</v>
      </c>
      <c r="C332" s="6">
        <f>MONTH(Base1[[#This Row],[Fechas]])</f>
        <v>10</v>
      </c>
      <c r="D332" s="6">
        <f>DAY(Base1[[#This Row],[Fechas]])</f>
        <v>11</v>
      </c>
      <c r="E332" s="6" t="str">
        <f>TEXT(Base1[[#This Row],[Fechas]],"DDDD")</f>
        <v>sábado</v>
      </c>
      <c r="F332" s="6" t="str">
        <f>TEXT(Base1[[#This Row],[Fechas]],"MMMM")</f>
        <v>octubre</v>
      </c>
      <c r="G332" s="6">
        <f ca="1">_xlfn.DAYS(TODAY(),Base1[[#This Row],[Fechas]])</f>
        <v>256</v>
      </c>
      <c r="H332" s="7">
        <f ca="1">BaseA[[#This Row],[Días Transcurridos]]/360</f>
        <v>0.71111111111111114</v>
      </c>
    </row>
    <row r="333" spans="1:8" x14ac:dyDescent="0.3">
      <c r="A333" s="6">
        <v>332</v>
      </c>
      <c r="B333" s="6">
        <f>YEAR(Base1[[#This Row],[Fechas]])</f>
        <v>2024</v>
      </c>
      <c r="C333" s="6">
        <f>MONTH(Base1[[#This Row],[Fechas]])</f>
        <v>12</v>
      </c>
      <c r="D333" s="6">
        <f>DAY(Base1[[#This Row],[Fechas]])</f>
        <v>18</v>
      </c>
      <c r="E333" s="6" t="str">
        <f>TEXT(Base1[[#This Row],[Fechas]],"DDDD")</f>
        <v>miércoles</v>
      </c>
      <c r="F333" s="6" t="str">
        <f>TEXT(Base1[[#This Row],[Fechas]],"MMMM")</f>
        <v>diciembre</v>
      </c>
      <c r="G333" s="6">
        <f ca="1">_xlfn.DAYS(TODAY(),Base1[[#This Row],[Fechas]])</f>
        <v>553</v>
      </c>
      <c r="H333" s="7">
        <f ca="1">BaseA[[#This Row],[Días Transcurridos]]/360</f>
        <v>1.5361111111111112</v>
      </c>
    </row>
    <row r="334" spans="1:8" x14ac:dyDescent="0.3">
      <c r="A334" s="6">
        <v>333</v>
      </c>
      <c r="B334" s="6">
        <f>YEAR(Base1[[#This Row],[Fechas]])</f>
        <v>2025</v>
      </c>
      <c r="C334" s="6">
        <f>MONTH(Base1[[#This Row],[Fechas]])</f>
        <v>6</v>
      </c>
      <c r="D334" s="6">
        <f>DAY(Base1[[#This Row],[Fechas]])</f>
        <v>17</v>
      </c>
      <c r="E334" s="6" t="str">
        <f>TEXT(Base1[[#This Row],[Fechas]],"DDDD")</f>
        <v>martes</v>
      </c>
      <c r="F334" s="6" t="str">
        <f>TEXT(Base1[[#This Row],[Fechas]],"MMMM")</f>
        <v>junio</v>
      </c>
      <c r="G334" s="6">
        <f ca="1">_xlfn.DAYS(TODAY(),Base1[[#This Row],[Fechas]])</f>
        <v>372</v>
      </c>
      <c r="H334" s="7">
        <f ca="1">BaseA[[#This Row],[Días Transcurridos]]/360</f>
        <v>1.0333333333333334</v>
      </c>
    </row>
    <row r="335" spans="1:8" x14ac:dyDescent="0.3">
      <c r="A335" s="6">
        <v>334</v>
      </c>
      <c r="B335" s="6">
        <f>YEAR(Base1[[#This Row],[Fechas]])</f>
        <v>2023</v>
      </c>
      <c r="C335" s="6">
        <f>MONTH(Base1[[#This Row],[Fechas]])</f>
        <v>1</v>
      </c>
      <c r="D335" s="6">
        <f>DAY(Base1[[#This Row],[Fechas]])</f>
        <v>21</v>
      </c>
      <c r="E335" s="6" t="str">
        <f>TEXT(Base1[[#This Row],[Fechas]],"DDDD")</f>
        <v>sábado</v>
      </c>
      <c r="F335" s="6" t="str">
        <f>TEXT(Base1[[#This Row],[Fechas]],"MMMM")</f>
        <v>enero</v>
      </c>
      <c r="G335" s="6">
        <f ca="1">_xlfn.DAYS(TODAY(),Base1[[#This Row],[Fechas]])</f>
        <v>1250</v>
      </c>
      <c r="H335" s="7">
        <f ca="1">BaseA[[#This Row],[Días Transcurridos]]/360</f>
        <v>3.4722222222222223</v>
      </c>
    </row>
    <row r="336" spans="1:8" x14ac:dyDescent="0.3">
      <c r="A336" s="6">
        <v>335</v>
      </c>
      <c r="B336" s="6">
        <f>YEAR(Base1[[#This Row],[Fechas]])</f>
        <v>2025</v>
      </c>
      <c r="C336" s="6">
        <f>MONTH(Base1[[#This Row],[Fechas]])</f>
        <v>4</v>
      </c>
      <c r="D336" s="6">
        <f>DAY(Base1[[#This Row],[Fechas]])</f>
        <v>22</v>
      </c>
      <c r="E336" s="6" t="str">
        <f>TEXT(Base1[[#This Row],[Fechas]],"DDDD")</f>
        <v>martes</v>
      </c>
      <c r="F336" s="6" t="str">
        <f>TEXT(Base1[[#This Row],[Fechas]],"MMMM")</f>
        <v>abril</v>
      </c>
      <c r="G336" s="6">
        <f ca="1">_xlfn.DAYS(TODAY(),Base1[[#This Row],[Fechas]])</f>
        <v>428</v>
      </c>
      <c r="H336" s="7">
        <f ca="1">BaseA[[#This Row],[Días Transcurridos]]/360</f>
        <v>1.1888888888888889</v>
      </c>
    </row>
    <row r="337" spans="1:8" x14ac:dyDescent="0.3">
      <c r="A337" s="6">
        <v>336</v>
      </c>
      <c r="B337" s="6">
        <f>YEAR(Base1[[#This Row],[Fechas]])</f>
        <v>2025</v>
      </c>
      <c r="C337" s="6">
        <f>MONTH(Base1[[#This Row],[Fechas]])</f>
        <v>9</v>
      </c>
      <c r="D337" s="6">
        <f>DAY(Base1[[#This Row],[Fechas]])</f>
        <v>18</v>
      </c>
      <c r="E337" s="6" t="str">
        <f>TEXT(Base1[[#This Row],[Fechas]],"DDDD")</f>
        <v>jueves</v>
      </c>
      <c r="F337" s="6" t="str">
        <f>TEXT(Base1[[#This Row],[Fechas]],"MMMM")</f>
        <v>septiembre</v>
      </c>
      <c r="G337" s="6">
        <f ca="1">_xlfn.DAYS(TODAY(),Base1[[#This Row],[Fechas]])</f>
        <v>279</v>
      </c>
      <c r="H337" s="7">
        <f ca="1">BaseA[[#This Row],[Días Transcurridos]]/360</f>
        <v>0.77500000000000002</v>
      </c>
    </row>
    <row r="338" spans="1:8" x14ac:dyDescent="0.3">
      <c r="A338" s="6">
        <v>337</v>
      </c>
      <c r="B338" s="6">
        <f>YEAR(Base1[[#This Row],[Fechas]])</f>
        <v>2023</v>
      </c>
      <c r="C338" s="6">
        <f>MONTH(Base1[[#This Row],[Fechas]])</f>
        <v>12</v>
      </c>
      <c r="D338" s="6">
        <f>DAY(Base1[[#This Row],[Fechas]])</f>
        <v>18</v>
      </c>
      <c r="E338" s="6" t="str">
        <f>TEXT(Base1[[#This Row],[Fechas]],"DDDD")</f>
        <v>lunes</v>
      </c>
      <c r="F338" s="6" t="str">
        <f>TEXT(Base1[[#This Row],[Fechas]],"MMMM")</f>
        <v>diciembre</v>
      </c>
      <c r="G338" s="6">
        <f ca="1">_xlfn.DAYS(TODAY(),Base1[[#This Row],[Fechas]])</f>
        <v>919</v>
      </c>
      <c r="H338" s="7">
        <f ca="1">BaseA[[#This Row],[Días Transcurridos]]/360</f>
        <v>2.5527777777777776</v>
      </c>
    </row>
    <row r="339" spans="1:8" x14ac:dyDescent="0.3">
      <c r="A339" s="6">
        <v>338</v>
      </c>
      <c r="B339" s="6">
        <f>YEAR(Base1[[#This Row],[Fechas]])</f>
        <v>2023</v>
      </c>
      <c r="C339" s="6">
        <f>MONTH(Base1[[#This Row],[Fechas]])</f>
        <v>4</v>
      </c>
      <c r="D339" s="6">
        <f>DAY(Base1[[#This Row],[Fechas]])</f>
        <v>9</v>
      </c>
      <c r="E339" s="6" t="str">
        <f>TEXT(Base1[[#This Row],[Fechas]],"DDDD")</f>
        <v>domingo</v>
      </c>
      <c r="F339" s="6" t="str">
        <f>TEXT(Base1[[#This Row],[Fechas]],"MMMM")</f>
        <v>abril</v>
      </c>
      <c r="G339" s="6">
        <f ca="1">_xlfn.DAYS(TODAY(),Base1[[#This Row],[Fechas]])</f>
        <v>1172</v>
      </c>
      <c r="H339" s="7">
        <f ca="1">BaseA[[#This Row],[Días Transcurridos]]/360</f>
        <v>3.2555555555555555</v>
      </c>
    </row>
    <row r="340" spans="1:8" x14ac:dyDescent="0.3">
      <c r="A340" s="6">
        <v>339</v>
      </c>
      <c r="B340" s="6">
        <f>YEAR(Base1[[#This Row],[Fechas]])</f>
        <v>2024</v>
      </c>
      <c r="C340" s="6">
        <f>MONTH(Base1[[#This Row],[Fechas]])</f>
        <v>7</v>
      </c>
      <c r="D340" s="6">
        <f>DAY(Base1[[#This Row],[Fechas]])</f>
        <v>1</v>
      </c>
      <c r="E340" s="6" t="str">
        <f>TEXT(Base1[[#This Row],[Fechas]],"DDDD")</f>
        <v>lunes</v>
      </c>
      <c r="F340" s="6" t="str">
        <f>TEXT(Base1[[#This Row],[Fechas]],"MMMM")</f>
        <v>julio</v>
      </c>
      <c r="G340" s="6">
        <f ca="1">_xlfn.DAYS(TODAY(),Base1[[#This Row],[Fechas]])</f>
        <v>723</v>
      </c>
      <c r="H340" s="7">
        <f ca="1">BaseA[[#This Row],[Días Transcurridos]]/360</f>
        <v>2.0083333333333333</v>
      </c>
    </row>
    <row r="341" spans="1:8" x14ac:dyDescent="0.3">
      <c r="A341" s="6">
        <v>340</v>
      </c>
      <c r="B341" s="6">
        <f>YEAR(Base1[[#This Row],[Fechas]])</f>
        <v>2025</v>
      </c>
      <c r="C341" s="6">
        <f>MONTH(Base1[[#This Row],[Fechas]])</f>
        <v>3</v>
      </c>
      <c r="D341" s="6">
        <f>DAY(Base1[[#This Row],[Fechas]])</f>
        <v>9</v>
      </c>
      <c r="E341" s="6" t="str">
        <f>TEXT(Base1[[#This Row],[Fechas]],"DDDD")</f>
        <v>domingo</v>
      </c>
      <c r="F341" s="6" t="str">
        <f>TEXT(Base1[[#This Row],[Fechas]],"MMMM")</f>
        <v>marzo</v>
      </c>
      <c r="G341" s="6">
        <f ca="1">_xlfn.DAYS(TODAY(),Base1[[#This Row],[Fechas]])</f>
        <v>472</v>
      </c>
      <c r="H341" s="7">
        <f ca="1">BaseA[[#This Row],[Días Transcurridos]]/360</f>
        <v>1.3111111111111111</v>
      </c>
    </row>
    <row r="342" spans="1:8" x14ac:dyDescent="0.3">
      <c r="A342" s="6">
        <v>341</v>
      </c>
      <c r="B342" s="6">
        <f>YEAR(Base1[[#This Row],[Fechas]])</f>
        <v>2025</v>
      </c>
      <c r="C342" s="6">
        <f>MONTH(Base1[[#This Row],[Fechas]])</f>
        <v>4</v>
      </c>
      <c r="D342" s="6">
        <f>DAY(Base1[[#This Row],[Fechas]])</f>
        <v>20</v>
      </c>
      <c r="E342" s="6" t="str">
        <f>TEXT(Base1[[#This Row],[Fechas]],"DDDD")</f>
        <v>domingo</v>
      </c>
      <c r="F342" s="6" t="str">
        <f>TEXT(Base1[[#This Row],[Fechas]],"MMMM")</f>
        <v>abril</v>
      </c>
      <c r="G342" s="6">
        <f ca="1">_xlfn.DAYS(TODAY(),Base1[[#This Row],[Fechas]])</f>
        <v>430</v>
      </c>
      <c r="H342" s="7">
        <f ca="1">BaseA[[#This Row],[Días Transcurridos]]/360</f>
        <v>1.1944444444444444</v>
      </c>
    </row>
    <row r="343" spans="1:8" x14ac:dyDescent="0.3">
      <c r="A343" s="6">
        <v>342</v>
      </c>
      <c r="B343" s="6">
        <f>YEAR(Base1[[#This Row],[Fechas]])</f>
        <v>2023</v>
      </c>
      <c r="C343" s="6">
        <f>MONTH(Base1[[#This Row],[Fechas]])</f>
        <v>5</v>
      </c>
      <c r="D343" s="6">
        <f>DAY(Base1[[#This Row],[Fechas]])</f>
        <v>4</v>
      </c>
      <c r="E343" s="6" t="str">
        <f>TEXT(Base1[[#This Row],[Fechas]],"DDDD")</f>
        <v>jueves</v>
      </c>
      <c r="F343" s="6" t="str">
        <f>TEXT(Base1[[#This Row],[Fechas]],"MMMM")</f>
        <v>mayo</v>
      </c>
      <c r="G343" s="6">
        <f ca="1">_xlfn.DAYS(TODAY(),Base1[[#This Row],[Fechas]])</f>
        <v>1147</v>
      </c>
      <c r="H343" s="7">
        <f ca="1">BaseA[[#This Row],[Días Transcurridos]]/360</f>
        <v>3.1861111111111109</v>
      </c>
    </row>
    <row r="344" spans="1:8" x14ac:dyDescent="0.3">
      <c r="A344" s="6">
        <v>343</v>
      </c>
      <c r="B344" s="6">
        <f>YEAR(Base1[[#This Row],[Fechas]])</f>
        <v>2025</v>
      </c>
      <c r="C344" s="6">
        <f>MONTH(Base1[[#This Row],[Fechas]])</f>
        <v>5</v>
      </c>
      <c r="D344" s="6">
        <f>DAY(Base1[[#This Row],[Fechas]])</f>
        <v>3</v>
      </c>
      <c r="E344" s="6" t="str">
        <f>TEXT(Base1[[#This Row],[Fechas]],"DDDD")</f>
        <v>sábado</v>
      </c>
      <c r="F344" s="6" t="str">
        <f>TEXT(Base1[[#This Row],[Fechas]],"MMMM")</f>
        <v>mayo</v>
      </c>
      <c r="G344" s="6">
        <f ca="1">_xlfn.DAYS(TODAY(),Base1[[#This Row],[Fechas]])</f>
        <v>417</v>
      </c>
      <c r="H344" s="7">
        <f ca="1">BaseA[[#This Row],[Días Transcurridos]]/360</f>
        <v>1.1583333333333334</v>
      </c>
    </row>
    <row r="345" spans="1:8" x14ac:dyDescent="0.3">
      <c r="A345" s="6">
        <v>344</v>
      </c>
      <c r="B345" s="6">
        <f>YEAR(Base1[[#This Row],[Fechas]])</f>
        <v>2023</v>
      </c>
      <c r="C345" s="6">
        <f>MONTH(Base1[[#This Row],[Fechas]])</f>
        <v>12</v>
      </c>
      <c r="D345" s="6">
        <f>DAY(Base1[[#This Row],[Fechas]])</f>
        <v>30</v>
      </c>
      <c r="E345" s="6" t="str">
        <f>TEXT(Base1[[#This Row],[Fechas]],"DDDD")</f>
        <v>sábado</v>
      </c>
      <c r="F345" s="6" t="str">
        <f>TEXT(Base1[[#This Row],[Fechas]],"MMMM")</f>
        <v>diciembre</v>
      </c>
      <c r="G345" s="6">
        <f ca="1">_xlfn.DAYS(TODAY(),Base1[[#This Row],[Fechas]])</f>
        <v>907</v>
      </c>
      <c r="H345" s="7">
        <f ca="1">BaseA[[#This Row],[Días Transcurridos]]/360</f>
        <v>2.5194444444444444</v>
      </c>
    </row>
    <row r="346" spans="1:8" x14ac:dyDescent="0.3">
      <c r="A346" s="6">
        <v>345</v>
      </c>
      <c r="B346" s="6">
        <f>YEAR(Base1[[#This Row],[Fechas]])</f>
        <v>2024</v>
      </c>
      <c r="C346" s="6">
        <f>MONTH(Base1[[#This Row],[Fechas]])</f>
        <v>5</v>
      </c>
      <c r="D346" s="6">
        <f>DAY(Base1[[#This Row],[Fechas]])</f>
        <v>18</v>
      </c>
      <c r="E346" s="6" t="str">
        <f>TEXT(Base1[[#This Row],[Fechas]],"DDDD")</f>
        <v>sábado</v>
      </c>
      <c r="F346" s="6" t="str">
        <f>TEXT(Base1[[#This Row],[Fechas]],"MMMM")</f>
        <v>mayo</v>
      </c>
      <c r="G346" s="6">
        <f ca="1">_xlfn.DAYS(TODAY(),Base1[[#This Row],[Fechas]])</f>
        <v>767</v>
      </c>
      <c r="H346" s="7">
        <f ca="1">BaseA[[#This Row],[Días Transcurridos]]/360</f>
        <v>2.1305555555555555</v>
      </c>
    </row>
    <row r="347" spans="1:8" x14ac:dyDescent="0.3">
      <c r="A347" s="6">
        <v>346</v>
      </c>
      <c r="B347" s="6">
        <f>YEAR(Base1[[#This Row],[Fechas]])</f>
        <v>2025</v>
      </c>
      <c r="C347" s="6">
        <f>MONTH(Base1[[#This Row],[Fechas]])</f>
        <v>11</v>
      </c>
      <c r="D347" s="6">
        <f>DAY(Base1[[#This Row],[Fechas]])</f>
        <v>6</v>
      </c>
      <c r="E347" s="6" t="str">
        <f>TEXT(Base1[[#This Row],[Fechas]],"DDDD")</f>
        <v>jueves</v>
      </c>
      <c r="F347" s="6" t="str">
        <f>TEXT(Base1[[#This Row],[Fechas]],"MMMM")</f>
        <v>noviembre</v>
      </c>
      <c r="G347" s="6">
        <f ca="1">_xlfn.DAYS(TODAY(),Base1[[#This Row],[Fechas]])</f>
        <v>230</v>
      </c>
      <c r="H347" s="7">
        <f ca="1">BaseA[[#This Row],[Días Transcurridos]]/360</f>
        <v>0.63888888888888884</v>
      </c>
    </row>
    <row r="348" spans="1:8" x14ac:dyDescent="0.3">
      <c r="A348" s="6">
        <v>347</v>
      </c>
      <c r="B348" s="6">
        <f>YEAR(Base1[[#This Row],[Fechas]])</f>
        <v>2025</v>
      </c>
      <c r="C348" s="6">
        <f>MONTH(Base1[[#This Row],[Fechas]])</f>
        <v>3</v>
      </c>
      <c r="D348" s="6">
        <f>DAY(Base1[[#This Row],[Fechas]])</f>
        <v>2</v>
      </c>
      <c r="E348" s="6" t="str">
        <f>TEXT(Base1[[#This Row],[Fechas]],"DDDD")</f>
        <v>domingo</v>
      </c>
      <c r="F348" s="6" t="str">
        <f>TEXT(Base1[[#This Row],[Fechas]],"MMMM")</f>
        <v>marzo</v>
      </c>
      <c r="G348" s="6">
        <f ca="1">_xlfn.DAYS(TODAY(),Base1[[#This Row],[Fechas]])</f>
        <v>479</v>
      </c>
      <c r="H348" s="7">
        <f ca="1">BaseA[[#This Row],[Días Transcurridos]]/360</f>
        <v>1.3305555555555555</v>
      </c>
    </row>
    <row r="349" spans="1:8" x14ac:dyDescent="0.3">
      <c r="A349" s="6">
        <v>348</v>
      </c>
      <c r="B349" s="6">
        <f>YEAR(Base1[[#This Row],[Fechas]])</f>
        <v>2023</v>
      </c>
      <c r="C349" s="6">
        <f>MONTH(Base1[[#This Row],[Fechas]])</f>
        <v>7</v>
      </c>
      <c r="D349" s="6">
        <f>DAY(Base1[[#This Row],[Fechas]])</f>
        <v>17</v>
      </c>
      <c r="E349" s="6" t="str">
        <f>TEXT(Base1[[#This Row],[Fechas]],"DDDD")</f>
        <v>lunes</v>
      </c>
      <c r="F349" s="6" t="str">
        <f>TEXT(Base1[[#This Row],[Fechas]],"MMMM")</f>
        <v>julio</v>
      </c>
      <c r="G349" s="6">
        <f ca="1">_xlfn.DAYS(TODAY(),Base1[[#This Row],[Fechas]])</f>
        <v>1073</v>
      </c>
      <c r="H349" s="7">
        <f ca="1">BaseA[[#This Row],[Días Transcurridos]]/360</f>
        <v>2.9805555555555556</v>
      </c>
    </row>
    <row r="350" spans="1:8" x14ac:dyDescent="0.3">
      <c r="A350" s="6">
        <v>349</v>
      </c>
      <c r="B350" s="6">
        <f>YEAR(Base1[[#This Row],[Fechas]])</f>
        <v>2023</v>
      </c>
      <c r="C350" s="6">
        <f>MONTH(Base1[[#This Row],[Fechas]])</f>
        <v>6</v>
      </c>
      <c r="D350" s="6">
        <f>DAY(Base1[[#This Row],[Fechas]])</f>
        <v>13</v>
      </c>
      <c r="E350" s="6" t="str">
        <f>TEXT(Base1[[#This Row],[Fechas]],"DDDD")</f>
        <v>martes</v>
      </c>
      <c r="F350" s="6" t="str">
        <f>TEXT(Base1[[#This Row],[Fechas]],"MMMM")</f>
        <v>junio</v>
      </c>
      <c r="G350" s="6">
        <f ca="1">_xlfn.DAYS(TODAY(),Base1[[#This Row],[Fechas]])</f>
        <v>1107</v>
      </c>
      <c r="H350" s="7">
        <f ca="1">BaseA[[#This Row],[Días Transcurridos]]/360</f>
        <v>3.0750000000000002</v>
      </c>
    </row>
    <row r="351" spans="1:8" x14ac:dyDescent="0.3">
      <c r="A351" s="6">
        <v>350</v>
      </c>
      <c r="B351" s="6">
        <f>YEAR(Base1[[#This Row],[Fechas]])</f>
        <v>2025</v>
      </c>
      <c r="C351" s="6">
        <f>MONTH(Base1[[#This Row],[Fechas]])</f>
        <v>11</v>
      </c>
      <c r="D351" s="6">
        <f>DAY(Base1[[#This Row],[Fechas]])</f>
        <v>25</v>
      </c>
      <c r="E351" s="6" t="str">
        <f>TEXT(Base1[[#This Row],[Fechas]],"DDDD")</f>
        <v>martes</v>
      </c>
      <c r="F351" s="6" t="str">
        <f>TEXT(Base1[[#This Row],[Fechas]],"MMMM")</f>
        <v>noviembre</v>
      </c>
      <c r="G351" s="6">
        <f ca="1">_xlfn.DAYS(TODAY(),Base1[[#This Row],[Fechas]])</f>
        <v>211</v>
      </c>
      <c r="H351" s="7">
        <f ca="1">BaseA[[#This Row],[Días Transcurridos]]/360</f>
        <v>0.58611111111111114</v>
      </c>
    </row>
    <row r="352" spans="1:8" x14ac:dyDescent="0.3">
      <c r="A352" s="6">
        <v>351</v>
      </c>
      <c r="B352" s="6">
        <f>YEAR(Base1[[#This Row],[Fechas]])</f>
        <v>2023</v>
      </c>
      <c r="C352" s="6">
        <f>MONTH(Base1[[#This Row],[Fechas]])</f>
        <v>9</v>
      </c>
      <c r="D352" s="6">
        <f>DAY(Base1[[#This Row],[Fechas]])</f>
        <v>7</v>
      </c>
      <c r="E352" s="6" t="str">
        <f>TEXT(Base1[[#This Row],[Fechas]],"DDDD")</f>
        <v>jueves</v>
      </c>
      <c r="F352" s="6" t="str">
        <f>TEXT(Base1[[#This Row],[Fechas]],"MMMM")</f>
        <v>septiembre</v>
      </c>
      <c r="G352" s="6">
        <f ca="1">_xlfn.DAYS(TODAY(),Base1[[#This Row],[Fechas]])</f>
        <v>1021</v>
      </c>
      <c r="H352" s="7">
        <f ca="1">BaseA[[#This Row],[Días Transcurridos]]/360</f>
        <v>2.8361111111111112</v>
      </c>
    </row>
    <row r="353" spans="1:8" x14ac:dyDescent="0.3">
      <c r="A353" s="6">
        <v>352</v>
      </c>
      <c r="B353" s="6">
        <f>YEAR(Base1[[#This Row],[Fechas]])</f>
        <v>2023</v>
      </c>
      <c r="C353" s="6">
        <f>MONTH(Base1[[#This Row],[Fechas]])</f>
        <v>11</v>
      </c>
      <c r="D353" s="6">
        <f>DAY(Base1[[#This Row],[Fechas]])</f>
        <v>27</v>
      </c>
      <c r="E353" s="6" t="str">
        <f>TEXT(Base1[[#This Row],[Fechas]],"DDDD")</f>
        <v>lunes</v>
      </c>
      <c r="F353" s="6" t="str">
        <f>TEXT(Base1[[#This Row],[Fechas]],"MMMM")</f>
        <v>noviembre</v>
      </c>
      <c r="G353" s="6">
        <f ca="1">_xlfn.DAYS(TODAY(),Base1[[#This Row],[Fechas]])</f>
        <v>940</v>
      </c>
      <c r="H353" s="7">
        <f ca="1">BaseA[[#This Row],[Días Transcurridos]]/360</f>
        <v>2.6111111111111112</v>
      </c>
    </row>
    <row r="354" spans="1:8" x14ac:dyDescent="0.3">
      <c r="A354" s="6">
        <v>353</v>
      </c>
      <c r="B354" s="6">
        <f>YEAR(Base1[[#This Row],[Fechas]])</f>
        <v>2025</v>
      </c>
      <c r="C354" s="6">
        <f>MONTH(Base1[[#This Row],[Fechas]])</f>
        <v>11</v>
      </c>
      <c r="D354" s="6">
        <f>DAY(Base1[[#This Row],[Fechas]])</f>
        <v>21</v>
      </c>
      <c r="E354" s="6" t="str">
        <f>TEXT(Base1[[#This Row],[Fechas]],"DDDD")</f>
        <v>viernes</v>
      </c>
      <c r="F354" s="6" t="str">
        <f>TEXT(Base1[[#This Row],[Fechas]],"MMMM")</f>
        <v>noviembre</v>
      </c>
      <c r="G354" s="6">
        <f ca="1">_xlfn.DAYS(TODAY(),Base1[[#This Row],[Fechas]])</f>
        <v>215</v>
      </c>
      <c r="H354" s="7">
        <f ca="1">BaseA[[#This Row],[Días Transcurridos]]/360</f>
        <v>0.59722222222222221</v>
      </c>
    </row>
    <row r="355" spans="1:8" x14ac:dyDescent="0.3">
      <c r="A355" s="6">
        <v>354</v>
      </c>
      <c r="B355" s="6">
        <f>YEAR(Base1[[#This Row],[Fechas]])</f>
        <v>2023</v>
      </c>
      <c r="C355" s="6">
        <f>MONTH(Base1[[#This Row],[Fechas]])</f>
        <v>12</v>
      </c>
      <c r="D355" s="6">
        <f>DAY(Base1[[#This Row],[Fechas]])</f>
        <v>30</v>
      </c>
      <c r="E355" s="6" t="str">
        <f>TEXT(Base1[[#This Row],[Fechas]],"DDDD")</f>
        <v>sábado</v>
      </c>
      <c r="F355" s="6" t="str">
        <f>TEXT(Base1[[#This Row],[Fechas]],"MMMM")</f>
        <v>diciembre</v>
      </c>
      <c r="G355" s="6">
        <f ca="1">_xlfn.DAYS(TODAY(),Base1[[#This Row],[Fechas]])</f>
        <v>907</v>
      </c>
      <c r="H355" s="7">
        <f ca="1">BaseA[[#This Row],[Días Transcurridos]]/360</f>
        <v>2.5194444444444444</v>
      </c>
    </row>
    <row r="356" spans="1:8" x14ac:dyDescent="0.3">
      <c r="A356" s="6">
        <v>355</v>
      </c>
      <c r="B356" s="6">
        <f>YEAR(Base1[[#This Row],[Fechas]])</f>
        <v>2025</v>
      </c>
      <c r="C356" s="6">
        <f>MONTH(Base1[[#This Row],[Fechas]])</f>
        <v>5</v>
      </c>
      <c r="D356" s="6">
        <f>DAY(Base1[[#This Row],[Fechas]])</f>
        <v>25</v>
      </c>
      <c r="E356" s="6" t="str">
        <f>TEXT(Base1[[#This Row],[Fechas]],"DDDD")</f>
        <v>domingo</v>
      </c>
      <c r="F356" s="6" t="str">
        <f>TEXT(Base1[[#This Row],[Fechas]],"MMMM")</f>
        <v>mayo</v>
      </c>
      <c r="G356" s="6">
        <f ca="1">_xlfn.DAYS(TODAY(),Base1[[#This Row],[Fechas]])</f>
        <v>395</v>
      </c>
      <c r="H356" s="7">
        <f ca="1">BaseA[[#This Row],[Días Transcurridos]]/360</f>
        <v>1.0972222222222223</v>
      </c>
    </row>
    <row r="357" spans="1:8" x14ac:dyDescent="0.3">
      <c r="A357" s="6">
        <v>356</v>
      </c>
      <c r="B357" s="6">
        <f>YEAR(Base1[[#This Row],[Fechas]])</f>
        <v>2024</v>
      </c>
      <c r="C357" s="6">
        <f>MONTH(Base1[[#This Row],[Fechas]])</f>
        <v>3</v>
      </c>
      <c r="D357" s="6">
        <f>DAY(Base1[[#This Row],[Fechas]])</f>
        <v>25</v>
      </c>
      <c r="E357" s="6" t="str">
        <f>TEXT(Base1[[#This Row],[Fechas]],"DDDD")</f>
        <v>lunes</v>
      </c>
      <c r="F357" s="6" t="str">
        <f>TEXT(Base1[[#This Row],[Fechas]],"MMMM")</f>
        <v>marzo</v>
      </c>
      <c r="G357" s="6">
        <f ca="1">_xlfn.DAYS(TODAY(),Base1[[#This Row],[Fechas]])</f>
        <v>821</v>
      </c>
      <c r="H357" s="7">
        <f ca="1">BaseA[[#This Row],[Días Transcurridos]]/360</f>
        <v>2.2805555555555554</v>
      </c>
    </row>
    <row r="358" spans="1:8" x14ac:dyDescent="0.3">
      <c r="A358" s="6">
        <v>357</v>
      </c>
      <c r="B358" s="6">
        <f>YEAR(Base1[[#This Row],[Fechas]])</f>
        <v>2023</v>
      </c>
      <c r="C358" s="6">
        <f>MONTH(Base1[[#This Row],[Fechas]])</f>
        <v>1</v>
      </c>
      <c r="D358" s="6">
        <f>DAY(Base1[[#This Row],[Fechas]])</f>
        <v>27</v>
      </c>
      <c r="E358" s="6" t="str">
        <f>TEXT(Base1[[#This Row],[Fechas]],"DDDD")</f>
        <v>viernes</v>
      </c>
      <c r="F358" s="6" t="str">
        <f>TEXT(Base1[[#This Row],[Fechas]],"MMMM")</f>
        <v>enero</v>
      </c>
      <c r="G358" s="6">
        <f ca="1">_xlfn.DAYS(TODAY(),Base1[[#This Row],[Fechas]])</f>
        <v>1244</v>
      </c>
      <c r="H358" s="7">
        <f ca="1">BaseA[[#This Row],[Días Transcurridos]]/360</f>
        <v>3.4555555555555557</v>
      </c>
    </row>
    <row r="359" spans="1:8" x14ac:dyDescent="0.3">
      <c r="A359" s="6">
        <v>358</v>
      </c>
      <c r="B359" s="6">
        <f>YEAR(Base1[[#This Row],[Fechas]])</f>
        <v>2024</v>
      </c>
      <c r="C359" s="6">
        <f>MONTH(Base1[[#This Row],[Fechas]])</f>
        <v>11</v>
      </c>
      <c r="D359" s="6">
        <f>DAY(Base1[[#This Row],[Fechas]])</f>
        <v>28</v>
      </c>
      <c r="E359" s="6" t="str">
        <f>TEXT(Base1[[#This Row],[Fechas]],"DDDD")</f>
        <v>jueves</v>
      </c>
      <c r="F359" s="6" t="str">
        <f>TEXT(Base1[[#This Row],[Fechas]],"MMMM")</f>
        <v>noviembre</v>
      </c>
      <c r="G359" s="6">
        <f ca="1">_xlfn.DAYS(TODAY(),Base1[[#This Row],[Fechas]])</f>
        <v>573</v>
      </c>
      <c r="H359" s="7">
        <f ca="1">BaseA[[#This Row],[Días Transcurridos]]/360</f>
        <v>1.5916666666666666</v>
      </c>
    </row>
    <row r="360" spans="1:8" x14ac:dyDescent="0.3">
      <c r="A360" s="6">
        <v>359</v>
      </c>
      <c r="B360" s="6">
        <f>YEAR(Base1[[#This Row],[Fechas]])</f>
        <v>2025</v>
      </c>
      <c r="C360" s="6">
        <f>MONTH(Base1[[#This Row],[Fechas]])</f>
        <v>2</v>
      </c>
      <c r="D360" s="6">
        <f>DAY(Base1[[#This Row],[Fechas]])</f>
        <v>28</v>
      </c>
      <c r="E360" s="6" t="str">
        <f>TEXT(Base1[[#This Row],[Fechas]],"DDDD")</f>
        <v>viernes</v>
      </c>
      <c r="F360" s="6" t="str">
        <f>TEXT(Base1[[#This Row],[Fechas]],"MMMM")</f>
        <v>febrero</v>
      </c>
      <c r="G360" s="6">
        <f ca="1">_xlfn.DAYS(TODAY(),Base1[[#This Row],[Fechas]])</f>
        <v>481</v>
      </c>
      <c r="H360" s="7">
        <f ca="1">BaseA[[#This Row],[Días Transcurridos]]/360</f>
        <v>1.336111111111111</v>
      </c>
    </row>
    <row r="361" spans="1:8" x14ac:dyDescent="0.3">
      <c r="A361" s="6">
        <v>360</v>
      </c>
      <c r="B361" s="6">
        <f>YEAR(Base1[[#This Row],[Fechas]])</f>
        <v>2023</v>
      </c>
      <c r="C361" s="6">
        <f>MONTH(Base1[[#This Row],[Fechas]])</f>
        <v>4</v>
      </c>
      <c r="D361" s="6">
        <f>DAY(Base1[[#This Row],[Fechas]])</f>
        <v>8</v>
      </c>
      <c r="E361" s="6" t="str">
        <f>TEXT(Base1[[#This Row],[Fechas]],"DDDD")</f>
        <v>sábado</v>
      </c>
      <c r="F361" s="6" t="str">
        <f>TEXT(Base1[[#This Row],[Fechas]],"MMMM")</f>
        <v>abril</v>
      </c>
      <c r="G361" s="6">
        <f ca="1">_xlfn.DAYS(TODAY(),Base1[[#This Row],[Fechas]])</f>
        <v>1173</v>
      </c>
      <c r="H361" s="7">
        <f ca="1">BaseA[[#This Row],[Días Transcurridos]]/360</f>
        <v>3.2583333333333333</v>
      </c>
    </row>
    <row r="362" spans="1:8" x14ac:dyDescent="0.3">
      <c r="A362" s="6">
        <v>361</v>
      </c>
      <c r="B362" s="6">
        <f>YEAR(Base1[[#This Row],[Fechas]])</f>
        <v>2025</v>
      </c>
      <c r="C362" s="6">
        <f>MONTH(Base1[[#This Row],[Fechas]])</f>
        <v>1</v>
      </c>
      <c r="D362" s="6">
        <f>DAY(Base1[[#This Row],[Fechas]])</f>
        <v>17</v>
      </c>
      <c r="E362" s="6" t="str">
        <f>TEXT(Base1[[#This Row],[Fechas]],"DDDD")</f>
        <v>viernes</v>
      </c>
      <c r="F362" s="6" t="str">
        <f>TEXT(Base1[[#This Row],[Fechas]],"MMMM")</f>
        <v>enero</v>
      </c>
      <c r="G362" s="6">
        <f ca="1">_xlfn.DAYS(TODAY(),Base1[[#This Row],[Fechas]])</f>
        <v>523</v>
      </c>
      <c r="H362" s="7">
        <f ca="1">BaseA[[#This Row],[Días Transcurridos]]/360</f>
        <v>1.4527777777777777</v>
      </c>
    </row>
    <row r="363" spans="1:8" x14ac:dyDescent="0.3">
      <c r="A363" s="6">
        <v>362</v>
      </c>
      <c r="B363" s="6">
        <f>YEAR(Base1[[#This Row],[Fechas]])</f>
        <v>2025</v>
      </c>
      <c r="C363" s="6">
        <f>MONTH(Base1[[#This Row],[Fechas]])</f>
        <v>2</v>
      </c>
      <c r="D363" s="6">
        <f>DAY(Base1[[#This Row],[Fechas]])</f>
        <v>4</v>
      </c>
      <c r="E363" s="6" t="str">
        <f>TEXT(Base1[[#This Row],[Fechas]],"DDDD")</f>
        <v>martes</v>
      </c>
      <c r="F363" s="6" t="str">
        <f>TEXT(Base1[[#This Row],[Fechas]],"MMMM")</f>
        <v>febrero</v>
      </c>
      <c r="G363" s="6">
        <f ca="1">_xlfn.DAYS(TODAY(),Base1[[#This Row],[Fechas]])</f>
        <v>505</v>
      </c>
      <c r="H363" s="7">
        <f ca="1">BaseA[[#This Row],[Días Transcurridos]]/360</f>
        <v>1.4027777777777777</v>
      </c>
    </row>
    <row r="364" spans="1:8" x14ac:dyDescent="0.3">
      <c r="A364" s="6">
        <v>363</v>
      </c>
      <c r="B364" s="6">
        <f>YEAR(Base1[[#This Row],[Fechas]])</f>
        <v>2023</v>
      </c>
      <c r="C364" s="6">
        <f>MONTH(Base1[[#This Row],[Fechas]])</f>
        <v>6</v>
      </c>
      <c r="D364" s="6">
        <f>DAY(Base1[[#This Row],[Fechas]])</f>
        <v>17</v>
      </c>
      <c r="E364" s="6" t="str">
        <f>TEXT(Base1[[#This Row],[Fechas]],"DDDD")</f>
        <v>sábado</v>
      </c>
      <c r="F364" s="6" t="str">
        <f>TEXT(Base1[[#This Row],[Fechas]],"MMMM")</f>
        <v>junio</v>
      </c>
      <c r="G364" s="6">
        <f ca="1">_xlfn.DAYS(TODAY(),Base1[[#This Row],[Fechas]])</f>
        <v>1103</v>
      </c>
      <c r="H364" s="7">
        <f ca="1">BaseA[[#This Row],[Días Transcurridos]]/360</f>
        <v>3.0638888888888891</v>
      </c>
    </row>
    <row r="365" spans="1:8" x14ac:dyDescent="0.3">
      <c r="A365" s="6">
        <v>364</v>
      </c>
      <c r="B365" s="6">
        <f>YEAR(Base1[[#This Row],[Fechas]])</f>
        <v>2024</v>
      </c>
      <c r="C365" s="6">
        <f>MONTH(Base1[[#This Row],[Fechas]])</f>
        <v>4</v>
      </c>
      <c r="D365" s="6">
        <f>DAY(Base1[[#This Row],[Fechas]])</f>
        <v>14</v>
      </c>
      <c r="E365" s="6" t="str">
        <f>TEXT(Base1[[#This Row],[Fechas]],"DDDD")</f>
        <v>domingo</v>
      </c>
      <c r="F365" s="6" t="str">
        <f>TEXT(Base1[[#This Row],[Fechas]],"MMMM")</f>
        <v>abril</v>
      </c>
      <c r="G365" s="6">
        <f ca="1">_xlfn.DAYS(TODAY(),Base1[[#This Row],[Fechas]])</f>
        <v>801</v>
      </c>
      <c r="H365" s="7">
        <f ca="1">BaseA[[#This Row],[Días Transcurridos]]/360</f>
        <v>2.2250000000000001</v>
      </c>
    </row>
    <row r="366" spans="1:8" x14ac:dyDescent="0.3">
      <c r="A366" s="6">
        <v>365</v>
      </c>
      <c r="B366" s="6">
        <f>YEAR(Base1[[#This Row],[Fechas]])</f>
        <v>2025</v>
      </c>
      <c r="C366" s="6">
        <f>MONTH(Base1[[#This Row],[Fechas]])</f>
        <v>7</v>
      </c>
      <c r="D366" s="6">
        <f>DAY(Base1[[#This Row],[Fechas]])</f>
        <v>4</v>
      </c>
      <c r="E366" s="6" t="str">
        <f>TEXT(Base1[[#This Row],[Fechas]],"DDDD")</f>
        <v>viernes</v>
      </c>
      <c r="F366" s="6" t="str">
        <f>TEXT(Base1[[#This Row],[Fechas]],"MMMM")</f>
        <v>julio</v>
      </c>
      <c r="G366" s="6">
        <f ca="1">_xlfn.DAYS(TODAY(),Base1[[#This Row],[Fechas]])</f>
        <v>355</v>
      </c>
      <c r="H366" s="7">
        <f ca="1">BaseA[[#This Row],[Días Transcurridos]]/360</f>
        <v>0.98611111111111116</v>
      </c>
    </row>
    <row r="367" spans="1:8" x14ac:dyDescent="0.3">
      <c r="A367" s="6">
        <v>366</v>
      </c>
      <c r="B367" s="6">
        <f>YEAR(Base1[[#This Row],[Fechas]])</f>
        <v>2024</v>
      </c>
      <c r="C367" s="6">
        <f>MONTH(Base1[[#This Row],[Fechas]])</f>
        <v>7</v>
      </c>
      <c r="D367" s="6">
        <f>DAY(Base1[[#This Row],[Fechas]])</f>
        <v>21</v>
      </c>
      <c r="E367" s="6" t="str">
        <f>TEXT(Base1[[#This Row],[Fechas]],"DDDD")</f>
        <v>domingo</v>
      </c>
      <c r="F367" s="6" t="str">
        <f>TEXT(Base1[[#This Row],[Fechas]],"MMMM")</f>
        <v>julio</v>
      </c>
      <c r="G367" s="6">
        <f ca="1">_xlfn.DAYS(TODAY(),Base1[[#This Row],[Fechas]])</f>
        <v>703</v>
      </c>
      <c r="H367" s="7">
        <f ca="1">BaseA[[#This Row],[Días Transcurridos]]/360</f>
        <v>1.9527777777777777</v>
      </c>
    </row>
    <row r="368" spans="1:8" x14ac:dyDescent="0.3">
      <c r="A368" s="6">
        <v>367</v>
      </c>
      <c r="B368" s="6">
        <f>YEAR(Base1[[#This Row],[Fechas]])</f>
        <v>2024</v>
      </c>
      <c r="C368" s="6">
        <f>MONTH(Base1[[#This Row],[Fechas]])</f>
        <v>11</v>
      </c>
      <c r="D368" s="6">
        <f>DAY(Base1[[#This Row],[Fechas]])</f>
        <v>16</v>
      </c>
      <c r="E368" s="6" t="str">
        <f>TEXT(Base1[[#This Row],[Fechas]],"DDDD")</f>
        <v>sábado</v>
      </c>
      <c r="F368" s="6" t="str">
        <f>TEXT(Base1[[#This Row],[Fechas]],"MMMM")</f>
        <v>noviembre</v>
      </c>
      <c r="G368" s="6">
        <f ca="1">_xlfn.DAYS(TODAY(),Base1[[#This Row],[Fechas]])</f>
        <v>585</v>
      </c>
      <c r="H368" s="7">
        <f ca="1">BaseA[[#This Row],[Días Transcurridos]]/360</f>
        <v>1.625</v>
      </c>
    </row>
    <row r="369" spans="1:8" x14ac:dyDescent="0.3">
      <c r="A369" s="6">
        <v>368</v>
      </c>
      <c r="B369" s="6">
        <f>YEAR(Base1[[#This Row],[Fechas]])</f>
        <v>2025</v>
      </c>
      <c r="C369" s="6">
        <f>MONTH(Base1[[#This Row],[Fechas]])</f>
        <v>3</v>
      </c>
      <c r="D369" s="6">
        <f>DAY(Base1[[#This Row],[Fechas]])</f>
        <v>19</v>
      </c>
      <c r="E369" s="6" t="str">
        <f>TEXT(Base1[[#This Row],[Fechas]],"DDDD")</f>
        <v>miércoles</v>
      </c>
      <c r="F369" s="6" t="str">
        <f>TEXT(Base1[[#This Row],[Fechas]],"MMMM")</f>
        <v>marzo</v>
      </c>
      <c r="G369" s="6">
        <f ca="1">_xlfn.DAYS(TODAY(),Base1[[#This Row],[Fechas]])</f>
        <v>462</v>
      </c>
      <c r="H369" s="7">
        <f ca="1">BaseA[[#This Row],[Días Transcurridos]]/360</f>
        <v>1.2833333333333334</v>
      </c>
    </row>
    <row r="370" spans="1:8" x14ac:dyDescent="0.3">
      <c r="A370" s="6">
        <v>369</v>
      </c>
      <c r="B370" s="6">
        <f>YEAR(Base1[[#This Row],[Fechas]])</f>
        <v>2023</v>
      </c>
      <c r="C370" s="6">
        <f>MONTH(Base1[[#This Row],[Fechas]])</f>
        <v>12</v>
      </c>
      <c r="D370" s="6">
        <f>DAY(Base1[[#This Row],[Fechas]])</f>
        <v>27</v>
      </c>
      <c r="E370" s="6" t="str">
        <f>TEXT(Base1[[#This Row],[Fechas]],"DDDD")</f>
        <v>miércoles</v>
      </c>
      <c r="F370" s="6" t="str">
        <f>TEXT(Base1[[#This Row],[Fechas]],"MMMM")</f>
        <v>diciembre</v>
      </c>
      <c r="G370" s="6">
        <f ca="1">_xlfn.DAYS(TODAY(),Base1[[#This Row],[Fechas]])</f>
        <v>910</v>
      </c>
      <c r="H370" s="7">
        <f ca="1">BaseA[[#This Row],[Días Transcurridos]]/360</f>
        <v>2.5277777777777777</v>
      </c>
    </row>
    <row r="371" spans="1:8" x14ac:dyDescent="0.3">
      <c r="A371" s="6">
        <v>370</v>
      </c>
      <c r="B371" s="6">
        <f>YEAR(Base1[[#This Row],[Fechas]])</f>
        <v>2025</v>
      </c>
      <c r="C371" s="6">
        <f>MONTH(Base1[[#This Row],[Fechas]])</f>
        <v>7</v>
      </c>
      <c r="D371" s="6">
        <f>DAY(Base1[[#This Row],[Fechas]])</f>
        <v>29</v>
      </c>
      <c r="E371" s="6" t="str">
        <f>TEXT(Base1[[#This Row],[Fechas]],"DDDD")</f>
        <v>martes</v>
      </c>
      <c r="F371" s="6" t="str">
        <f>TEXT(Base1[[#This Row],[Fechas]],"MMMM")</f>
        <v>julio</v>
      </c>
      <c r="G371" s="6">
        <f ca="1">_xlfn.DAYS(TODAY(),Base1[[#This Row],[Fechas]])</f>
        <v>330</v>
      </c>
      <c r="H371" s="7">
        <f ca="1">BaseA[[#This Row],[Días Transcurridos]]/360</f>
        <v>0.91666666666666663</v>
      </c>
    </row>
    <row r="372" spans="1:8" x14ac:dyDescent="0.3">
      <c r="A372" s="6">
        <v>371</v>
      </c>
      <c r="B372" s="6">
        <f>YEAR(Base1[[#This Row],[Fechas]])</f>
        <v>2023</v>
      </c>
      <c r="C372" s="6">
        <f>MONTH(Base1[[#This Row],[Fechas]])</f>
        <v>8</v>
      </c>
      <c r="D372" s="6">
        <f>DAY(Base1[[#This Row],[Fechas]])</f>
        <v>6</v>
      </c>
      <c r="E372" s="6" t="str">
        <f>TEXT(Base1[[#This Row],[Fechas]],"DDDD")</f>
        <v>domingo</v>
      </c>
      <c r="F372" s="6" t="str">
        <f>TEXT(Base1[[#This Row],[Fechas]],"MMMM")</f>
        <v>agosto</v>
      </c>
      <c r="G372" s="6">
        <f ca="1">_xlfn.DAYS(TODAY(),Base1[[#This Row],[Fechas]])</f>
        <v>1053</v>
      </c>
      <c r="H372" s="7">
        <f ca="1">BaseA[[#This Row],[Días Transcurridos]]/360</f>
        <v>2.9249999999999998</v>
      </c>
    </row>
    <row r="373" spans="1:8" x14ac:dyDescent="0.3">
      <c r="A373" s="6">
        <v>372</v>
      </c>
      <c r="B373" s="6">
        <f>YEAR(Base1[[#This Row],[Fechas]])</f>
        <v>2023</v>
      </c>
      <c r="C373" s="6">
        <f>MONTH(Base1[[#This Row],[Fechas]])</f>
        <v>8</v>
      </c>
      <c r="D373" s="6">
        <f>DAY(Base1[[#This Row],[Fechas]])</f>
        <v>7</v>
      </c>
      <c r="E373" s="6" t="str">
        <f>TEXT(Base1[[#This Row],[Fechas]],"DDDD")</f>
        <v>lunes</v>
      </c>
      <c r="F373" s="6" t="str">
        <f>TEXT(Base1[[#This Row],[Fechas]],"MMMM")</f>
        <v>agosto</v>
      </c>
      <c r="G373" s="6">
        <f ca="1">_xlfn.DAYS(TODAY(),Base1[[#This Row],[Fechas]])</f>
        <v>1052</v>
      </c>
      <c r="H373" s="7">
        <f ca="1">BaseA[[#This Row],[Días Transcurridos]]/360</f>
        <v>2.9222222222222221</v>
      </c>
    </row>
    <row r="374" spans="1:8" x14ac:dyDescent="0.3">
      <c r="A374" s="6">
        <v>373</v>
      </c>
      <c r="B374" s="6">
        <f>YEAR(Base1[[#This Row],[Fechas]])</f>
        <v>2024</v>
      </c>
      <c r="C374" s="6">
        <f>MONTH(Base1[[#This Row],[Fechas]])</f>
        <v>2</v>
      </c>
      <c r="D374" s="6">
        <f>DAY(Base1[[#This Row],[Fechas]])</f>
        <v>24</v>
      </c>
      <c r="E374" s="6" t="str">
        <f>TEXT(Base1[[#This Row],[Fechas]],"DDDD")</f>
        <v>sábado</v>
      </c>
      <c r="F374" s="6" t="str">
        <f>TEXT(Base1[[#This Row],[Fechas]],"MMMM")</f>
        <v>febrero</v>
      </c>
      <c r="G374" s="6">
        <f ca="1">_xlfn.DAYS(TODAY(),Base1[[#This Row],[Fechas]])</f>
        <v>851</v>
      </c>
      <c r="H374" s="7">
        <f ca="1">BaseA[[#This Row],[Días Transcurridos]]/360</f>
        <v>2.3638888888888889</v>
      </c>
    </row>
    <row r="375" spans="1:8" x14ac:dyDescent="0.3">
      <c r="A375" s="6">
        <v>374</v>
      </c>
      <c r="B375" s="6">
        <f>YEAR(Base1[[#This Row],[Fechas]])</f>
        <v>2024</v>
      </c>
      <c r="C375" s="6">
        <f>MONTH(Base1[[#This Row],[Fechas]])</f>
        <v>3</v>
      </c>
      <c r="D375" s="6">
        <f>DAY(Base1[[#This Row],[Fechas]])</f>
        <v>21</v>
      </c>
      <c r="E375" s="6" t="str">
        <f>TEXT(Base1[[#This Row],[Fechas]],"DDDD")</f>
        <v>jueves</v>
      </c>
      <c r="F375" s="6" t="str">
        <f>TEXT(Base1[[#This Row],[Fechas]],"MMMM")</f>
        <v>marzo</v>
      </c>
      <c r="G375" s="6">
        <f ca="1">_xlfn.DAYS(TODAY(),Base1[[#This Row],[Fechas]])</f>
        <v>825</v>
      </c>
      <c r="H375" s="7">
        <f ca="1">BaseA[[#This Row],[Días Transcurridos]]/360</f>
        <v>2.2916666666666665</v>
      </c>
    </row>
    <row r="376" spans="1:8" x14ac:dyDescent="0.3">
      <c r="A376" s="6">
        <v>375</v>
      </c>
      <c r="B376" s="6">
        <f>YEAR(Base1[[#This Row],[Fechas]])</f>
        <v>2023</v>
      </c>
      <c r="C376" s="6">
        <f>MONTH(Base1[[#This Row],[Fechas]])</f>
        <v>4</v>
      </c>
      <c r="D376" s="6">
        <f>DAY(Base1[[#This Row],[Fechas]])</f>
        <v>20</v>
      </c>
      <c r="E376" s="6" t="str">
        <f>TEXT(Base1[[#This Row],[Fechas]],"DDDD")</f>
        <v>jueves</v>
      </c>
      <c r="F376" s="6" t="str">
        <f>TEXT(Base1[[#This Row],[Fechas]],"MMMM")</f>
        <v>abril</v>
      </c>
      <c r="G376" s="6">
        <f ca="1">_xlfn.DAYS(TODAY(),Base1[[#This Row],[Fechas]])</f>
        <v>1161</v>
      </c>
      <c r="H376" s="7">
        <f ca="1">BaseA[[#This Row],[Días Transcurridos]]/360</f>
        <v>3.2250000000000001</v>
      </c>
    </row>
    <row r="377" spans="1:8" x14ac:dyDescent="0.3">
      <c r="A377" s="6">
        <v>376</v>
      </c>
      <c r="B377" s="6">
        <f>YEAR(Base1[[#This Row],[Fechas]])</f>
        <v>2025</v>
      </c>
      <c r="C377" s="6">
        <f>MONTH(Base1[[#This Row],[Fechas]])</f>
        <v>10</v>
      </c>
      <c r="D377" s="6">
        <f>DAY(Base1[[#This Row],[Fechas]])</f>
        <v>2</v>
      </c>
      <c r="E377" s="6" t="str">
        <f>TEXT(Base1[[#This Row],[Fechas]],"DDDD")</f>
        <v>jueves</v>
      </c>
      <c r="F377" s="6" t="str">
        <f>TEXT(Base1[[#This Row],[Fechas]],"MMMM")</f>
        <v>octubre</v>
      </c>
      <c r="G377" s="6">
        <f ca="1">_xlfn.DAYS(TODAY(),Base1[[#This Row],[Fechas]])</f>
        <v>265</v>
      </c>
      <c r="H377" s="7">
        <f ca="1">BaseA[[#This Row],[Días Transcurridos]]/360</f>
        <v>0.73611111111111116</v>
      </c>
    </row>
    <row r="378" spans="1:8" x14ac:dyDescent="0.3">
      <c r="A378" s="6">
        <v>377</v>
      </c>
      <c r="B378" s="6">
        <f>YEAR(Base1[[#This Row],[Fechas]])</f>
        <v>2024</v>
      </c>
      <c r="C378" s="6">
        <f>MONTH(Base1[[#This Row],[Fechas]])</f>
        <v>1</v>
      </c>
      <c r="D378" s="6">
        <f>DAY(Base1[[#This Row],[Fechas]])</f>
        <v>11</v>
      </c>
      <c r="E378" s="6" t="str">
        <f>TEXT(Base1[[#This Row],[Fechas]],"DDDD")</f>
        <v>jueves</v>
      </c>
      <c r="F378" s="6" t="str">
        <f>TEXT(Base1[[#This Row],[Fechas]],"MMMM")</f>
        <v>enero</v>
      </c>
      <c r="G378" s="6">
        <f ca="1">_xlfn.DAYS(TODAY(),Base1[[#This Row],[Fechas]])</f>
        <v>895</v>
      </c>
      <c r="H378" s="7">
        <f ca="1">BaseA[[#This Row],[Días Transcurridos]]/360</f>
        <v>2.4861111111111112</v>
      </c>
    </row>
    <row r="379" spans="1:8" x14ac:dyDescent="0.3">
      <c r="A379" s="6">
        <v>378</v>
      </c>
      <c r="B379" s="6">
        <f>YEAR(Base1[[#This Row],[Fechas]])</f>
        <v>2023</v>
      </c>
      <c r="C379" s="6">
        <f>MONTH(Base1[[#This Row],[Fechas]])</f>
        <v>1</v>
      </c>
      <c r="D379" s="6">
        <f>DAY(Base1[[#This Row],[Fechas]])</f>
        <v>2</v>
      </c>
      <c r="E379" s="6" t="str">
        <f>TEXT(Base1[[#This Row],[Fechas]],"DDDD")</f>
        <v>lunes</v>
      </c>
      <c r="F379" s="6" t="str">
        <f>TEXT(Base1[[#This Row],[Fechas]],"MMMM")</f>
        <v>enero</v>
      </c>
      <c r="G379" s="6">
        <f ca="1">_xlfn.DAYS(TODAY(),Base1[[#This Row],[Fechas]])</f>
        <v>1269</v>
      </c>
      <c r="H379" s="7">
        <f ca="1">BaseA[[#This Row],[Días Transcurridos]]/360</f>
        <v>3.5249999999999999</v>
      </c>
    </row>
    <row r="380" spans="1:8" x14ac:dyDescent="0.3">
      <c r="A380" s="6">
        <v>379</v>
      </c>
      <c r="B380" s="6">
        <f>YEAR(Base1[[#This Row],[Fechas]])</f>
        <v>2024</v>
      </c>
      <c r="C380" s="6">
        <f>MONTH(Base1[[#This Row],[Fechas]])</f>
        <v>11</v>
      </c>
      <c r="D380" s="6">
        <f>DAY(Base1[[#This Row],[Fechas]])</f>
        <v>27</v>
      </c>
      <c r="E380" s="6" t="str">
        <f>TEXT(Base1[[#This Row],[Fechas]],"DDDD")</f>
        <v>miércoles</v>
      </c>
      <c r="F380" s="6" t="str">
        <f>TEXT(Base1[[#This Row],[Fechas]],"MMMM")</f>
        <v>noviembre</v>
      </c>
      <c r="G380" s="6">
        <f ca="1">_xlfn.DAYS(TODAY(),Base1[[#This Row],[Fechas]])</f>
        <v>574</v>
      </c>
      <c r="H380" s="7">
        <f ca="1">BaseA[[#This Row],[Días Transcurridos]]/360</f>
        <v>1.5944444444444446</v>
      </c>
    </row>
    <row r="381" spans="1:8" x14ac:dyDescent="0.3">
      <c r="A381" s="6">
        <v>380</v>
      </c>
      <c r="B381" s="6">
        <f>YEAR(Base1[[#This Row],[Fechas]])</f>
        <v>2024</v>
      </c>
      <c r="C381" s="6">
        <f>MONTH(Base1[[#This Row],[Fechas]])</f>
        <v>11</v>
      </c>
      <c r="D381" s="6">
        <f>DAY(Base1[[#This Row],[Fechas]])</f>
        <v>29</v>
      </c>
      <c r="E381" s="6" t="str">
        <f>TEXT(Base1[[#This Row],[Fechas]],"DDDD")</f>
        <v>viernes</v>
      </c>
      <c r="F381" s="6" t="str">
        <f>TEXT(Base1[[#This Row],[Fechas]],"MMMM")</f>
        <v>noviembre</v>
      </c>
      <c r="G381" s="6">
        <f ca="1">_xlfn.DAYS(TODAY(),Base1[[#This Row],[Fechas]])</f>
        <v>572</v>
      </c>
      <c r="H381" s="7">
        <f ca="1">BaseA[[#This Row],[Días Transcurridos]]/360</f>
        <v>1.5888888888888888</v>
      </c>
    </row>
    <row r="382" spans="1:8" x14ac:dyDescent="0.3">
      <c r="A382" s="6">
        <v>381</v>
      </c>
      <c r="B382" s="6">
        <f>YEAR(Base1[[#This Row],[Fechas]])</f>
        <v>2023</v>
      </c>
      <c r="C382" s="6">
        <f>MONTH(Base1[[#This Row],[Fechas]])</f>
        <v>8</v>
      </c>
      <c r="D382" s="6">
        <f>DAY(Base1[[#This Row],[Fechas]])</f>
        <v>15</v>
      </c>
      <c r="E382" s="6" t="str">
        <f>TEXT(Base1[[#This Row],[Fechas]],"DDDD")</f>
        <v>martes</v>
      </c>
      <c r="F382" s="6" t="str">
        <f>TEXT(Base1[[#This Row],[Fechas]],"MMMM")</f>
        <v>agosto</v>
      </c>
      <c r="G382" s="6">
        <f ca="1">_xlfn.DAYS(TODAY(),Base1[[#This Row],[Fechas]])</f>
        <v>1044</v>
      </c>
      <c r="H382" s="7">
        <f ca="1">BaseA[[#This Row],[Días Transcurridos]]/360</f>
        <v>2.9</v>
      </c>
    </row>
    <row r="383" spans="1:8" x14ac:dyDescent="0.3">
      <c r="A383" s="6">
        <v>382</v>
      </c>
      <c r="B383" s="6">
        <f>YEAR(Base1[[#This Row],[Fechas]])</f>
        <v>2025</v>
      </c>
      <c r="C383" s="6">
        <f>MONTH(Base1[[#This Row],[Fechas]])</f>
        <v>5</v>
      </c>
      <c r="D383" s="6">
        <f>DAY(Base1[[#This Row],[Fechas]])</f>
        <v>6</v>
      </c>
      <c r="E383" s="6" t="str">
        <f>TEXT(Base1[[#This Row],[Fechas]],"DDDD")</f>
        <v>martes</v>
      </c>
      <c r="F383" s="6" t="str">
        <f>TEXT(Base1[[#This Row],[Fechas]],"MMMM")</f>
        <v>mayo</v>
      </c>
      <c r="G383" s="6">
        <f ca="1">_xlfn.DAYS(TODAY(),Base1[[#This Row],[Fechas]])</f>
        <v>414</v>
      </c>
      <c r="H383" s="7">
        <f ca="1">BaseA[[#This Row],[Días Transcurridos]]/360</f>
        <v>1.1499999999999999</v>
      </c>
    </row>
    <row r="384" spans="1:8" x14ac:dyDescent="0.3">
      <c r="A384" s="6">
        <v>383</v>
      </c>
      <c r="B384" s="6">
        <f>YEAR(Base1[[#This Row],[Fechas]])</f>
        <v>2023</v>
      </c>
      <c r="C384" s="6">
        <f>MONTH(Base1[[#This Row],[Fechas]])</f>
        <v>11</v>
      </c>
      <c r="D384" s="6">
        <f>DAY(Base1[[#This Row],[Fechas]])</f>
        <v>20</v>
      </c>
      <c r="E384" s="6" t="str">
        <f>TEXT(Base1[[#This Row],[Fechas]],"DDDD")</f>
        <v>lunes</v>
      </c>
      <c r="F384" s="6" t="str">
        <f>TEXT(Base1[[#This Row],[Fechas]],"MMMM")</f>
        <v>noviembre</v>
      </c>
      <c r="G384" s="6">
        <f ca="1">_xlfn.DAYS(TODAY(),Base1[[#This Row],[Fechas]])</f>
        <v>947</v>
      </c>
      <c r="H384" s="7">
        <f ca="1">BaseA[[#This Row],[Días Transcurridos]]/360</f>
        <v>2.6305555555555555</v>
      </c>
    </row>
    <row r="385" spans="1:8" x14ac:dyDescent="0.3">
      <c r="A385" s="6">
        <v>384</v>
      </c>
      <c r="B385" s="6">
        <f>YEAR(Base1[[#This Row],[Fechas]])</f>
        <v>2024</v>
      </c>
      <c r="C385" s="6">
        <f>MONTH(Base1[[#This Row],[Fechas]])</f>
        <v>6</v>
      </c>
      <c r="D385" s="6">
        <f>DAY(Base1[[#This Row],[Fechas]])</f>
        <v>8</v>
      </c>
      <c r="E385" s="6" t="str">
        <f>TEXT(Base1[[#This Row],[Fechas]],"DDDD")</f>
        <v>sábado</v>
      </c>
      <c r="F385" s="6" t="str">
        <f>TEXT(Base1[[#This Row],[Fechas]],"MMMM")</f>
        <v>junio</v>
      </c>
      <c r="G385" s="6">
        <f ca="1">_xlfn.DAYS(TODAY(),Base1[[#This Row],[Fechas]])</f>
        <v>746</v>
      </c>
      <c r="H385" s="7">
        <f ca="1">BaseA[[#This Row],[Días Transcurridos]]/360</f>
        <v>2.0722222222222224</v>
      </c>
    </row>
    <row r="386" spans="1:8" x14ac:dyDescent="0.3">
      <c r="A386" s="6">
        <v>385</v>
      </c>
      <c r="B386" s="6">
        <f>YEAR(Base1[[#This Row],[Fechas]])</f>
        <v>2025</v>
      </c>
      <c r="C386" s="6">
        <f>MONTH(Base1[[#This Row],[Fechas]])</f>
        <v>5</v>
      </c>
      <c r="D386" s="6">
        <f>DAY(Base1[[#This Row],[Fechas]])</f>
        <v>23</v>
      </c>
      <c r="E386" s="6" t="str">
        <f>TEXT(Base1[[#This Row],[Fechas]],"DDDD")</f>
        <v>viernes</v>
      </c>
      <c r="F386" s="6" t="str">
        <f>TEXT(Base1[[#This Row],[Fechas]],"MMMM")</f>
        <v>mayo</v>
      </c>
      <c r="G386" s="6">
        <f ca="1">_xlfn.DAYS(TODAY(),Base1[[#This Row],[Fechas]])</f>
        <v>397</v>
      </c>
      <c r="H386" s="7">
        <f ca="1">BaseA[[#This Row],[Días Transcurridos]]/360</f>
        <v>1.1027777777777779</v>
      </c>
    </row>
    <row r="387" spans="1:8" x14ac:dyDescent="0.3">
      <c r="A387" s="6">
        <v>386</v>
      </c>
      <c r="B387" s="6">
        <f>YEAR(Base1[[#This Row],[Fechas]])</f>
        <v>2024</v>
      </c>
      <c r="C387" s="6">
        <f>MONTH(Base1[[#This Row],[Fechas]])</f>
        <v>4</v>
      </c>
      <c r="D387" s="6">
        <f>DAY(Base1[[#This Row],[Fechas]])</f>
        <v>21</v>
      </c>
      <c r="E387" s="6" t="str">
        <f>TEXT(Base1[[#This Row],[Fechas]],"DDDD")</f>
        <v>domingo</v>
      </c>
      <c r="F387" s="6" t="str">
        <f>TEXT(Base1[[#This Row],[Fechas]],"MMMM")</f>
        <v>abril</v>
      </c>
      <c r="G387" s="6">
        <f ca="1">_xlfn.DAYS(TODAY(),Base1[[#This Row],[Fechas]])</f>
        <v>794</v>
      </c>
      <c r="H387" s="7">
        <f ca="1">BaseA[[#This Row],[Días Transcurridos]]/360</f>
        <v>2.2055555555555557</v>
      </c>
    </row>
    <row r="388" spans="1:8" x14ac:dyDescent="0.3">
      <c r="A388" s="6">
        <v>387</v>
      </c>
      <c r="B388" s="6">
        <f>YEAR(Base1[[#This Row],[Fechas]])</f>
        <v>2024</v>
      </c>
      <c r="C388" s="6">
        <f>MONTH(Base1[[#This Row],[Fechas]])</f>
        <v>8</v>
      </c>
      <c r="D388" s="6">
        <f>DAY(Base1[[#This Row],[Fechas]])</f>
        <v>5</v>
      </c>
      <c r="E388" s="6" t="str">
        <f>TEXT(Base1[[#This Row],[Fechas]],"DDDD")</f>
        <v>lunes</v>
      </c>
      <c r="F388" s="6" t="str">
        <f>TEXT(Base1[[#This Row],[Fechas]],"MMMM")</f>
        <v>agosto</v>
      </c>
      <c r="G388" s="6">
        <f ca="1">_xlfn.DAYS(TODAY(),Base1[[#This Row],[Fechas]])</f>
        <v>688</v>
      </c>
      <c r="H388" s="7">
        <f ca="1">BaseA[[#This Row],[Días Transcurridos]]/360</f>
        <v>1.9111111111111112</v>
      </c>
    </row>
    <row r="389" spans="1:8" x14ac:dyDescent="0.3">
      <c r="A389" s="6">
        <v>388</v>
      </c>
      <c r="B389" s="6">
        <f>YEAR(Base1[[#This Row],[Fechas]])</f>
        <v>2025</v>
      </c>
      <c r="C389" s="6">
        <f>MONTH(Base1[[#This Row],[Fechas]])</f>
        <v>3</v>
      </c>
      <c r="D389" s="6">
        <f>DAY(Base1[[#This Row],[Fechas]])</f>
        <v>30</v>
      </c>
      <c r="E389" s="6" t="str">
        <f>TEXT(Base1[[#This Row],[Fechas]],"DDDD")</f>
        <v>domingo</v>
      </c>
      <c r="F389" s="6" t="str">
        <f>TEXT(Base1[[#This Row],[Fechas]],"MMMM")</f>
        <v>marzo</v>
      </c>
      <c r="G389" s="6">
        <f ca="1">_xlfn.DAYS(TODAY(),Base1[[#This Row],[Fechas]])</f>
        <v>451</v>
      </c>
      <c r="H389" s="7">
        <f ca="1">BaseA[[#This Row],[Días Transcurridos]]/360</f>
        <v>1.2527777777777778</v>
      </c>
    </row>
    <row r="390" spans="1:8" x14ac:dyDescent="0.3">
      <c r="A390" s="6">
        <v>389</v>
      </c>
      <c r="B390" s="6">
        <f>YEAR(Base1[[#This Row],[Fechas]])</f>
        <v>2023</v>
      </c>
      <c r="C390" s="6">
        <f>MONTH(Base1[[#This Row],[Fechas]])</f>
        <v>2</v>
      </c>
      <c r="D390" s="6">
        <f>DAY(Base1[[#This Row],[Fechas]])</f>
        <v>20</v>
      </c>
      <c r="E390" s="6" t="str">
        <f>TEXT(Base1[[#This Row],[Fechas]],"DDDD")</f>
        <v>lunes</v>
      </c>
      <c r="F390" s="6" t="str">
        <f>TEXT(Base1[[#This Row],[Fechas]],"MMMM")</f>
        <v>febrero</v>
      </c>
      <c r="G390" s="6">
        <f ca="1">_xlfn.DAYS(TODAY(),Base1[[#This Row],[Fechas]])</f>
        <v>1220</v>
      </c>
      <c r="H390" s="7">
        <f ca="1">BaseA[[#This Row],[Días Transcurridos]]/360</f>
        <v>3.3888888888888888</v>
      </c>
    </row>
    <row r="391" spans="1:8" x14ac:dyDescent="0.3">
      <c r="A391" s="6">
        <v>390</v>
      </c>
      <c r="B391" s="6">
        <f>YEAR(Base1[[#This Row],[Fechas]])</f>
        <v>2024</v>
      </c>
      <c r="C391" s="6">
        <f>MONTH(Base1[[#This Row],[Fechas]])</f>
        <v>10</v>
      </c>
      <c r="D391" s="6">
        <f>DAY(Base1[[#This Row],[Fechas]])</f>
        <v>1</v>
      </c>
      <c r="E391" s="6" t="str">
        <f>TEXT(Base1[[#This Row],[Fechas]],"DDDD")</f>
        <v>martes</v>
      </c>
      <c r="F391" s="6" t="str">
        <f>TEXT(Base1[[#This Row],[Fechas]],"MMMM")</f>
        <v>octubre</v>
      </c>
      <c r="G391" s="6">
        <f ca="1">_xlfn.DAYS(TODAY(),Base1[[#This Row],[Fechas]])</f>
        <v>631</v>
      </c>
      <c r="H391" s="7">
        <f ca="1">BaseA[[#This Row],[Días Transcurridos]]/360</f>
        <v>1.7527777777777778</v>
      </c>
    </row>
    <row r="392" spans="1:8" x14ac:dyDescent="0.3">
      <c r="A392" s="6">
        <v>391</v>
      </c>
      <c r="B392" s="6">
        <f>YEAR(Base1[[#This Row],[Fechas]])</f>
        <v>2025</v>
      </c>
      <c r="C392" s="6">
        <f>MONTH(Base1[[#This Row],[Fechas]])</f>
        <v>6</v>
      </c>
      <c r="D392" s="6">
        <f>DAY(Base1[[#This Row],[Fechas]])</f>
        <v>14</v>
      </c>
      <c r="E392" s="6" t="str">
        <f>TEXT(Base1[[#This Row],[Fechas]],"DDDD")</f>
        <v>sábado</v>
      </c>
      <c r="F392" s="6" t="str">
        <f>TEXT(Base1[[#This Row],[Fechas]],"MMMM")</f>
        <v>junio</v>
      </c>
      <c r="G392" s="6">
        <f ca="1">_xlfn.DAYS(TODAY(),Base1[[#This Row],[Fechas]])</f>
        <v>375</v>
      </c>
      <c r="H392" s="7">
        <f ca="1">BaseA[[#This Row],[Días Transcurridos]]/360</f>
        <v>1.0416666666666667</v>
      </c>
    </row>
    <row r="393" spans="1:8" x14ac:dyDescent="0.3">
      <c r="A393" s="6">
        <v>392</v>
      </c>
      <c r="B393" s="6">
        <f>YEAR(Base1[[#This Row],[Fechas]])</f>
        <v>2025</v>
      </c>
      <c r="C393" s="6">
        <f>MONTH(Base1[[#This Row],[Fechas]])</f>
        <v>11</v>
      </c>
      <c r="D393" s="6">
        <f>DAY(Base1[[#This Row],[Fechas]])</f>
        <v>28</v>
      </c>
      <c r="E393" s="6" t="str">
        <f>TEXT(Base1[[#This Row],[Fechas]],"DDDD")</f>
        <v>viernes</v>
      </c>
      <c r="F393" s="6" t="str">
        <f>TEXT(Base1[[#This Row],[Fechas]],"MMMM")</f>
        <v>noviembre</v>
      </c>
      <c r="G393" s="6">
        <f ca="1">_xlfn.DAYS(TODAY(),Base1[[#This Row],[Fechas]])</f>
        <v>208</v>
      </c>
      <c r="H393" s="7">
        <f ca="1">BaseA[[#This Row],[Días Transcurridos]]/360</f>
        <v>0.57777777777777772</v>
      </c>
    </row>
    <row r="394" spans="1:8" x14ac:dyDescent="0.3">
      <c r="A394" s="6">
        <v>393</v>
      </c>
      <c r="B394" s="6">
        <f>YEAR(Base1[[#This Row],[Fechas]])</f>
        <v>2024</v>
      </c>
      <c r="C394" s="6">
        <f>MONTH(Base1[[#This Row],[Fechas]])</f>
        <v>1</v>
      </c>
      <c r="D394" s="6">
        <f>DAY(Base1[[#This Row],[Fechas]])</f>
        <v>28</v>
      </c>
      <c r="E394" s="6" t="str">
        <f>TEXT(Base1[[#This Row],[Fechas]],"DDDD")</f>
        <v>domingo</v>
      </c>
      <c r="F394" s="6" t="str">
        <f>TEXT(Base1[[#This Row],[Fechas]],"MMMM")</f>
        <v>enero</v>
      </c>
      <c r="G394" s="6">
        <f ca="1">_xlfn.DAYS(TODAY(),Base1[[#This Row],[Fechas]])</f>
        <v>878</v>
      </c>
      <c r="H394" s="7">
        <f ca="1">BaseA[[#This Row],[Días Transcurridos]]/360</f>
        <v>2.4388888888888891</v>
      </c>
    </row>
    <row r="395" spans="1:8" x14ac:dyDescent="0.3">
      <c r="A395" s="6">
        <v>394</v>
      </c>
      <c r="B395" s="6">
        <f>YEAR(Base1[[#This Row],[Fechas]])</f>
        <v>2025</v>
      </c>
      <c r="C395" s="6">
        <f>MONTH(Base1[[#This Row],[Fechas]])</f>
        <v>4</v>
      </c>
      <c r="D395" s="6">
        <f>DAY(Base1[[#This Row],[Fechas]])</f>
        <v>29</v>
      </c>
      <c r="E395" s="6" t="str">
        <f>TEXT(Base1[[#This Row],[Fechas]],"DDDD")</f>
        <v>martes</v>
      </c>
      <c r="F395" s="6" t="str">
        <f>TEXT(Base1[[#This Row],[Fechas]],"MMMM")</f>
        <v>abril</v>
      </c>
      <c r="G395" s="6">
        <f ca="1">_xlfn.DAYS(TODAY(),Base1[[#This Row],[Fechas]])</f>
        <v>421</v>
      </c>
      <c r="H395" s="7">
        <f ca="1">BaseA[[#This Row],[Días Transcurridos]]/360</f>
        <v>1.1694444444444445</v>
      </c>
    </row>
    <row r="396" spans="1:8" x14ac:dyDescent="0.3">
      <c r="A396" s="6">
        <v>395</v>
      </c>
      <c r="B396" s="6">
        <f>YEAR(Base1[[#This Row],[Fechas]])</f>
        <v>2023</v>
      </c>
      <c r="C396" s="6">
        <f>MONTH(Base1[[#This Row],[Fechas]])</f>
        <v>3</v>
      </c>
      <c r="D396" s="6">
        <f>DAY(Base1[[#This Row],[Fechas]])</f>
        <v>3</v>
      </c>
      <c r="E396" s="6" t="str">
        <f>TEXT(Base1[[#This Row],[Fechas]],"DDDD")</f>
        <v>viernes</v>
      </c>
      <c r="F396" s="6" t="str">
        <f>TEXT(Base1[[#This Row],[Fechas]],"MMMM")</f>
        <v>marzo</v>
      </c>
      <c r="G396" s="6">
        <f ca="1">_xlfn.DAYS(TODAY(),Base1[[#This Row],[Fechas]])</f>
        <v>1209</v>
      </c>
      <c r="H396" s="7">
        <f ca="1">BaseA[[#This Row],[Días Transcurridos]]/360</f>
        <v>3.3583333333333334</v>
      </c>
    </row>
    <row r="397" spans="1:8" x14ac:dyDescent="0.3">
      <c r="A397" s="6">
        <v>396</v>
      </c>
      <c r="B397" s="6">
        <f>YEAR(Base1[[#This Row],[Fechas]])</f>
        <v>2025</v>
      </c>
      <c r="C397" s="6">
        <f>MONTH(Base1[[#This Row],[Fechas]])</f>
        <v>6</v>
      </c>
      <c r="D397" s="6">
        <f>DAY(Base1[[#This Row],[Fechas]])</f>
        <v>25</v>
      </c>
      <c r="E397" s="6" t="str">
        <f>TEXT(Base1[[#This Row],[Fechas]],"DDDD")</f>
        <v>miércoles</v>
      </c>
      <c r="F397" s="6" t="str">
        <f>TEXT(Base1[[#This Row],[Fechas]],"MMMM")</f>
        <v>junio</v>
      </c>
      <c r="G397" s="6">
        <f ca="1">_xlfn.DAYS(TODAY(),Base1[[#This Row],[Fechas]])</f>
        <v>364</v>
      </c>
      <c r="H397" s="7">
        <f ca="1">BaseA[[#This Row],[Días Transcurridos]]/360</f>
        <v>1.0111111111111111</v>
      </c>
    </row>
    <row r="398" spans="1:8" x14ac:dyDescent="0.3">
      <c r="A398" s="6">
        <v>397</v>
      </c>
      <c r="B398" s="6">
        <f>YEAR(Base1[[#This Row],[Fechas]])</f>
        <v>2023</v>
      </c>
      <c r="C398" s="6">
        <f>MONTH(Base1[[#This Row],[Fechas]])</f>
        <v>2</v>
      </c>
      <c r="D398" s="6">
        <f>DAY(Base1[[#This Row],[Fechas]])</f>
        <v>15</v>
      </c>
      <c r="E398" s="6" t="str">
        <f>TEXT(Base1[[#This Row],[Fechas]],"DDDD")</f>
        <v>miércoles</v>
      </c>
      <c r="F398" s="6" t="str">
        <f>TEXT(Base1[[#This Row],[Fechas]],"MMMM")</f>
        <v>febrero</v>
      </c>
      <c r="G398" s="6">
        <f ca="1">_xlfn.DAYS(TODAY(),Base1[[#This Row],[Fechas]])</f>
        <v>1225</v>
      </c>
      <c r="H398" s="7">
        <f ca="1">BaseA[[#This Row],[Días Transcurridos]]/360</f>
        <v>3.4027777777777777</v>
      </c>
    </row>
    <row r="399" spans="1:8" x14ac:dyDescent="0.3">
      <c r="A399" s="6">
        <v>398</v>
      </c>
      <c r="B399" s="6">
        <f>YEAR(Base1[[#This Row],[Fechas]])</f>
        <v>2025</v>
      </c>
      <c r="C399" s="6">
        <f>MONTH(Base1[[#This Row],[Fechas]])</f>
        <v>1</v>
      </c>
      <c r="D399" s="6">
        <f>DAY(Base1[[#This Row],[Fechas]])</f>
        <v>9</v>
      </c>
      <c r="E399" s="6" t="str">
        <f>TEXT(Base1[[#This Row],[Fechas]],"DDDD")</f>
        <v>jueves</v>
      </c>
      <c r="F399" s="6" t="str">
        <f>TEXT(Base1[[#This Row],[Fechas]],"MMMM")</f>
        <v>enero</v>
      </c>
      <c r="G399" s="6">
        <f ca="1">_xlfn.DAYS(TODAY(),Base1[[#This Row],[Fechas]])</f>
        <v>531</v>
      </c>
      <c r="H399" s="7">
        <f ca="1">BaseA[[#This Row],[Días Transcurridos]]/360</f>
        <v>1.4750000000000001</v>
      </c>
    </row>
    <row r="400" spans="1:8" x14ac:dyDescent="0.3">
      <c r="A400" s="6">
        <v>399</v>
      </c>
      <c r="B400" s="6">
        <f>YEAR(Base1[[#This Row],[Fechas]])</f>
        <v>2023</v>
      </c>
      <c r="C400" s="6">
        <f>MONTH(Base1[[#This Row],[Fechas]])</f>
        <v>7</v>
      </c>
      <c r="D400" s="6">
        <f>DAY(Base1[[#This Row],[Fechas]])</f>
        <v>28</v>
      </c>
      <c r="E400" s="6" t="str">
        <f>TEXT(Base1[[#This Row],[Fechas]],"DDDD")</f>
        <v>viernes</v>
      </c>
      <c r="F400" s="6" t="str">
        <f>TEXT(Base1[[#This Row],[Fechas]],"MMMM")</f>
        <v>julio</v>
      </c>
      <c r="G400" s="6">
        <f ca="1">_xlfn.DAYS(TODAY(),Base1[[#This Row],[Fechas]])</f>
        <v>1062</v>
      </c>
      <c r="H400" s="7">
        <f ca="1">BaseA[[#This Row],[Días Transcurridos]]/360</f>
        <v>2.95</v>
      </c>
    </row>
    <row r="401" spans="1:8" x14ac:dyDescent="0.3">
      <c r="A401" s="6">
        <v>400</v>
      </c>
      <c r="B401" s="6">
        <f>YEAR(Base1[[#This Row],[Fechas]])</f>
        <v>2025</v>
      </c>
      <c r="C401" s="6">
        <f>MONTH(Base1[[#This Row],[Fechas]])</f>
        <v>10</v>
      </c>
      <c r="D401" s="6">
        <f>DAY(Base1[[#This Row],[Fechas]])</f>
        <v>9</v>
      </c>
      <c r="E401" s="6" t="str">
        <f>TEXT(Base1[[#This Row],[Fechas]],"DDDD")</f>
        <v>jueves</v>
      </c>
      <c r="F401" s="6" t="str">
        <f>TEXT(Base1[[#This Row],[Fechas]],"MMMM")</f>
        <v>octubre</v>
      </c>
      <c r="G401" s="6">
        <f ca="1">_xlfn.DAYS(TODAY(),Base1[[#This Row],[Fechas]])</f>
        <v>258</v>
      </c>
      <c r="H401" s="7">
        <f ca="1">BaseA[[#This Row],[Días Transcurridos]]/360</f>
        <v>0.71666666666666667</v>
      </c>
    </row>
    <row r="402" spans="1:8" x14ac:dyDescent="0.3">
      <c r="A402" s="6">
        <v>401</v>
      </c>
      <c r="B402" s="6">
        <f>YEAR(Base1[[#This Row],[Fechas]])</f>
        <v>2025</v>
      </c>
      <c r="C402" s="6">
        <f>MONTH(Base1[[#This Row],[Fechas]])</f>
        <v>3</v>
      </c>
      <c r="D402" s="6">
        <f>DAY(Base1[[#This Row],[Fechas]])</f>
        <v>2</v>
      </c>
      <c r="E402" s="6" t="str">
        <f>TEXT(Base1[[#This Row],[Fechas]],"DDDD")</f>
        <v>domingo</v>
      </c>
      <c r="F402" s="6" t="str">
        <f>TEXT(Base1[[#This Row],[Fechas]],"MMMM")</f>
        <v>marzo</v>
      </c>
      <c r="G402" s="6">
        <f ca="1">_xlfn.DAYS(TODAY(),Base1[[#This Row],[Fechas]])</f>
        <v>479</v>
      </c>
      <c r="H402" s="7">
        <f ca="1">BaseA[[#This Row],[Días Transcurridos]]/360</f>
        <v>1.3305555555555555</v>
      </c>
    </row>
    <row r="403" spans="1:8" x14ac:dyDescent="0.3">
      <c r="A403" s="6">
        <v>402</v>
      </c>
      <c r="B403" s="6">
        <f>YEAR(Base1[[#This Row],[Fechas]])</f>
        <v>2023</v>
      </c>
      <c r="C403" s="6">
        <f>MONTH(Base1[[#This Row],[Fechas]])</f>
        <v>9</v>
      </c>
      <c r="D403" s="6">
        <f>DAY(Base1[[#This Row],[Fechas]])</f>
        <v>4</v>
      </c>
      <c r="E403" s="6" t="str">
        <f>TEXT(Base1[[#This Row],[Fechas]],"DDDD")</f>
        <v>lunes</v>
      </c>
      <c r="F403" s="6" t="str">
        <f>TEXT(Base1[[#This Row],[Fechas]],"MMMM")</f>
        <v>septiembre</v>
      </c>
      <c r="G403" s="6">
        <f ca="1">_xlfn.DAYS(TODAY(),Base1[[#This Row],[Fechas]])</f>
        <v>1024</v>
      </c>
      <c r="H403" s="7">
        <f ca="1">BaseA[[#This Row],[Días Transcurridos]]/360</f>
        <v>2.8444444444444446</v>
      </c>
    </row>
    <row r="404" spans="1:8" x14ac:dyDescent="0.3">
      <c r="A404" s="6">
        <v>403</v>
      </c>
      <c r="B404" s="6">
        <f>YEAR(Base1[[#This Row],[Fechas]])</f>
        <v>2025</v>
      </c>
      <c r="C404" s="6">
        <f>MONTH(Base1[[#This Row],[Fechas]])</f>
        <v>4</v>
      </c>
      <c r="D404" s="6">
        <f>DAY(Base1[[#This Row],[Fechas]])</f>
        <v>8</v>
      </c>
      <c r="E404" s="6" t="str">
        <f>TEXT(Base1[[#This Row],[Fechas]],"DDDD")</f>
        <v>martes</v>
      </c>
      <c r="F404" s="6" t="str">
        <f>TEXT(Base1[[#This Row],[Fechas]],"MMMM")</f>
        <v>abril</v>
      </c>
      <c r="G404" s="6">
        <f ca="1">_xlfn.DAYS(TODAY(),Base1[[#This Row],[Fechas]])</f>
        <v>442</v>
      </c>
      <c r="H404" s="7">
        <f ca="1">BaseA[[#This Row],[Días Transcurridos]]/360</f>
        <v>1.2277777777777779</v>
      </c>
    </row>
    <row r="405" spans="1:8" x14ac:dyDescent="0.3">
      <c r="A405" s="6">
        <v>404</v>
      </c>
      <c r="B405" s="6">
        <f>YEAR(Base1[[#This Row],[Fechas]])</f>
        <v>2024</v>
      </c>
      <c r="C405" s="6">
        <f>MONTH(Base1[[#This Row],[Fechas]])</f>
        <v>9</v>
      </c>
      <c r="D405" s="6">
        <f>DAY(Base1[[#This Row],[Fechas]])</f>
        <v>29</v>
      </c>
      <c r="E405" s="6" t="str">
        <f>TEXT(Base1[[#This Row],[Fechas]],"DDDD")</f>
        <v>domingo</v>
      </c>
      <c r="F405" s="6" t="str">
        <f>TEXT(Base1[[#This Row],[Fechas]],"MMMM")</f>
        <v>septiembre</v>
      </c>
      <c r="G405" s="6">
        <f ca="1">_xlfn.DAYS(TODAY(),Base1[[#This Row],[Fechas]])</f>
        <v>633</v>
      </c>
      <c r="H405" s="7">
        <f ca="1">BaseA[[#This Row],[Días Transcurridos]]/360</f>
        <v>1.7583333333333333</v>
      </c>
    </row>
    <row r="406" spans="1:8" x14ac:dyDescent="0.3">
      <c r="A406" s="6">
        <v>405</v>
      </c>
      <c r="B406" s="6">
        <f>YEAR(Base1[[#This Row],[Fechas]])</f>
        <v>2025</v>
      </c>
      <c r="C406" s="6">
        <f>MONTH(Base1[[#This Row],[Fechas]])</f>
        <v>8</v>
      </c>
      <c r="D406" s="6">
        <f>DAY(Base1[[#This Row],[Fechas]])</f>
        <v>25</v>
      </c>
      <c r="E406" s="6" t="str">
        <f>TEXT(Base1[[#This Row],[Fechas]],"DDDD")</f>
        <v>lunes</v>
      </c>
      <c r="F406" s="6" t="str">
        <f>TEXT(Base1[[#This Row],[Fechas]],"MMMM")</f>
        <v>agosto</v>
      </c>
      <c r="G406" s="6">
        <f ca="1">_xlfn.DAYS(TODAY(),Base1[[#This Row],[Fechas]])</f>
        <v>303</v>
      </c>
      <c r="H406" s="7">
        <f ca="1">BaseA[[#This Row],[Días Transcurridos]]/360</f>
        <v>0.84166666666666667</v>
      </c>
    </row>
    <row r="407" spans="1:8" x14ac:dyDescent="0.3">
      <c r="A407" s="6">
        <v>406</v>
      </c>
      <c r="B407" s="6">
        <f>YEAR(Base1[[#This Row],[Fechas]])</f>
        <v>2025</v>
      </c>
      <c r="C407" s="6">
        <f>MONTH(Base1[[#This Row],[Fechas]])</f>
        <v>10</v>
      </c>
      <c r="D407" s="6">
        <f>DAY(Base1[[#This Row],[Fechas]])</f>
        <v>17</v>
      </c>
      <c r="E407" s="6" t="str">
        <f>TEXT(Base1[[#This Row],[Fechas]],"DDDD")</f>
        <v>viernes</v>
      </c>
      <c r="F407" s="6" t="str">
        <f>TEXT(Base1[[#This Row],[Fechas]],"MMMM")</f>
        <v>octubre</v>
      </c>
      <c r="G407" s="6">
        <f ca="1">_xlfn.DAYS(TODAY(),Base1[[#This Row],[Fechas]])</f>
        <v>250</v>
      </c>
      <c r="H407" s="7">
        <f ca="1">BaseA[[#This Row],[Días Transcurridos]]/360</f>
        <v>0.69444444444444442</v>
      </c>
    </row>
    <row r="408" spans="1:8" x14ac:dyDescent="0.3">
      <c r="A408" s="6">
        <v>407</v>
      </c>
      <c r="B408" s="6">
        <f>YEAR(Base1[[#This Row],[Fechas]])</f>
        <v>2024</v>
      </c>
      <c r="C408" s="6">
        <f>MONTH(Base1[[#This Row],[Fechas]])</f>
        <v>2</v>
      </c>
      <c r="D408" s="6">
        <f>DAY(Base1[[#This Row],[Fechas]])</f>
        <v>24</v>
      </c>
      <c r="E408" s="6" t="str">
        <f>TEXT(Base1[[#This Row],[Fechas]],"DDDD")</f>
        <v>sábado</v>
      </c>
      <c r="F408" s="6" t="str">
        <f>TEXT(Base1[[#This Row],[Fechas]],"MMMM")</f>
        <v>febrero</v>
      </c>
      <c r="G408" s="6">
        <f ca="1">_xlfn.DAYS(TODAY(),Base1[[#This Row],[Fechas]])</f>
        <v>851</v>
      </c>
      <c r="H408" s="7">
        <f ca="1">BaseA[[#This Row],[Días Transcurridos]]/360</f>
        <v>2.3638888888888889</v>
      </c>
    </row>
    <row r="409" spans="1:8" x14ac:dyDescent="0.3">
      <c r="A409" s="6">
        <v>408</v>
      </c>
      <c r="B409" s="6">
        <f>YEAR(Base1[[#This Row],[Fechas]])</f>
        <v>2024</v>
      </c>
      <c r="C409" s="6">
        <f>MONTH(Base1[[#This Row],[Fechas]])</f>
        <v>3</v>
      </c>
      <c r="D409" s="6">
        <f>DAY(Base1[[#This Row],[Fechas]])</f>
        <v>21</v>
      </c>
      <c r="E409" s="6" t="str">
        <f>TEXT(Base1[[#This Row],[Fechas]],"DDDD")</f>
        <v>jueves</v>
      </c>
      <c r="F409" s="6" t="str">
        <f>TEXT(Base1[[#This Row],[Fechas]],"MMMM")</f>
        <v>marzo</v>
      </c>
      <c r="G409" s="6">
        <f ca="1">_xlfn.DAYS(TODAY(),Base1[[#This Row],[Fechas]])</f>
        <v>825</v>
      </c>
      <c r="H409" s="7">
        <f ca="1">BaseA[[#This Row],[Días Transcurridos]]/360</f>
        <v>2.2916666666666665</v>
      </c>
    </row>
    <row r="410" spans="1:8" x14ac:dyDescent="0.3">
      <c r="A410" s="6">
        <v>409</v>
      </c>
      <c r="B410" s="6">
        <f>YEAR(Base1[[#This Row],[Fechas]])</f>
        <v>2023</v>
      </c>
      <c r="C410" s="6">
        <f>MONTH(Base1[[#This Row],[Fechas]])</f>
        <v>4</v>
      </c>
      <c r="D410" s="6">
        <f>DAY(Base1[[#This Row],[Fechas]])</f>
        <v>20</v>
      </c>
      <c r="E410" s="6" t="str">
        <f>TEXT(Base1[[#This Row],[Fechas]],"DDDD")</f>
        <v>jueves</v>
      </c>
      <c r="F410" s="6" t="str">
        <f>TEXT(Base1[[#This Row],[Fechas]],"MMMM")</f>
        <v>abril</v>
      </c>
      <c r="G410" s="6">
        <f ca="1">_xlfn.DAYS(TODAY(),Base1[[#This Row],[Fechas]])</f>
        <v>1161</v>
      </c>
      <c r="H410" s="7">
        <f ca="1">BaseA[[#This Row],[Días Transcurridos]]/360</f>
        <v>3.2250000000000001</v>
      </c>
    </row>
    <row r="411" spans="1:8" x14ac:dyDescent="0.3">
      <c r="A411" s="6">
        <v>410</v>
      </c>
      <c r="B411" s="6">
        <f>YEAR(Base1[[#This Row],[Fechas]])</f>
        <v>2025</v>
      </c>
      <c r="C411" s="6">
        <f>MONTH(Base1[[#This Row],[Fechas]])</f>
        <v>10</v>
      </c>
      <c r="D411" s="6">
        <f>DAY(Base1[[#This Row],[Fechas]])</f>
        <v>2</v>
      </c>
      <c r="E411" s="6" t="str">
        <f>TEXT(Base1[[#This Row],[Fechas]],"DDDD")</f>
        <v>jueves</v>
      </c>
      <c r="F411" s="6" t="str">
        <f>TEXT(Base1[[#This Row],[Fechas]],"MMMM")</f>
        <v>octubre</v>
      </c>
      <c r="G411" s="6">
        <f ca="1">_xlfn.DAYS(TODAY(),Base1[[#This Row],[Fechas]])</f>
        <v>265</v>
      </c>
      <c r="H411" s="7">
        <f ca="1">BaseA[[#This Row],[Días Transcurridos]]/360</f>
        <v>0.73611111111111116</v>
      </c>
    </row>
    <row r="412" spans="1:8" x14ac:dyDescent="0.3">
      <c r="A412" s="6">
        <v>411</v>
      </c>
      <c r="B412" s="6">
        <f>YEAR(Base1[[#This Row],[Fechas]])</f>
        <v>2024</v>
      </c>
      <c r="C412" s="6">
        <f>MONTH(Base1[[#This Row],[Fechas]])</f>
        <v>1</v>
      </c>
      <c r="D412" s="6">
        <f>DAY(Base1[[#This Row],[Fechas]])</f>
        <v>11</v>
      </c>
      <c r="E412" s="6" t="str">
        <f>TEXT(Base1[[#This Row],[Fechas]],"DDDD")</f>
        <v>jueves</v>
      </c>
      <c r="F412" s="6" t="str">
        <f>TEXT(Base1[[#This Row],[Fechas]],"MMMM")</f>
        <v>enero</v>
      </c>
      <c r="G412" s="6">
        <f ca="1">_xlfn.DAYS(TODAY(),Base1[[#This Row],[Fechas]])</f>
        <v>895</v>
      </c>
      <c r="H412" s="7">
        <f ca="1">BaseA[[#This Row],[Días Transcurridos]]/360</f>
        <v>2.4861111111111112</v>
      </c>
    </row>
    <row r="413" spans="1:8" x14ac:dyDescent="0.3">
      <c r="A413" s="6">
        <v>412</v>
      </c>
      <c r="B413" s="6">
        <f>YEAR(Base1[[#This Row],[Fechas]])</f>
        <v>2023</v>
      </c>
      <c r="C413" s="6">
        <f>MONTH(Base1[[#This Row],[Fechas]])</f>
        <v>1</v>
      </c>
      <c r="D413" s="6">
        <f>DAY(Base1[[#This Row],[Fechas]])</f>
        <v>2</v>
      </c>
      <c r="E413" s="6" t="str">
        <f>TEXT(Base1[[#This Row],[Fechas]],"DDDD")</f>
        <v>lunes</v>
      </c>
      <c r="F413" s="6" t="str">
        <f>TEXT(Base1[[#This Row],[Fechas]],"MMMM")</f>
        <v>enero</v>
      </c>
      <c r="G413" s="6">
        <f ca="1">_xlfn.DAYS(TODAY(),Base1[[#This Row],[Fechas]])</f>
        <v>1269</v>
      </c>
      <c r="H413" s="7">
        <f ca="1">BaseA[[#This Row],[Días Transcurridos]]/360</f>
        <v>3.5249999999999999</v>
      </c>
    </row>
    <row r="414" spans="1:8" x14ac:dyDescent="0.3">
      <c r="A414" s="6">
        <v>413</v>
      </c>
      <c r="B414" s="6">
        <f>YEAR(Base1[[#This Row],[Fechas]])</f>
        <v>2024</v>
      </c>
      <c r="C414" s="6">
        <f>MONTH(Base1[[#This Row],[Fechas]])</f>
        <v>11</v>
      </c>
      <c r="D414" s="6">
        <f>DAY(Base1[[#This Row],[Fechas]])</f>
        <v>27</v>
      </c>
      <c r="E414" s="6" t="str">
        <f>TEXT(Base1[[#This Row],[Fechas]],"DDDD")</f>
        <v>miércoles</v>
      </c>
      <c r="F414" s="6" t="str">
        <f>TEXT(Base1[[#This Row],[Fechas]],"MMMM")</f>
        <v>noviembre</v>
      </c>
      <c r="G414" s="6">
        <f ca="1">_xlfn.DAYS(TODAY(),Base1[[#This Row],[Fechas]])</f>
        <v>574</v>
      </c>
      <c r="H414" s="7">
        <f ca="1">BaseA[[#This Row],[Días Transcurridos]]/360</f>
        <v>1.5944444444444446</v>
      </c>
    </row>
    <row r="415" spans="1:8" x14ac:dyDescent="0.3">
      <c r="A415" s="6">
        <v>414</v>
      </c>
      <c r="B415" s="6">
        <f>YEAR(Base1[[#This Row],[Fechas]])</f>
        <v>2024</v>
      </c>
      <c r="C415" s="6">
        <f>MONTH(Base1[[#This Row],[Fechas]])</f>
        <v>11</v>
      </c>
      <c r="D415" s="6">
        <f>DAY(Base1[[#This Row],[Fechas]])</f>
        <v>29</v>
      </c>
      <c r="E415" s="6" t="str">
        <f>TEXT(Base1[[#This Row],[Fechas]],"DDDD")</f>
        <v>viernes</v>
      </c>
      <c r="F415" s="6" t="str">
        <f>TEXT(Base1[[#This Row],[Fechas]],"MMMM")</f>
        <v>noviembre</v>
      </c>
      <c r="G415" s="6">
        <f ca="1">_xlfn.DAYS(TODAY(),Base1[[#This Row],[Fechas]])</f>
        <v>572</v>
      </c>
      <c r="H415" s="7">
        <f ca="1">BaseA[[#This Row],[Días Transcurridos]]/360</f>
        <v>1.5888888888888888</v>
      </c>
    </row>
    <row r="416" spans="1:8" x14ac:dyDescent="0.3">
      <c r="A416" s="6">
        <v>415</v>
      </c>
      <c r="B416" s="6">
        <f>YEAR(Base1[[#This Row],[Fechas]])</f>
        <v>2023</v>
      </c>
      <c r="C416" s="6">
        <f>MONTH(Base1[[#This Row],[Fechas]])</f>
        <v>8</v>
      </c>
      <c r="D416" s="6">
        <f>DAY(Base1[[#This Row],[Fechas]])</f>
        <v>15</v>
      </c>
      <c r="E416" s="6" t="str">
        <f>TEXT(Base1[[#This Row],[Fechas]],"DDDD")</f>
        <v>martes</v>
      </c>
      <c r="F416" s="6" t="str">
        <f>TEXT(Base1[[#This Row],[Fechas]],"MMMM")</f>
        <v>agosto</v>
      </c>
      <c r="G416" s="6">
        <f ca="1">_xlfn.DAYS(TODAY(),Base1[[#This Row],[Fechas]])</f>
        <v>1044</v>
      </c>
      <c r="H416" s="7">
        <f ca="1">BaseA[[#This Row],[Días Transcurridos]]/360</f>
        <v>2.9</v>
      </c>
    </row>
    <row r="417" spans="1:8" x14ac:dyDescent="0.3">
      <c r="A417" s="6">
        <v>416</v>
      </c>
      <c r="B417" s="6">
        <f>YEAR(Base1[[#This Row],[Fechas]])</f>
        <v>2025</v>
      </c>
      <c r="C417" s="6">
        <f>MONTH(Base1[[#This Row],[Fechas]])</f>
        <v>5</v>
      </c>
      <c r="D417" s="6">
        <f>DAY(Base1[[#This Row],[Fechas]])</f>
        <v>6</v>
      </c>
      <c r="E417" s="6" t="str">
        <f>TEXT(Base1[[#This Row],[Fechas]],"DDDD")</f>
        <v>martes</v>
      </c>
      <c r="F417" s="6" t="str">
        <f>TEXT(Base1[[#This Row],[Fechas]],"MMMM")</f>
        <v>mayo</v>
      </c>
      <c r="G417" s="6">
        <f ca="1">_xlfn.DAYS(TODAY(),Base1[[#This Row],[Fechas]])</f>
        <v>414</v>
      </c>
      <c r="H417" s="7">
        <f ca="1">BaseA[[#This Row],[Días Transcurridos]]/360</f>
        <v>1.1499999999999999</v>
      </c>
    </row>
    <row r="418" spans="1:8" x14ac:dyDescent="0.3">
      <c r="A418" s="6">
        <v>417</v>
      </c>
      <c r="B418" s="6">
        <f>YEAR(Base1[[#This Row],[Fechas]])</f>
        <v>2023</v>
      </c>
      <c r="C418" s="6">
        <f>MONTH(Base1[[#This Row],[Fechas]])</f>
        <v>11</v>
      </c>
      <c r="D418" s="6">
        <f>DAY(Base1[[#This Row],[Fechas]])</f>
        <v>20</v>
      </c>
      <c r="E418" s="6" t="str">
        <f>TEXT(Base1[[#This Row],[Fechas]],"DDDD")</f>
        <v>lunes</v>
      </c>
      <c r="F418" s="6" t="str">
        <f>TEXT(Base1[[#This Row],[Fechas]],"MMMM")</f>
        <v>noviembre</v>
      </c>
      <c r="G418" s="6">
        <f ca="1">_xlfn.DAYS(TODAY(),Base1[[#This Row],[Fechas]])</f>
        <v>947</v>
      </c>
      <c r="H418" s="7">
        <f ca="1">BaseA[[#This Row],[Días Transcurridos]]/360</f>
        <v>2.6305555555555555</v>
      </c>
    </row>
    <row r="419" spans="1:8" x14ac:dyDescent="0.3">
      <c r="A419" s="6">
        <v>418</v>
      </c>
      <c r="B419" s="6">
        <f>YEAR(Base1[[#This Row],[Fechas]])</f>
        <v>2024</v>
      </c>
      <c r="C419" s="6">
        <f>MONTH(Base1[[#This Row],[Fechas]])</f>
        <v>6</v>
      </c>
      <c r="D419" s="6">
        <f>DAY(Base1[[#This Row],[Fechas]])</f>
        <v>8</v>
      </c>
      <c r="E419" s="6" t="str">
        <f>TEXT(Base1[[#This Row],[Fechas]],"DDDD")</f>
        <v>sábado</v>
      </c>
      <c r="F419" s="6" t="str">
        <f>TEXT(Base1[[#This Row],[Fechas]],"MMMM")</f>
        <v>junio</v>
      </c>
      <c r="G419" s="6">
        <f ca="1">_xlfn.DAYS(TODAY(),Base1[[#This Row],[Fechas]])</f>
        <v>746</v>
      </c>
      <c r="H419" s="7">
        <f ca="1">BaseA[[#This Row],[Días Transcurridos]]/360</f>
        <v>2.0722222222222224</v>
      </c>
    </row>
    <row r="420" spans="1:8" x14ac:dyDescent="0.3">
      <c r="A420" s="6">
        <v>419</v>
      </c>
      <c r="B420" s="6">
        <f>YEAR(Base1[[#This Row],[Fechas]])</f>
        <v>2025</v>
      </c>
      <c r="C420" s="6">
        <f>MONTH(Base1[[#This Row],[Fechas]])</f>
        <v>5</v>
      </c>
      <c r="D420" s="6">
        <f>DAY(Base1[[#This Row],[Fechas]])</f>
        <v>23</v>
      </c>
      <c r="E420" s="6" t="str">
        <f>TEXT(Base1[[#This Row],[Fechas]],"DDDD")</f>
        <v>viernes</v>
      </c>
      <c r="F420" s="6" t="str">
        <f>TEXT(Base1[[#This Row],[Fechas]],"MMMM")</f>
        <v>mayo</v>
      </c>
      <c r="G420" s="6">
        <f ca="1">_xlfn.DAYS(TODAY(),Base1[[#This Row],[Fechas]])</f>
        <v>397</v>
      </c>
      <c r="H420" s="7">
        <f ca="1">BaseA[[#This Row],[Días Transcurridos]]/360</f>
        <v>1.1027777777777779</v>
      </c>
    </row>
    <row r="421" spans="1:8" x14ac:dyDescent="0.3">
      <c r="A421" s="6">
        <v>420</v>
      </c>
      <c r="B421" s="6">
        <f>YEAR(Base1[[#This Row],[Fechas]])</f>
        <v>2024</v>
      </c>
      <c r="C421" s="6">
        <f>MONTH(Base1[[#This Row],[Fechas]])</f>
        <v>4</v>
      </c>
      <c r="D421" s="6">
        <f>DAY(Base1[[#This Row],[Fechas]])</f>
        <v>21</v>
      </c>
      <c r="E421" s="6" t="str">
        <f>TEXT(Base1[[#This Row],[Fechas]],"DDDD")</f>
        <v>domingo</v>
      </c>
      <c r="F421" s="6" t="str">
        <f>TEXT(Base1[[#This Row],[Fechas]],"MMMM")</f>
        <v>abril</v>
      </c>
      <c r="G421" s="6">
        <f ca="1">_xlfn.DAYS(TODAY(),Base1[[#This Row],[Fechas]])</f>
        <v>794</v>
      </c>
      <c r="H421" s="7">
        <f ca="1">BaseA[[#This Row],[Días Transcurridos]]/360</f>
        <v>2.2055555555555557</v>
      </c>
    </row>
    <row r="422" spans="1:8" x14ac:dyDescent="0.3">
      <c r="A422" s="6">
        <v>421</v>
      </c>
      <c r="B422" s="6">
        <f>YEAR(Base1[[#This Row],[Fechas]])</f>
        <v>2024</v>
      </c>
      <c r="C422" s="6">
        <f>MONTH(Base1[[#This Row],[Fechas]])</f>
        <v>8</v>
      </c>
      <c r="D422" s="6">
        <f>DAY(Base1[[#This Row],[Fechas]])</f>
        <v>5</v>
      </c>
      <c r="E422" s="6" t="str">
        <f>TEXT(Base1[[#This Row],[Fechas]],"DDDD")</f>
        <v>lunes</v>
      </c>
      <c r="F422" s="6" t="str">
        <f>TEXT(Base1[[#This Row],[Fechas]],"MMMM")</f>
        <v>agosto</v>
      </c>
      <c r="G422" s="6">
        <f ca="1">_xlfn.DAYS(TODAY(),Base1[[#This Row],[Fechas]])</f>
        <v>688</v>
      </c>
      <c r="H422" s="7">
        <f ca="1">BaseA[[#This Row],[Días Transcurridos]]/360</f>
        <v>1.9111111111111112</v>
      </c>
    </row>
    <row r="423" spans="1:8" x14ac:dyDescent="0.3">
      <c r="A423" s="6">
        <v>422</v>
      </c>
      <c r="B423" s="6">
        <f>YEAR(Base1[[#This Row],[Fechas]])</f>
        <v>2025</v>
      </c>
      <c r="C423" s="6">
        <f>MONTH(Base1[[#This Row],[Fechas]])</f>
        <v>3</v>
      </c>
      <c r="D423" s="6">
        <f>DAY(Base1[[#This Row],[Fechas]])</f>
        <v>30</v>
      </c>
      <c r="E423" s="6" t="str">
        <f>TEXT(Base1[[#This Row],[Fechas]],"DDDD")</f>
        <v>domingo</v>
      </c>
      <c r="F423" s="6" t="str">
        <f>TEXT(Base1[[#This Row],[Fechas]],"MMMM")</f>
        <v>marzo</v>
      </c>
      <c r="G423" s="6">
        <f ca="1">_xlfn.DAYS(TODAY(),Base1[[#This Row],[Fechas]])</f>
        <v>451</v>
      </c>
      <c r="H423" s="7">
        <f ca="1">BaseA[[#This Row],[Días Transcurridos]]/360</f>
        <v>1.2527777777777778</v>
      </c>
    </row>
    <row r="424" spans="1:8" x14ac:dyDescent="0.3">
      <c r="A424" s="6">
        <v>423</v>
      </c>
      <c r="B424" s="6">
        <f>YEAR(Base1[[#This Row],[Fechas]])</f>
        <v>2023</v>
      </c>
      <c r="C424" s="6">
        <f>MONTH(Base1[[#This Row],[Fechas]])</f>
        <v>2</v>
      </c>
      <c r="D424" s="6">
        <f>DAY(Base1[[#This Row],[Fechas]])</f>
        <v>20</v>
      </c>
      <c r="E424" s="6" t="str">
        <f>TEXT(Base1[[#This Row],[Fechas]],"DDDD")</f>
        <v>lunes</v>
      </c>
      <c r="F424" s="6" t="str">
        <f>TEXT(Base1[[#This Row],[Fechas]],"MMMM")</f>
        <v>febrero</v>
      </c>
      <c r="G424" s="6">
        <f ca="1">_xlfn.DAYS(TODAY(),Base1[[#This Row],[Fechas]])</f>
        <v>1220</v>
      </c>
      <c r="H424" s="7">
        <f ca="1">BaseA[[#This Row],[Días Transcurridos]]/360</f>
        <v>3.3888888888888888</v>
      </c>
    </row>
    <row r="425" spans="1:8" x14ac:dyDescent="0.3">
      <c r="A425" s="6">
        <v>424</v>
      </c>
      <c r="B425" s="6">
        <f>YEAR(Base1[[#This Row],[Fechas]])</f>
        <v>2024</v>
      </c>
      <c r="C425" s="6">
        <f>MONTH(Base1[[#This Row],[Fechas]])</f>
        <v>10</v>
      </c>
      <c r="D425" s="6">
        <f>DAY(Base1[[#This Row],[Fechas]])</f>
        <v>1</v>
      </c>
      <c r="E425" s="6" t="str">
        <f>TEXT(Base1[[#This Row],[Fechas]],"DDDD")</f>
        <v>martes</v>
      </c>
      <c r="F425" s="6" t="str">
        <f>TEXT(Base1[[#This Row],[Fechas]],"MMMM")</f>
        <v>octubre</v>
      </c>
      <c r="G425" s="6">
        <f ca="1">_xlfn.DAYS(TODAY(),Base1[[#This Row],[Fechas]])</f>
        <v>631</v>
      </c>
      <c r="H425" s="7">
        <f ca="1">BaseA[[#This Row],[Días Transcurridos]]/360</f>
        <v>1.7527777777777778</v>
      </c>
    </row>
    <row r="426" spans="1:8" x14ac:dyDescent="0.3">
      <c r="A426" s="6">
        <v>425</v>
      </c>
      <c r="B426" s="6">
        <f>YEAR(Base1[[#This Row],[Fechas]])</f>
        <v>2025</v>
      </c>
      <c r="C426" s="6">
        <f>MONTH(Base1[[#This Row],[Fechas]])</f>
        <v>6</v>
      </c>
      <c r="D426" s="6">
        <f>DAY(Base1[[#This Row],[Fechas]])</f>
        <v>14</v>
      </c>
      <c r="E426" s="6" t="str">
        <f>TEXT(Base1[[#This Row],[Fechas]],"DDDD")</f>
        <v>sábado</v>
      </c>
      <c r="F426" s="6" t="str">
        <f>TEXT(Base1[[#This Row],[Fechas]],"MMMM")</f>
        <v>junio</v>
      </c>
      <c r="G426" s="6">
        <f ca="1">_xlfn.DAYS(TODAY(),Base1[[#This Row],[Fechas]])</f>
        <v>375</v>
      </c>
      <c r="H426" s="7">
        <f ca="1">BaseA[[#This Row],[Días Transcurridos]]/360</f>
        <v>1.0416666666666667</v>
      </c>
    </row>
    <row r="427" spans="1:8" x14ac:dyDescent="0.3">
      <c r="A427" s="6">
        <v>426</v>
      </c>
      <c r="B427" s="6">
        <f>YEAR(Base1[[#This Row],[Fechas]])</f>
        <v>2025</v>
      </c>
      <c r="C427" s="6">
        <f>MONTH(Base1[[#This Row],[Fechas]])</f>
        <v>11</v>
      </c>
      <c r="D427" s="6">
        <f>DAY(Base1[[#This Row],[Fechas]])</f>
        <v>28</v>
      </c>
      <c r="E427" s="6" t="str">
        <f>TEXT(Base1[[#This Row],[Fechas]],"DDDD")</f>
        <v>viernes</v>
      </c>
      <c r="F427" s="6" t="str">
        <f>TEXT(Base1[[#This Row],[Fechas]],"MMMM")</f>
        <v>noviembre</v>
      </c>
      <c r="G427" s="6">
        <f ca="1">_xlfn.DAYS(TODAY(),Base1[[#This Row],[Fechas]])</f>
        <v>208</v>
      </c>
      <c r="H427" s="7">
        <f ca="1">BaseA[[#This Row],[Días Transcurridos]]/360</f>
        <v>0.57777777777777772</v>
      </c>
    </row>
    <row r="428" spans="1:8" x14ac:dyDescent="0.3">
      <c r="A428" s="6">
        <v>427</v>
      </c>
      <c r="B428" s="6">
        <f>YEAR(Base1[[#This Row],[Fechas]])</f>
        <v>2024</v>
      </c>
      <c r="C428" s="6">
        <f>MONTH(Base1[[#This Row],[Fechas]])</f>
        <v>1</v>
      </c>
      <c r="D428" s="6">
        <f>DAY(Base1[[#This Row],[Fechas]])</f>
        <v>28</v>
      </c>
      <c r="E428" s="6" t="str">
        <f>TEXT(Base1[[#This Row],[Fechas]],"DDDD")</f>
        <v>domingo</v>
      </c>
      <c r="F428" s="6" t="str">
        <f>TEXT(Base1[[#This Row],[Fechas]],"MMMM")</f>
        <v>enero</v>
      </c>
      <c r="G428" s="6">
        <f ca="1">_xlfn.DAYS(TODAY(),Base1[[#This Row],[Fechas]])</f>
        <v>878</v>
      </c>
      <c r="H428" s="7">
        <f ca="1">BaseA[[#This Row],[Días Transcurridos]]/360</f>
        <v>2.4388888888888891</v>
      </c>
    </row>
    <row r="429" spans="1:8" x14ac:dyDescent="0.3">
      <c r="A429" s="6">
        <v>428</v>
      </c>
      <c r="B429" s="6">
        <f>YEAR(Base1[[#This Row],[Fechas]])</f>
        <v>2025</v>
      </c>
      <c r="C429" s="6">
        <f>MONTH(Base1[[#This Row],[Fechas]])</f>
        <v>4</v>
      </c>
      <c r="D429" s="6">
        <f>DAY(Base1[[#This Row],[Fechas]])</f>
        <v>29</v>
      </c>
      <c r="E429" s="6" t="str">
        <f>TEXT(Base1[[#This Row],[Fechas]],"DDDD")</f>
        <v>martes</v>
      </c>
      <c r="F429" s="6" t="str">
        <f>TEXT(Base1[[#This Row],[Fechas]],"MMMM")</f>
        <v>abril</v>
      </c>
      <c r="G429" s="6">
        <f ca="1">_xlfn.DAYS(TODAY(),Base1[[#This Row],[Fechas]])</f>
        <v>421</v>
      </c>
      <c r="H429" s="7">
        <f ca="1">BaseA[[#This Row],[Días Transcurridos]]/360</f>
        <v>1.1694444444444445</v>
      </c>
    </row>
    <row r="430" spans="1:8" x14ac:dyDescent="0.3">
      <c r="A430" s="6">
        <v>429</v>
      </c>
      <c r="B430" s="6">
        <f>YEAR(Base1[[#This Row],[Fechas]])</f>
        <v>2023</v>
      </c>
      <c r="C430" s="6">
        <f>MONTH(Base1[[#This Row],[Fechas]])</f>
        <v>3</v>
      </c>
      <c r="D430" s="6">
        <f>DAY(Base1[[#This Row],[Fechas]])</f>
        <v>3</v>
      </c>
      <c r="E430" s="6" t="str">
        <f>TEXT(Base1[[#This Row],[Fechas]],"DDDD")</f>
        <v>viernes</v>
      </c>
      <c r="F430" s="6" t="str">
        <f>TEXT(Base1[[#This Row],[Fechas]],"MMMM")</f>
        <v>marzo</v>
      </c>
      <c r="G430" s="6">
        <f ca="1">_xlfn.DAYS(TODAY(),Base1[[#This Row],[Fechas]])</f>
        <v>1209</v>
      </c>
      <c r="H430" s="7">
        <f ca="1">BaseA[[#This Row],[Días Transcurridos]]/360</f>
        <v>3.3583333333333334</v>
      </c>
    </row>
    <row r="431" spans="1:8" x14ac:dyDescent="0.3">
      <c r="A431" s="6">
        <v>430</v>
      </c>
      <c r="B431" s="6">
        <f>YEAR(Base1[[#This Row],[Fechas]])</f>
        <v>2025</v>
      </c>
      <c r="C431" s="6">
        <f>MONTH(Base1[[#This Row],[Fechas]])</f>
        <v>6</v>
      </c>
      <c r="D431" s="6">
        <f>DAY(Base1[[#This Row],[Fechas]])</f>
        <v>25</v>
      </c>
      <c r="E431" s="6" t="str">
        <f>TEXT(Base1[[#This Row],[Fechas]],"DDDD")</f>
        <v>miércoles</v>
      </c>
      <c r="F431" s="6" t="str">
        <f>TEXT(Base1[[#This Row],[Fechas]],"MMMM")</f>
        <v>junio</v>
      </c>
      <c r="G431" s="6">
        <f ca="1">_xlfn.DAYS(TODAY(),Base1[[#This Row],[Fechas]])</f>
        <v>364</v>
      </c>
      <c r="H431" s="7">
        <f ca="1">BaseA[[#This Row],[Días Transcurridos]]/360</f>
        <v>1.0111111111111111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F414C-914F-4485-88E6-D4F56F441744}">
  <dimension ref="B2:X32"/>
  <sheetViews>
    <sheetView tabSelected="1" workbookViewId="0">
      <selection activeCell="T4" sqref="T4"/>
    </sheetView>
  </sheetViews>
  <sheetFormatPr baseColWidth="10" defaultRowHeight="14.4" x14ac:dyDescent="0.3"/>
  <cols>
    <col min="2" max="2" width="13.6640625" customWidth="1"/>
    <col min="3" max="3" width="21.21875" customWidth="1"/>
    <col min="5" max="5" width="15.21875" customWidth="1"/>
    <col min="6" max="6" width="16.21875" customWidth="1"/>
    <col min="8" max="8" width="13.6640625" customWidth="1"/>
    <col min="9" max="9" width="21.21875" customWidth="1"/>
    <col min="11" max="12" width="16.88671875" customWidth="1"/>
    <col min="17" max="17" width="15.33203125" bestFit="1" customWidth="1"/>
    <col min="18" max="18" width="15.109375" customWidth="1"/>
    <col min="19" max="19" width="11.77734375" bestFit="1" customWidth="1"/>
    <col min="20" max="20" width="15.77734375" customWidth="1"/>
    <col min="21" max="21" width="14.109375" customWidth="1"/>
    <col min="23" max="23" width="12.77734375" bestFit="1" customWidth="1"/>
  </cols>
  <sheetData>
    <row r="2" spans="2:24" x14ac:dyDescent="0.3">
      <c r="P2" s="13" t="s">
        <v>54</v>
      </c>
      <c r="Q2" s="14"/>
      <c r="R2" s="14"/>
      <c r="S2" s="14"/>
      <c r="T2" s="14"/>
      <c r="U2" s="14"/>
      <c r="V2" s="14"/>
      <c r="W2" s="14"/>
    </row>
    <row r="4" spans="2:24" x14ac:dyDescent="0.3">
      <c r="P4" s="22" t="s">
        <v>30</v>
      </c>
    </row>
    <row r="5" spans="2:24" x14ac:dyDescent="0.3">
      <c r="P5" s="8">
        <v>50</v>
      </c>
    </row>
    <row r="6" spans="2:24" x14ac:dyDescent="0.3">
      <c r="B6" s="16" t="s">
        <v>1</v>
      </c>
      <c r="C6" s="16" t="s">
        <v>46</v>
      </c>
      <c r="E6" s="16" t="s">
        <v>4</v>
      </c>
      <c r="F6" s="16" t="s">
        <v>47</v>
      </c>
      <c r="G6" s="19"/>
      <c r="H6" s="16" t="s">
        <v>48</v>
      </c>
      <c r="I6" s="16" t="s">
        <v>49</v>
      </c>
      <c r="J6" s="19"/>
      <c r="K6" s="16" t="s">
        <v>1</v>
      </c>
      <c r="L6" s="16" t="s">
        <v>52</v>
      </c>
    </row>
    <row r="7" spans="2:24" x14ac:dyDescent="0.3">
      <c r="B7" s="2" t="str" cm="1">
        <f t="array" ref="B7:B17">_xlfn.UNIQUE(Base1[Productos])</f>
        <v>Producto-0023</v>
      </c>
      <c r="C7" s="3" cm="1">
        <f t="array" ref="C7:C17">SUMIF(Base1[Productos],_xlfn.ANCHORARRAY(B7),Base1[Total_Ventas])</f>
        <v>31103338</v>
      </c>
      <c r="E7" s="2" t="str" cm="1">
        <f t="array" ref="E7:E10">_xlfn.UNIQUE(Base1[Zonas])</f>
        <v>Norte</v>
      </c>
      <c r="F7" s="3" cm="1">
        <f t="array" ref="F7:F10">SUMIF(Base1[Zonas],_xlfn.ANCHORARRAY(E7),Base1[Total_Ventas])</f>
        <v>95591883</v>
      </c>
      <c r="H7" s="2" t="str" cm="1">
        <f t="array" ref="H7:H10">_xlfn.UNIQUE(Base1[Vendedor])</f>
        <v>Vendedor-001</v>
      </c>
      <c r="I7" s="3" cm="1">
        <f t="array" ref="I7:I10">SUMIF(Base1[Vendedor],_xlfn.ANCHORARRAY(H7),Base1[Total_Ventas])</f>
        <v>99253948</v>
      </c>
      <c r="K7" s="2" t="str" cm="1">
        <f t="array" ref="K7:K17">_xlfn.UNIQUE(Base1[Productos])</f>
        <v>Producto-0023</v>
      </c>
      <c r="L7" s="8" cm="1">
        <f t="array" ref="L7:L17">COUNTIF(Base1[Productos],_xlfn.ANCHORARRAY(K7))</f>
        <v>36</v>
      </c>
      <c r="P7" s="23" t="s">
        <v>26</v>
      </c>
      <c r="Q7" s="23" t="s">
        <v>0</v>
      </c>
      <c r="R7" s="24" t="s">
        <v>1</v>
      </c>
      <c r="S7" s="25" t="s">
        <v>2</v>
      </c>
      <c r="T7" s="26" t="s">
        <v>5</v>
      </c>
      <c r="U7" s="24" t="s">
        <v>3</v>
      </c>
      <c r="V7" s="24" t="s">
        <v>4</v>
      </c>
      <c r="W7" s="25" t="s">
        <v>25</v>
      </c>
      <c r="X7" s="10"/>
    </row>
    <row r="8" spans="2:24" x14ac:dyDescent="0.3">
      <c r="B8" s="2" t="str">
        <v>Producto-0024</v>
      </c>
      <c r="C8" s="3">
        <v>36344623</v>
      </c>
      <c r="E8" s="2" t="str">
        <v>Sur</v>
      </c>
      <c r="F8" s="3">
        <v>100077711</v>
      </c>
      <c r="H8" s="2" t="str">
        <v>Vendedor-002</v>
      </c>
      <c r="I8" s="3">
        <v>117773050</v>
      </c>
      <c r="K8" s="2" t="str">
        <v>Producto-0024</v>
      </c>
      <c r="L8" s="8">
        <v>36</v>
      </c>
      <c r="P8" s="8" t="str">
        <f>VLOOKUP(P5,Origen!A:B,2,0)</f>
        <v>B</v>
      </c>
      <c r="Q8" s="11">
        <f>VLOOKUP(P5,Origen!A:C,3,0)</f>
        <v>45335</v>
      </c>
      <c r="R8" s="8" t="str">
        <f>VLOOKUP(P5,Origen!A:D,4,0)</f>
        <v>Producto-0025</v>
      </c>
      <c r="S8" s="9">
        <f>VLOOKUP(P5,Origen!A:E,5,0)</f>
        <v>17523</v>
      </c>
      <c r="T8" s="8">
        <f>VLOOKUP(P5,Origen!A:F,6,0)</f>
        <v>15</v>
      </c>
      <c r="U8" s="8" t="str">
        <f>VLOOKUP(P5,Origen!A:G,7,0)</f>
        <v>Vendedor-001</v>
      </c>
      <c r="V8" s="8" t="str">
        <f>VLOOKUP(P5,Origen!A:H,8,0)</f>
        <v>Sur</v>
      </c>
      <c r="W8" s="9">
        <f>VLOOKUP(P5,Origen!A:I,9,0)</f>
        <v>262845</v>
      </c>
    </row>
    <row r="9" spans="2:24" x14ac:dyDescent="0.3">
      <c r="B9" s="2" t="str">
        <v>Producto-0025</v>
      </c>
      <c r="C9" s="3">
        <v>30612681</v>
      </c>
      <c r="E9" s="2" t="str">
        <v>Este</v>
      </c>
      <c r="F9" s="3">
        <v>96645841</v>
      </c>
      <c r="H9" s="2" t="str">
        <v>Vendedor-003</v>
      </c>
      <c r="I9" s="3">
        <v>107003553</v>
      </c>
      <c r="K9" s="2" t="str">
        <v>Producto-0025</v>
      </c>
      <c r="L9" s="8">
        <v>31</v>
      </c>
    </row>
    <row r="10" spans="2:24" x14ac:dyDescent="0.3">
      <c r="B10" s="2" t="str">
        <v>Producto-0026</v>
      </c>
      <c r="C10" s="3">
        <v>33240411</v>
      </c>
      <c r="E10" s="2" t="str">
        <v>Oeste</v>
      </c>
      <c r="F10" s="3">
        <v>105966542</v>
      </c>
      <c r="H10" s="2" t="str">
        <v>Vendedor-004</v>
      </c>
      <c r="I10" s="3">
        <v>74251426</v>
      </c>
      <c r="K10" s="2" t="str">
        <v>Producto-0026</v>
      </c>
      <c r="L10" s="8">
        <v>31</v>
      </c>
    </row>
    <row r="11" spans="2:24" x14ac:dyDescent="0.3">
      <c r="B11" s="2" t="str">
        <v>Producto-0027</v>
      </c>
      <c r="C11" s="3">
        <v>31019339</v>
      </c>
      <c r="K11" s="2" t="str">
        <v>Producto-0027</v>
      </c>
      <c r="L11" s="8">
        <v>31</v>
      </c>
      <c r="P11" s="13" t="s">
        <v>55</v>
      </c>
      <c r="Q11" s="14"/>
      <c r="R11" s="14"/>
      <c r="S11" s="14"/>
      <c r="T11" s="14"/>
      <c r="U11" s="14"/>
      <c r="V11" s="14"/>
      <c r="W11" s="14"/>
    </row>
    <row r="12" spans="2:24" x14ac:dyDescent="0.3">
      <c r="B12" s="2" t="str">
        <v>Producto-0028</v>
      </c>
      <c r="C12" s="3">
        <v>51679320</v>
      </c>
      <c r="K12" s="2" t="str">
        <v>Producto-0028</v>
      </c>
      <c r="L12" s="8">
        <v>45</v>
      </c>
    </row>
    <row r="13" spans="2:24" x14ac:dyDescent="0.3">
      <c r="B13" s="2" t="str">
        <v>Producto-0029</v>
      </c>
      <c r="C13" s="3">
        <v>48172065</v>
      </c>
      <c r="K13" s="2" t="str">
        <v>Producto-0029</v>
      </c>
      <c r="L13" s="8">
        <v>53</v>
      </c>
      <c r="P13" s="22" t="s">
        <v>30</v>
      </c>
    </row>
    <row r="14" spans="2:24" x14ac:dyDescent="0.3">
      <c r="B14" s="2" t="str">
        <v>Producto-0030</v>
      </c>
      <c r="C14" s="3">
        <v>46158060</v>
      </c>
      <c r="K14" s="2" t="str">
        <v>Producto-0030</v>
      </c>
      <c r="L14" s="8">
        <v>53</v>
      </c>
      <c r="P14" s="8">
        <v>10</v>
      </c>
    </row>
    <row r="15" spans="2:24" x14ac:dyDescent="0.3">
      <c r="B15" s="2" t="str">
        <v>Producto-0031</v>
      </c>
      <c r="C15" s="3">
        <v>32295273</v>
      </c>
      <c r="K15" s="2" t="str">
        <v>Producto-0031</v>
      </c>
      <c r="L15" s="8">
        <v>38</v>
      </c>
    </row>
    <row r="16" spans="2:24" x14ac:dyDescent="0.3">
      <c r="B16" s="2" t="str">
        <v>Producto-0032</v>
      </c>
      <c r="C16" s="3">
        <v>26551428</v>
      </c>
      <c r="E16" s="16" t="s">
        <v>1</v>
      </c>
      <c r="F16" s="16" t="s">
        <v>51</v>
      </c>
      <c r="G16" s="19"/>
      <c r="H16" s="16" t="s">
        <v>26</v>
      </c>
      <c r="I16" s="16" t="s">
        <v>50</v>
      </c>
      <c r="K16" s="2" t="str">
        <v>Producto-0032</v>
      </c>
      <c r="L16" s="8">
        <v>38</v>
      </c>
      <c r="P16" s="23" t="s">
        <v>26</v>
      </c>
      <c r="Q16" s="23" t="s">
        <v>0</v>
      </c>
      <c r="R16" s="24" t="s">
        <v>1</v>
      </c>
      <c r="S16" s="25" t="s">
        <v>2</v>
      </c>
      <c r="T16" s="26" t="s">
        <v>5</v>
      </c>
      <c r="U16" s="24" t="s">
        <v>3</v>
      </c>
      <c r="V16" s="24" t="s">
        <v>4</v>
      </c>
      <c r="W16" s="25" t="s">
        <v>25</v>
      </c>
    </row>
    <row r="17" spans="2:23" x14ac:dyDescent="0.3">
      <c r="B17" s="2" t="str">
        <v>Producto-0033</v>
      </c>
      <c r="C17" s="3">
        <v>31105439</v>
      </c>
      <c r="E17" s="2" t="str" cm="1">
        <f t="array" ref="E17:E27">_xlfn.UNIQUE(Base1[Productos])</f>
        <v>Producto-0023</v>
      </c>
      <c r="F17" s="3" cm="1">
        <f t="array" ref="F17:F27">AVERAGEIF(Base1[Productos],_xlfn.ANCHORARRAY(E17),Base1[Total_Ventas])</f>
        <v>863981.61111111112</v>
      </c>
      <c r="H17" s="2" t="str" cm="1">
        <f t="array" ref="H17:H19">_xlfn.UNIQUE(Base1[Sede])</f>
        <v>A</v>
      </c>
      <c r="I17" s="3" cm="1">
        <f t="array" ref="I17:I19">AVERAGEIF(Base1[Sede],_xlfn.ANCHORARRAY(H17),Base1[Total_Ventas])</f>
        <v>902961.5694444445</v>
      </c>
      <c r="K17" s="2" t="str">
        <v>Producto-0033</v>
      </c>
      <c r="L17" s="8">
        <v>38</v>
      </c>
      <c r="P17" s="2" t="str">
        <f>_xlfn.XLOOKUP(P14,Origen!A:A,Origen!B:B,"No existe!",0)</f>
        <v>A</v>
      </c>
      <c r="Q17" s="12" cm="1">
        <f t="array" ref="Q17:W17">_xlfn.XLOOKUP(P14,Origen!A:A,Origen!C:I,"No existe")</f>
        <v>45954</v>
      </c>
      <c r="R17" s="2" t="str">
        <v>Producto-0032</v>
      </c>
      <c r="S17" s="3">
        <v>12361</v>
      </c>
      <c r="T17" s="2">
        <v>42</v>
      </c>
      <c r="U17" s="2" t="str">
        <v>Vendedor-002</v>
      </c>
      <c r="V17" s="2" t="str">
        <v>Sur</v>
      </c>
      <c r="W17" s="3">
        <v>519162</v>
      </c>
    </row>
    <row r="18" spans="2:23" x14ac:dyDescent="0.3">
      <c r="E18" s="2" t="str">
        <v>Producto-0024</v>
      </c>
      <c r="F18" s="3">
        <v>1009572.8611111111</v>
      </c>
      <c r="H18" s="2" t="str">
        <v>B</v>
      </c>
      <c r="I18" s="3">
        <v>963550.51048951049</v>
      </c>
    </row>
    <row r="19" spans="2:23" x14ac:dyDescent="0.3">
      <c r="B19" s="16" t="s">
        <v>26</v>
      </c>
      <c r="C19" s="16" t="s">
        <v>50</v>
      </c>
      <c r="E19" s="2" t="str">
        <v>Producto-0025</v>
      </c>
      <c r="F19" s="3">
        <v>987505.83870967745</v>
      </c>
      <c r="H19" s="2" t="str">
        <v>C</v>
      </c>
      <c r="I19" s="3">
        <v>912362.15384615387</v>
      </c>
      <c r="P19" s="15" t="s">
        <v>70</v>
      </c>
      <c r="Q19" s="15"/>
    </row>
    <row r="20" spans="2:23" x14ac:dyDescent="0.3">
      <c r="B20" s="8" t="str" cm="1">
        <f t="array" ref="B20:B22">_xlfn.UNIQUE(Base1[Sede])</f>
        <v>A</v>
      </c>
      <c r="C20" s="9" cm="1">
        <f t="array" ref="C20:C22">SUMIF(Base1[Sede],_xlfn.ANCHORARRAY(B20),Base1[Total_Ventas])</f>
        <v>130026466</v>
      </c>
      <c r="E20" s="2" t="str">
        <v>Producto-0026</v>
      </c>
      <c r="F20" s="3">
        <v>1072271.3225806451</v>
      </c>
      <c r="K20" s="16" t="s">
        <v>4</v>
      </c>
      <c r="L20" s="16" t="s">
        <v>53</v>
      </c>
      <c r="P20" s="16" t="s">
        <v>56</v>
      </c>
      <c r="Q20" s="16" t="s">
        <v>69</v>
      </c>
    </row>
    <row r="21" spans="2:23" x14ac:dyDescent="0.3">
      <c r="B21" s="8" t="str">
        <v>B</v>
      </c>
      <c r="C21" s="9">
        <v>137787723</v>
      </c>
      <c r="E21" s="2" t="str">
        <v>Producto-0027</v>
      </c>
      <c r="F21" s="3">
        <v>1000623.8387096775</v>
      </c>
      <c r="K21" s="2" t="s">
        <v>21</v>
      </c>
      <c r="L21" s="2" cm="1">
        <f t="array" ref="L21:L24">COUNTIF(Base1[Zonas],K21:K24)</f>
        <v>108</v>
      </c>
      <c r="P21" s="2" t="s">
        <v>57</v>
      </c>
      <c r="Q21" s="3" cm="1">
        <f t="array" ref="Q21:Q32">SUMIF(Base1[Mes2],P21:P32,Base1[Total_Ventas])</f>
        <v>31487570</v>
      </c>
    </row>
    <row r="22" spans="2:23" x14ac:dyDescent="0.3">
      <c r="B22" s="8" t="str">
        <v>C</v>
      </c>
      <c r="C22" s="9">
        <v>130467788</v>
      </c>
      <c r="E22" s="2" t="str">
        <v>Producto-0028</v>
      </c>
      <c r="F22" s="3">
        <v>1148429.3333333333</v>
      </c>
      <c r="K22" s="2" t="s">
        <v>22</v>
      </c>
      <c r="L22" s="2">
        <v>108</v>
      </c>
      <c r="P22" s="2" t="s">
        <v>58</v>
      </c>
      <c r="Q22" s="3">
        <v>42384233</v>
      </c>
    </row>
    <row r="23" spans="2:23" x14ac:dyDescent="0.3">
      <c r="E23" s="2" t="str">
        <v>Producto-0029</v>
      </c>
      <c r="F23" s="3">
        <v>908906.88679245277</v>
      </c>
      <c r="K23" s="2" t="s">
        <v>23</v>
      </c>
      <c r="L23" s="2">
        <v>107</v>
      </c>
      <c r="P23" s="2" t="s">
        <v>59</v>
      </c>
      <c r="Q23" s="3">
        <v>35159912</v>
      </c>
    </row>
    <row r="24" spans="2:23" x14ac:dyDescent="0.3">
      <c r="E24" s="2" t="str">
        <v>Producto-0030</v>
      </c>
      <c r="F24" s="3">
        <v>870906.79245283024</v>
      </c>
      <c r="K24" s="2" t="s">
        <v>24</v>
      </c>
      <c r="L24" s="2">
        <v>107</v>
      </c>
      <c r="P24" s="2" t="s">
        <v>60</v>
      </c>
      <c r="Q24" s="3">
        <v>30885460</v>
      </c>
    </row>
    <row r="25" spans="2:23" x14ac:dyDescent="0.3">
      <c r="E25" s="2" t="str">
        <v>Producto-0031</v>
      </c>
      <c r="F25" s="3">
        <v>849875.60526315786</v>
      </c>
      <c r="P25" s="2" t="s">
        <v>61</v>
      </c>
      <c r="Q25" s="3">
        <v>31189525</v>
      </c>
    </row>
    <row r="26" spans="2:23" x14ac:dyDescent="0.3">
      <c r="E26" s="2" t="str">
        <v>Producto-0032</v>
      </c>
      <c r="F26" s="3">
        <v>698721.78947368416</v>
      </c>
      <c r="P26" s="2" t="s">
        <v>62</v>
      </c>
      <c r="Q26" s="3">
        <v>35163904</v>
      </c>
    </row>
    <row r="27" spans="2:23" x14ac:dyDescent="0.3">
      <c r="E27" s="2" t="str">
        <v>Producto-0033</v>
      </c>
      <c r="F27" s="3">
        <v>818564.18421052629</v>
      </c>
      <c r="P27" s="2" t="s">
        <v>63</v>
      </c>
      <c r="Q27" s="3">
        <v>34389907</v>
      </c>
    </row>
    <row r="28" spans="2:23" x14ac:dyDescent="0.3">
      <c r="P28" s="2" t="s">
        <v>64</v>
      </c>
      <c r="Q28" s="3">
        <v>44838697</v>
      </c>
    </row>
    <row r="29" spans="2:23" x14ac:dyDescent="0.3">
      <c r="P29" s="2" t="s">
        <v>65</v>
      </c>
      <c r="Q29" s="3">
        <v>36515922</v>
      </c>
    </row>
    <row r="30" spans="2:23" x14ac:dyDescent="0.3">
      <c r="P30" s="2" t="s">
        <v>66</v>
      </c>
      <c r="Q30" s="3">
        <v>23476254</v>
      </c>
    </row>
    <row r="31" spans="2:23" x14ac:dyDescent="0.3">
      <c r="P31" s="2" t="s">
        <v>67</v>
      </c>
      <c r="Q31" s="3">
        <v>16772882</v>
      </c>
    </row>
    <row r="32" spans="2:23" x14ac:dyDescent="0.3">
      <c r="P32" s="2" t="s">
        <v>68</v>
      </c>
      <c r="Q32" s="3">
        <v>36017711</v>
      </c>
    </row>
  </sheetData>
  <mergeCells count="3">
    <mergeCell ref="P2:W2"/>
    <mergeCell ref="P11:W11"/>
    <mergeCell ref="P19:Q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7</vt:i4>
      </vt:variant>
    </vt:vector>
  </HeadingPairs>
  <TitlesOfParts>
    <vt:vector size="10" baseType="lpstr">
      <vt:lpstr>Origen</vt:lpstr>
      <vt:lpstr>Anexos</vt:lpstr>
      <vt:lpstr>Consolidados</vt:lpstr>
      <vt:lpstr>Cantidades1</vt:lpstr>
      <vt:lpstr>Productos1</vt:lpstr>
      <vt:lpstr>Sedes1</vt:lpstr>
      <vt:lpstr>Valores1</vt:lpstr>
      <vt:lpstr>Vendedores1</vt:lpstr>
      <vt:lpstr>Ventas1</vt:lpstr>
      <vt:lpstr>Zonas1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WALDO ARTURO JIMENEZ</dc:creator>
  <cp:lastModifiedBy>Jheison Silva</cp:lastModifiedBy>
  <dcterms:created xsi:type="dcterms:W3CDTF">2026-05-20T01:17:18Z</dcterms:created>
  <dcterms:modified xsi:type="dcterms:W3CDTF">2026-06-24T20:31:40Z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16bf0e-3932-49f1-98f1-b60824e1d0e4_Enabled">
    <vt:lpwstr>true</vt:lpwstr>
  </property>
  <property fmtid="{D5CDD505-2E9C-101B-9397-08002B2CF9AE}" pid="3" name="MSIP_Label_ca16bf0e-3932-49f1-98f1-b60824e1d0e4_SetDate">
    <vt:lpwstr>2026-05-20T02:40:35Z</vt:lpwstr>
  </property>
  <property fmtid="{D5CDD505-2E9C-101B-9397-08002B2CF9AE}" pid="4" name="MSIP_Label_ca16bf0e-3932-49f1-98f1-b60824e1d0e4_Method">
    <vt:lpwstr>Privileged</vt:lpwstr>
  </property>
  <property fmtid="{D5CDD505-2E9C-101B-9397-08002B2CF9AE}" pid="5" name="MSIP_Label_ca16bf0e-3932-49f1-98f1-b60824e1d0e4_Name">
    <vt:lpwstr>Confidencialidad_documentos</vt:lpwstr>
  </property>
  <property fmtid="{D5CDD505-2E9C-101B-9397-08002B2CF9AE}" pid="6" name="MSIP_Label_ca16bf0e-3932-49f1-98f1-b60824e1d0e4_SiteId">
    <vt:lpwstr>81f7f119-7d67-4738-b748-dc0811d44c1f</vt:lpwstr>
  </property>
  <property fmtid="{D5CDD505-2E9C-101B-9397-08002B2CF9AE}" pid="7" name="MSIP_Label_ca16bf0e-3932-49f1-98f1-b60824e1d0e4_ActionId">
    <vt:lpwstr>fb402921-0e1a-46f5-8798-0ecf0eaa5979</vt:lpwstr>
  </property>
  <property fmtid="{D5CDD505-2E9C-101B-9397-08002B2CF9AE}" pid="8" name="MSIP_Label_ca16bf0e-3932-49f1-98f1-b60824e1d0e4_ContentBits">
    <vt:lpwstr>1</vt:lpwstr>
  </property>
  <property fmtid="{D5CDD505-2E9C-101B-9397-08002B2CF9AE}" pid="9" name="MSIP_Label_ca16bf0e-3932-49f1-98f1-b60824e1d0e4_Tag">
    <vt:lpwstr>10, 0, 1, 1</vt:lpwstr>
  </property>
</Properties>
</file>