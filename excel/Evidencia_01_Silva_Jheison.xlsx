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CURSOS\CET-Colcubsidio\Fundamentos para el analisis y organización de datos\Ejercicios\"/>
    </mc:Choice>
  </mc:AlternateContent>
  <xr:revisionPtr revIDLastSave="0" documentId="13_ncr:1_{5761CDE4-7ABF-420D-8E39-5808519EBB00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Datos_Empleados" sheetId="1" r:id="rId1"/>
    <sheet name="Cálculos_Básicos" sheetId="2" r:id="rId2"/>
    <sheet name="Resumen_General" sheetId="3" r:id="rId3"/>
  </sheets>
  <definedNames>
    <definedName name="_xlnm._FilterDatabase" localSheetId="0" hidden="1">Datos_Empleados!$A$1:$H$126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7" i="2" l="1"/>
  <c r="C6" i="2"/>
  <c r="C5" i="2"/>
  <c r="C4" i="2"/>
  <c r="C3" i="2"/>
  <c r="I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D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</calcChain>
</file>

<file path=xl/sharedStrings.xml><?xml version="1.0" encoding="utf-8"?>
<sst xmlns="http://schemas.openxmlformats.org/spreadsheetml/2006/main" count="539" uniqueCount="122">
  <si>
    <t>Ana</t>
  </si>
  <si>
    <t>López</t>
  </si>
  <si>
    <t>Analista</t>
  </si>
  <si>
    <t>Juan</t>
  </si>
  <si>
    <t>Pérez</t>
  </si>
  <si>
    <t>Asistente</t>
  </si>
  <si>
    <t>Maria</t>
  </si>
  <si>
    <t>Guerrero</t>
  </si>
  <si>
    <t>Carlos</t>
  </si>
  <si>
    <t>Luisa</t>
  </si>
  <si>
    <t>Ramírez</t>
  </si>
  <si>
    <t>Auxiliar</t>
  </si>
  <si>
    <t>Activo</t>
  </si>
  <si>
    <t>Jorge</t>
  </si>
  <si>
    <t>Sánchez</t>
  </si>
  <si>
    <t>Elena</t>
  </si>
  <si>
    <t>Rojas</t>
  </si>
  <si>
    <t>David</t>
  </si>
  <si>
    <t>Mora</t>
  </si>
  <si>
    <t>Coordinador</t>
  </si>
  <si>
    <t>Andrea</t>
  </si>
  <si>
    <t>Velásquez</t>
  </si>
  <si>
    <t>Diego</t>
  </si>
  <si>
    <t>Ortiz</t>
  </si>
  <si>
    <t>Sara</t>
  </si>
  <si>
    <t>Patiño</t>
  </si>
  <si>
    <t>Luis</t>
  </si>
  <si>
    <t>Fernández</t>
  </si>
  <si>
    <t>Julia</t>
  </si>
  <si>
    <t>Campos</t>
  </si>
  <si>
    <t>Paula</t>
  </si>
  <si>
    <t>Marín</t>
  </si>
  <si>
    <t>Esteban</t>
  </si>
  <si>
    <t>Herrera</t>
  </si>
  <si>
    <t>Gloria</t>
  </si>
  <si>
    <t>Suárez</t>
  </si>
  <si>
    <t>Mateo</t>
  </si>
  <si>
    <t>Duarte</t>
  </si>
  <si>
    <t>Camila</t>
  </si>
  <si>
    <t>Méndez</t>
  </si>
  <si>
    <t>Óscar</t>
  </si>
  <si>
    <t>Soto</t>
  </si>
  <si>
    <t>Natalia</t>
  </si>
  <si>
    <t>Sergio</t>
  </si>
  <si>
    <t>Franco</t>
  </si>
  <si>
    <t>Valeria</t>
  </si>
  <si>
    <t>Gómez</t>
  </si>
  <si>
    <t>Henry</t>
  </si>
  <si>
    <t>Muñoz</t>
  </si>
  <si>
    <t>Laura</t>
  </si>
  <si>
    <t>Rincón</t>
  </si>
  <si>
    <t>Cristian</t>
  </si>
  <si>
    <t>Martínez</t>
  </si>
  <si>
    <t>Pablo</t>
  </si>
  <si>
    <t>Ruiz</t>
  </si>
  <si>
    <t>Mendoza</t>
  </si>
  <si>
    <t>Morales</t>
  </si>
  <si>
    <t>Liliana</t>
  </si>
  <si>
    <t>Susana</t>
  </si>
  <si>
    <t>Díaz</t>
  </si>
  <si>
    <t>Daniela</t>
  </si>
  <si>
    <t>Nieto</t>
  </si>
  <si>
    <t>Torres</t>
  </si>
  <si>
    <t>Quintero</t>
  </si>
  <si>
    <t>Sarai</t>
  </si>
  <si>
    <t>Inactivo</t>
  </si>
  <si>
    <t>Sol</t>
  </si>
  <si>
    <t>Lina</t>
  </si>
  <si>
    <t>García</t>
  </si>
  <si>
    <t>Dana</t>
  </si>
  <si>
    <t>Patricio</t>
  </si>
  <si>
    <t>Sonia</t>
  </si>
  <si>
    <t>Mario</t>
  </si>
  <si>
    <t>Castro</t>
  </si>
  <si>
    <t>Andrés</t>
  </si>
  <si>
    <t>Carla</t>
  </si>
  <si>
    <t>Carolina</t>
  </si>
  <si>
    <t>Sandra</t>
  </si>
  <si>
    <t>Laina</t>
  </si>
  <si>
    <t>Pedro</t>
  </si>
  <si>
    <t>Arturo</t>
  </si>
  <si>
    <t>Lena</t>
  </si>
  <si>
    <t>Felipe</t>
  </si>
  <si>
    <t>Rita</t>
  </si>
  <si>
    <t>Fernando</t>
  </si>
  <si>
    <t>Cecilia</t>
  </si>
  <si>
    <t>Vargas</t>
  </si>
  <si>
    <t>Francisco</t>
  </si>
  <si>
    <t>Linda</t>
  </si>
  <si>
    <t>Luz</t>
  </si>
  <si>
    <t>Alberto</t>
  </si>
  <si>
    <t>Santiago</t>
  </si>
  <si>
    <t>Kelly</t>
  </si>
  <si>
    <t>Fabio</t>
  </si>
  <si>
    <t>Fabian</t>
  </si>
  <si>
    <t>Ricardo</t>
  </si>
  <si>
    <t>Siena</t>
  </si>
  <si>
    <t>Antonia</t>
  </si>
  <si>
    <t>Ramiro</t>
  </si>
  <si>
    <t>Federico</t>
  </si>
  <si>
    <t>Lorena</t>
  </si>
  <si>
    <t>Salario Mensual</t>
  </si>
  <si>
    <t>Fecha Ingreso</t>
  </si>
  <si>
    <t>Cargos</t>
  </si>
  <si>
    <t>Estado</t>
  </si>
  <si>
    <t>Apellido</t>
  </si>
  <si>
    <t>Nombre</t>
  </si>
  <si>
    <t>Id</t>
  </si>
  <si>
    <t>Salas</t>
  </si>
  <si>
    <t>Nombre y Apellido</t>
  </si>
  <si>
    <t>Suedo Anual</t>
  </si>
  <si>
    <t>Total</t>
  </si>
  <si>
    <t>Promedio</t>
  </si>
  <si>
    <t>Mediana</t>
  </si>
  <si>
    <t>Máximo</t>
  </si>
  <si>
    <t>Mínimo</t>
  </si>
  <si>
    <t>Concepto</t>
  </si>
  <si>
    <t>Valor</t>
  </si>
  <si>
    <t>Resumen No 1</t>
  </si>
  <si>
    <t>Resumen No 2</t>
  </si>
  <si>
    <t>Resumen No3</t>
  </si>
  <si>
    <t>Cantidad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</si>
</sst>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$&quot;#,##0.00_);[Red]\(&quot;$&quot;#,##0.00\)"/>
    <numFmt numFmtId="44" formatCode="_(&quot;$&quot;* #,##0.00_);_(&quot;$&quot;* \(#,##0.00\);_(&quot;$&quot;* &quot;-&quot;??_);_(@_)"/>
  </numFmts>
  <fonts count="4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C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14" fontId="0" fillId="0" borderId="0" xfId="0" applyNumberFormat="1"/>
    <xf numFmtId="0" fontId="0" fillId="0" borderId="0" xfId="0" applyNumberFormat="1"/>
    <xf numFmtId="49" fontId="0" fillId="0" borderId="0" xfId="0" applyNumberFormat="1"/>
    <xf numFmtId="44" fontId="0" fillId="0" borderId="0" xfId="0" applyNumberFormat="1"/>
    <xf numFmtId="49" fontId="3" fillId="2" borderId="0" xfId="0" applyNumberFormat="1" applyFont="1" applyFill="1" applyAlignment="1">
      <alignment horizontal="center"/>
    </xf>
    <xf numFmtId="14" fontId="3" fillId="2" borderId="0" xfId="0" applyNumberFormat="1" applyFont="1" applyFill="1" applyAlignment="1">
      <alignment horizontal="center"/>
    </xf>
    <xf numFmtId="44" fontId="3" fillId="2" borderId="0" xfId="0" applyNumberFormat="1" applyFont="1" applyFill="1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1" xfId="0" applyBorder="1"/>
    <xf numFmtId="0" fontId="2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44" fontId="0" fillId="0" borderId="1" xfId="0" applyNumberFormat="1" applyBorder="1"/>
    <xf numFmtId="8" fontId="0" fillId="0" borderId="1" xfId="0" applyNumberFormat="1" applyBorder="1"/>
    <xf numFmtId="0" fontId="0" fillId="2" borderId="1" xfId="0" applyFill="1" applyBorder="1" applyAlignment="1">
      <alignment horizontal="center"/>
    </xf>
    <xf numFmtId="0" fontId="0" fillId="0" borderId="0" xfId="0" applyBorder="1"/>
    <xf numFmtId="8" fontId="0" fillId="0" borderId="0" xfId="0" applyNumberFormat="1" applyBorder="1"/>
    <xf numFmtId="0" fontId="0" fillId="0" borderId="2" xfId="0" applyBorder="1" applyAlignment="1">
      <alignment horizontal="center"/>
    </xf>
  </cellXfs>
  <cellStyles count="1">
    <cellStyle name="Normal" xfId="0" builtinId="0"/>
  </cellStyles>
  <dxfs count="10">
    <dxf>
      <numFmt numFmtId="34" formatCode="_(&quot;$&quot;* #,##0.00_);_(&quot;$&quot;* \(#,##0.00\);_(&quot;$&quot;* &quot;-&quot;??_);_(@_)"/>
    </dxf>
    <dxf>
      <font>
        <strike val="0"/>
        <outline val="0"/>
        <shadow val="0"/>
        <u val="none"/>
        <vertAlign val="baseline"/>
        <sz val="11"/>
        <color rgb="FFC00000"/>
        <name val="Calibri"/>
        <family val="2"/>
        <scheme val="minor"/>
      </font>
      <numFmt numFmtId="30" formatCode="@"/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</dxf>
    <dxf>
      <numFmt numFmtId="0" formatCode="General"/>
    </dxf>
    <dxf>
      <numFmt numFmtId="30" formatCode="@"/>
    </dxf>
    <dxf>
      <numFmt numFmtId="34" formatCode="_(&quot;$&quot;* #,##0.00_);_(&quot;$&quot;* \(#,##0.00\);_(&quot;$&quot;* &quot;-&quot;??_);_(@_)"/>
    </dxf>
    <dxf>
      <numFmt numFmtId="19" formatCode="m/d/yyyy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E1B1173-DD44-4650-85A9-CBDE66D4861C}" name="Tabla1" displayName="Tabla1" ref="A1:I126" totalsRowShown="0" headerRowDxfId="1">
  <autoFilter ref="A1:I126" xr:uid="{00000000-0001-0000-0000-000000000000}">
    <filterColumn colId="4">
      <filters>
        <filter val="Analista"/>
      </filters>
    </filterColumn>
    <filterColumn colId="7">
      <filters>
        <filter val="Inactivo"/>
      </filters>
    </filterColumn>
  </autoFilter>
  <tableColumns count="9">
    <tableColumn id="1" xr3:uid="{F487B506-B7AC-4C2F-87A3-90AE018B02F2}" name="Id" dataDxfId="9"/>
    <tableColumn id="2" xr3:uid="{659F6766-D572-48CF-B83A-DE280BE1BD60}" name="Nombre" dataDxfId="8"/>
    <tableColumn id="3" xr3:uid="{DC76CE57-52EA-4A6F-AC09-DEFF6F1E41C6}" name="Apellido" dataDxfId="7"/>
    <tableColumn id="8" xr3:uid="{788C189F-132A-4E47-A827-03E9116EA827}" name="Nombre y Apellido" dataDxfId="2">
      <calculatedColumnFormula>Tabla1[[#This Row],[Nombre]]&amp;" "&amp;Tabla1[[#This Row],[Apellido]]</calculatedColumnFormula>
    </tableColumn>
    <tableColumn id="4" xr3:uid="{E1FE2776-428D-4AFB-8DE0-70958390B72A}" name="Cargos" dataDxfId="6"/>
    <tableColumn id="5" xr3:uid="{6C88EDE5-AA04-4B5E-8560-CA230B355827}" name="Fecha Ingreso" dataDxfId="5"/>
    <tableColumn id="6" xr3:uid="{8E1F20D7-266A-4EDF-8432-85DC6822C292}" name="Salario Mensual" dataDxfId="4"/>
    <tableColumn id="7" xr3:uid="{3863841A-AAEC-41C9-A3F0-A542965AEB17}" name="Estado" dataDxfId="3"/>
    <tableColumn id="9" xr3:uid="{7FAD9095-7CD6-4ED6-AE4A-4B28C28CB147}" name="Suedo Anual" dataDxfId="0">
      <calculatedColumnFormula>Tabla1[[#This Row],[Salario Mensual]]*12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26"/>
  <sheetViews>
    <sheetView workbookViewId="0">
      <selection activeCell="E7" sqref="E7:E121"/>
    </sheetView>
  </sheetViews>
  <sheetFormatPr baseColWidth="10" defaultColWidth="9.109375" defaultRowHeight="14.4" x14ac:dyDescent="0.3"/>
  <cols>
    <col min="1" max="1" width="9.109375" style="3"/>
    <col min="2" max="2" width="9.77734375" style="3" customWidth="1"/>
    <col min="3" max="3" width="11.109375" style="3" customWidth="1"/>
    <col min="4" max="4" width="18.33203125" style="3" customWidth="1"/>
    <col min="5" max="5" width="15.88671875" style="3" customWidth="1"/>
    <col min="6" max="6" width="15.44140625" style="1" customWidth="1"/>
    <col min="7" max="7" width="17.5546875" style="4" customWidth="1"/>
    <col min="8" max="8" width="15.88671875" style="3" customWidth="1"/>
    <col min="9" max="9" width="14.33203125" customWidth="1"/>
  </cols>
  <sheetData>
    <row r="1" spans="1:9" x14ac:dyDescent="0.3">
      <c r="A1" s="5" t="s">
        <v>107</v>
      </c>
      <c r="B1" s="5" t="s">
        <v>106</v>
      </c>
      <c r="C1" s="5" t="s">
        <v>105</v>
      </c>
      <c r="D1" s="5" t="s">
        <v>109</v>
      </c>
      <c r="E1" s="5" t="s">
        <v>103</v>
      </c>
      <c r="F1" s="6" t="s">
        <v>102</v>
      </c>
      <c r="G1" s="7" t="s">
        <v>101</v>
      </c>
      <c r="H1" s="5" t="s">
        <v>104</v>
      </c>
      <c r="I1" s="5" t="s">
        <v>110</v>
      </c>
    </row>
    <row r="2" spans="1:9" hidden="1" x14ac:dyDescent="0.3">
      <c r="A2" s="3">
        <v>1</v>
      </c>
      <c r="B2" s="3" t="s">
        <v>0</v>
      </c>
      <c r="C2" s="3" t="s">
        <v>1</v>
      </c>
      <c r="D2" s="2" t="str">
        <f>Tabla1[[#This Row],[Nombre]]&amp;" "&amp;Tabla1[[#This Row],[Apellido]]</f>
        <v>Ana López</v>
      </c>
      <c r="E2" s="3" t="s">
        <v>2</v>
      </c>
      <c r="F2" s="1">
        <v>44270</v>
      </c>
      <c r="G2" s="4">
        <v>2500000</v>
      </c>
      <c r="H2" s="3" t="s">
        <v>12</v>
      </c>
      <c r="I2" s="4">
        <f>Tabla1[[#This Row],[Salario Mensual]]*12</f>
        <v>30000000</v>
      </c>
    </row>
    <row r="3" spans="1:9" hidden="1" x14ac:dyDescent="0.3">
      <c r="A3" s="3">
        <v>2</v>
      </c>
      <c r="B3" s="3" t="s">
        <v>3</v>
      </c>
      <c r="C3" s="3" t="s">
        <v>4</v>
      </c>
      <c r="D3" s="2" t="str">
        <f>Tabla1[[#This Row],[Nombre]]&amp;" "&amp;Tabla1[[#This Row],[Apellido]]</f>
        <v>Juan Pérez</v>
      </c>
      <c r="E3" s="3" t="s">
        <v>5</v>
      </c>
      <c r="F3" s="1">
        <v>43936</v>
      </c>
      <c r="G3" s="4">
        <v>1800000</v>
      </c>
      <c r="H3" s="3" t="s">
        <v>65</v>
      </c>
      <c r="I3" s="4">
        <f>Tabla1[[#This Row],[Salario Mensual]]*12</f>
        <v>21600000</v>
      </c>
    </row>
    <row r="4" spans="1:9" hidden="1" x14ac:dyDescent="0.3">
      <c r="A4" s="3">
        <v>3</v>
      </c>
      <c r="B4" s="3" t="s">
        <v>6</v>
      </c>
      <c r="C4" s="3" t="s">
        <v>7</v>
      </c>
      <c r="D4" s="2" t="str">
        <f>Tabla1[[#This Row],[Nombre]]&amp;" "&amp;Tabla1[[#This Row],[Apellido]]</f>
        <v>Maria Guerrero</v>
      </c>
      <c r="E4" s="3" t="s">
        <v>19</v>
      </c>
      <c r="F4" s="1">
        <v>44105</v>
      </c>
      <c r="G4" s="4">
        <v>2200000</v>
      </c>
      <c r="H4" s="3" t="s">
        <v>12</v>
      </c>
      <c r="I4" s="4">
        <f>Tabla1[[#This Row],[Salario Mensual]]*12</f>
        <v>26400000</v>
      </c>
    </row>
    <row r="5" spans="1:9" hidden="1" x14ac:dyDescent="0.3">
      <c r="A5" s="3">
        <v>4</v>
      </c>
      <c r="B5" s="3" t="s">
        <v>8</v>
      </c>
      <c r="C5" s="3" t="s">
        <v>46</v>
      </c>
      <c r="D5" s="2" t="str">
        <f>Tabla1[[#This Row],[Nombre]]&amp;" "&amp;Tabla1[[#This Row],[Apellido]]</f>
        <v>Carlos Gómez</v>
      </c>
      <c r="E5" s="3" t="s">
        <v>2</v>
      </c>
      <c r="F5" s="1">
        <v>44319</v>
      </c>
      <c r="G5" s="4">
        <v>2100000</v>
      </c>
      <c r="H5" s="3" t="s">
        <v>12</v>
      </c>
      <c r="I5" s="4">
        <f>Tabla1[[#This Row],[Salario Mensual]]*12</f>
        <v>25200000</v>
      </c>
    </row>
    <row r="6" spans="1:9" hidden="1" x14ac:dyDescent="0.3">
      <c r="A6" s="3">
        <v>5</v>
      </c>
      <c r="B6" s="3" t="s">
        <v>9</v>
      </c>
      <c r="C6" s="3" t="s">
        <v>10</v>
      </c>
      <c r="D6" s="2" t="str">
        <f>Tabla1[[#This Row],[Nombre]]&amp;" "&amp;Tabla1[[#This Row],[Apellido]]</f>
        <v>Luisa Ramírez</v>
      </c>
      <c r="E6" s="3" t="s">
        <v>11</v>
      </c>
      <c r="F6" s="1">
        <v>44203</v>
      </c>
      <c r="G6" s="4">
        <v>1800000</v>
      </c>
      <c r="H6" s="3" t="s">
        <v>12</v>
      </c>
      <c r="I6" s="4">
        <f>Tabla1[[#This Row],[Salario Mensual]]*12</f>
        <v>21600000</v>
      </c>
    </row>
    <row r="7" spans="1:9" x14ac:dyDescent="0.3">
      <c r="A7" s="3">
        <v>6</v>
      </c>
      <c r="B7" s="3" t="s">
        <v>13</v>
      </c>
      <c r="C7" s="3" t="s">
        <v>14</v>
      </c>
      <c r="D7" s="2" t="str">
        <f>Tabla1[[#This Row],[Nombre]]&amp;" "&amp;Tabla1[[#This Row],[Apellido]]</f>
        <v>Jorge Sánchez</v>
      </c>
      <c r="E7" s="3" t="s">
        <v>2</v>
      </c>
      <c r="F7" s="1">
        <v>43895</v>
      </c>
      <c r="G7" s="4">
        <v>2000000</v>
      </c>
      <c r="H7" s="3" t="s">
        <v>65</v>
      </c>
      <c r="I7" s="4">
        <f>Tabla1[[#This Row],[Salario Mensual]]*12</f>
        <v>24000000</v>
      </c>
    </row>
    <row r="8" spans="1:9" hidden="1" x14ac:dyDescent="0.3">
      <c r="A8" s="3">
        <v>7</v>
      </c>
      <c r="B8" s="3" t="s">
        <v>15</v>
      </c>
      <c r="C8" s="3" t="s">
        <v>16</v>
      </c>
      <c r="D8" s="2" t="str">
        <f>Tabla1[[#This Row],[Nombre]]&amp;" "&amp;Tabla1[[#This Row],[Apellido]]</f>
        <v>Elena Rojas</v>
      </c>
      <c r="E8" s="3" t="s">
        <v>5</v>
      </c>
      <c r="F8" s="1">
        <v>44620</v>
      </c>
      <c r="G8" s="4">
        <v>1950000</v>
      </c>
      <c r="H8" s="3" t="s">
        <v>12</v>
      </c>
      <c r="I8" s="4">
        <f>Tabla1[[#This Row],[Salario Mensual]]*12</f>
        <v>23400000</v>
      </c>
    </row>
    <row r="9" spans="1:9" hidden="1" x14ac:dyDescent="0.3">
      <c r="A9" s="3">
        <v>8</v>
      </c>
      <c r="B9" s="3" t="s">
        <v>17</v>
      </c>
      <c r="C9" s="3" t="s">
        <v>18</v>
      </c>
      <c r="D9" s="2" t="str">
        <f>Tabla1[[#This Row],[Nombre]]&amp;" "&amp;Tabla1[[#This Row],[Apellido]]</f>
        <v>David Mora</v>
      </c>
      <c r="E9" s="3" t="s">
        <v>19</v>
      </c>
      <c r="F9" s="1">
        <v>44140</v>
      </c>
      <c r="G9" s="4">
        <v>2100000</v>
      </c>
      <c r="H9" s="3" t="s">
        <v>65</v>
      </c>
      <c r="I9" s="4">
        <f>Tabla1[[#This Row],[Salario Mensual]]*12</f>
        <v>25200000</v>
      </c>
    </row>
    <row r="10" spans="1:9" hidden="1" x14ac:dyDescent="0.3">
      <c r="A10" s="3">
        <v>9</v>
      </c>
      <c r="B10" s="3" t="s">
        <v>20</v>
      </c>
      <c r="C10" s="3" t="s">
        <v>21</v>
      </c>
      <c r="D10" s="2" t="str">
        <f>Tabla1[[#This Row],[Nombre]]&amp;" "&amp;Tabla1[[#This Row],[Apellido]]</f>
        <v>Andrea Velásquez</v>
      </c>
      <c r="E10" s="3" t="s">
        <v>2</v>
      </c>
      <c r="F10" s="1">
        <v>44017</v>
      </c>
      <c r="G10" s="4">
        <v>2350000</v>
      </c>
      <c r="H10" s="3" t="s">
        <v>12</v>
      </c>
      <c r="I10" s="4">
        <f>Tabla1[[#This Row],[Salario Mensual]]*12</f>
        <v>28200000</v>
      </c>
    </row>
    <row r="11" spans="1:9" hidden="1" x14ac:dyDescent="0.3">
      <c r="A11" s="3">
        <v>10</v>
      </c>
      <c r="B11" s="3" t="s">
        <v>22</v>
      </c>
      <c r="C11" s="3" t="s">
        <v>23</v>
      </c>
      <c r="D11" s="2" t="str">
        <f>Tabla1[[#This Row],[Nombre]]&amp;" "&amp;Tabla1[[#This Row],[Apellido]]</f>
        <v>Diego Ortiz</v>
      </c>
      <c r="E11" s="3" t="s">
        <v>11</v>
      </c>
      <c r="F11" s="1">
        <v>44449</v>
      </c>
      <c r="G11" s="4">
        <v>1750000</v>
      </c>
      <c r="H11" s="3" t="s">
        <v>65</v>
      </c>
      <c r="I11" s="4">
        <f>Tabla1[[#This Row],[Salario Mensual]]*12</f>
        <v>21000000</v>
      </c>
    </row>
    <row r="12" spans="1:9" hidden="1" x14ac:dyDescent="0.3">
      <c r="A12" s="3">
        <v>11</v>
      </c>
      <c r="B12" s="3" t="s">
        <v>24</v>
      </c>
      <c r="C12" s="3" t="s">
        <v>25</v>
      </c>
      <c r="D12" s="2" t="str">
        <f>Tabla1[[#This Row],[Nombre]]&amp;" "&amp;Tabla1[[#This Row],[Apellido]]</f>
        <v>Sara Patiño</v>
      </c>
      <c r="E12" s="3" t="s">
        <v>5</v>
      </c>
      <c r="F12" s="1">
        <v>43951</v>
      </c>
      <c r="G12" s="4">
        <v>1900000</v>
      </c>
      <c r="H12" s="3" t="s">
        <v>12</v>
      </c>
      <c r="I12" s="4">
        <f>Tabla1[[#This Row],[Salario Mensual]]*12</f>
        <v>22800000</v>
      </c>
    </row>
    <row r="13" spans="1:9" x14ac:dyDescent="0.3">
      <c r="A13" s="3">
        <v>12</v>
      </c>
      <c r="B13" s="3" t="s">
        <v>26</v>
      </c>
      <c r="C13" s="3" t="s">
        <v>27</v>
      </c>
      <c r="D13" s="2" t="str">
        <f>Tabla1[[#This Row],[Nombre]]&amp;" "&amp;Tabla1[[#This Row],[Apellido]]</f>
        <v>Luis Fernández</v>
      </c>
      <c r="E13" s="3" t="s">
        <v>2</v>
      </c>
      <c r="F13" s="1">
        <v>44392</v>
      </c>
      <c r="G13" s="4">
        <v>2300000</v>
      </c>
      <c r="H13" s="3" t="s">
        <v>65</v>
      </c>
      <c r="I13" s="4">
        <f>Tabla1[[#This Row],[Salario Mensual]]*12</f>
        <v>27600000</v>
      </c>
    </row>
    <row r="14" spans="1:9" hidden="1" x14ac:dyDescent="0.3">
      <c r="A14" s="3">
        <v>13</v>
      </c>
      <c r="B14" s="3" t="s">
        <v>28</v>
      </c>
      <c r="C14" s="3" t="s">
        <v>29</v>
      </c>
      <c r="D14" s="2" t="str">
        <f>Tabla1[[#This Row],[Nombre]]&amp;" "&amp;Tabla1[[#This Row],[Apellido]]</f>
        <v>Julia Campos</v>
      </c>
      <c r="E14" s="3" t="s">
        <v>19</v>
      </c>
      <c r="F14" s="1">
        <v>44429</v>
      </c>
      <c r="G14" s="4">
        <v>2200000</v>
      </c>
      <c r="H14" s="3" t="s">
        <v>65</v>
      </c>
      <c r="I14" s="4">
        <f>Tabla1[[#This Row],[Salario Mensual]]*12</f>
        <v>26400000</v>
      </c>
    </row>
    <row r="15" spans="1:9" hidden="1" x14ac:dyDescent="0.3">
      <c r="A15" s="3">
        <v>14</v>
      </c>
      <c r="B15" s="3" t="s">
        <v>30</v>
      </c>
      <c r="C15" s="3" t="s">
        <v>31</v>
      </c>
      <c r="D15" s="2" t="str">
        <f>Tabla1[[#This Row],[Nombre]]&amp;" "&amp;Tabla1[[#This Row],[Apellido]]</f>
        <v>Paula Marín</v>
      </c>
      <c r="E15" s="3" t="s">
        <v>11</v>
      </c>
      <c r="F15" s="1">
        <v>44623</v>
      </c>
      <c r="G15" s="4">
        <v>1700000</v>
      </c>
      <c r="H15" s="3" t="s">
        <v>12</v>
      </c>
      <c r="I15" s="4">
        <f>Tabla1[[#This Row],[Salario Mensual]]*12</f>
        <v>20400000</v>
      </c>
    </row>
    <row r="16" spans="1:9" hidden="1" x14ac:dyDescent="0.3">
      <c r="A16" s="3">
        <v>15</v>
      </c>
      <c r="B16" s="3" t="s">
        <v>32</v>
      </c>
      <c r="C16" s="3" t="s">
        <v>33</v>
      </c>
      <c r="D16" s="2" t="str">
        <f>Tabla1[[#This Row],[Nombre]]&amp;" "&amp;Tabla1[[#This Row],[Apellido]]</f>
        <v>Esteban Herrera</v>
      </c>
      <c r="E16" s="3" t="s">
        <v>2</v>
      </c>
      <c r="F16" s="1">
        <v>44296</v>
      </c>
      <c r="G16" s="4">
        <v>2000000</v>
      </c>
      <c r="H16" s="3" t="s">
        <v>12</v>
      </c>
      <c r="I16" s="4">
        <f>Tabla1[[#This Row],[Salario Mensual]]*12</f>
        <v>24000000</v>
      </c>
    </row>
    <row r="17" spans="1:9" hidden="1" x14ac:dyDescent="0.3">
      <c r="A17" s="3">
        <v>16</v>
      </c>
      <c r="B17" s="3" t="s">
        <v>34</v>
      </c>
      <c r="C17" s="3" t="s">
        <v>35</v>
      </c>
      <c r="D17" s="2" t="str">
        <f>Tabla1[[#This Row],[Nombre]]&amp;" "&amp;Tabla1[[#This Row],[Apellido]]</f>
        <v>Gloria Suárez</v>
      </c>
      <c r="E17" s="3" t="s">
        <v>5</v>
      </c>
      <c r="F17" s="1">
        <v>43989</v>
      </c>
      <c r="G17" s="4">
        <v>1950000</v>
      </c>
      <c r="H17" s="3" t="s">
        <v>65</v>
      </c>
      <c r="I17" s="4">
        <f>Tabla1[[#This Row],[Salario Mensual]]*12</f>
        <v>23400000</v>
      </c>
    </row>
    <row r="18" spans="1:9" hidden="1" x14ac:dyDescent="0.3">
      <c r="A18" s="3">
        <v>17</v>
      </c>
      <c r="B18" s="3" t="s">
        <v>36</v>
      </c>
      <c r="C18" s="3" t="s">
        <v>37</v>
      </c>
      <c r="D18" s="2" t="str">
        <f>Tabla1[[#This Row],[Nombre]]&amp;" "&amp;Tabla1[[#This Row],[Apellido]]</f>
        <v>Mateo Duarte</v>
      </c>
      <c r="E18" s="3" t="s">
        <v>19</v>
      </c>
      <c r="F18" s="1">
        <v>43806</v>
      </c>
      <c r="G18" s="4">
        <v>2500000</v>
      </c>
      <c r="H18" s="3" t="s">
        <v>12</v>
      </c>
      <c r="I18" s="4">
        <f>Tabla1[[#This Row],[Salario Mensual]]*12</f>
        <v>30000000</v>
      </c>
    </row>
    <row r="19" spans="1:9" hidden="1" x14ac:dyDescent="0.3">
      <c r="A19" s="3">
        <v>18</v>
      </c>
      <c r="B19" s="3" t="s">
        <v>38</v>
      </c>
      <c r="C19" s="3" t="s">
        <v>39</v>
      </c>
      <c r="D19" s="2" t="str">
        <f>Tabla1[[#This Row],[Nombre]]&amp;" "&amp;Tabla1[[#This Row],[Apellido]]</f>
        <v>Camila Méndez</v>
      </c>
      <c r="E19" s="3" t="s">
        <v>11</v>
      </c>
      <c r="F19" s="1">
        <v>44260</v>
      </c>
      <c r="G19" s="4">
        <v>1800000</v>
      </c>
      <c r="H19" s="3" t="s">
        <v>12</v>
      </c>
      <c r="I19" s="4">
        <f>Tabla1[[#This Row],[Salario Mensual]]*12</f>
        <v>21600000</v>
      </c>
    </row>
    <row r="20" spans="1:9" x14ac:dyDescent="0.3">
      <c r="A20" s="3">
        <v>19</v>
      </c>
      <c r="B20" s="3" t="s">
        <v>40</v>
      </c>
      <c r="C20" s="3" t="s">
        <v>41</v>
      </c>
      <c r="D20" s="2" t="str">
        <f>Tabla1[[#This Row],[Nombre]]&amp;" "&amp;Tabla1[[#This Row],[Apellido]]</f>
        <v>Óscar Soto</v>
      </c>
      <c r="E20" s="3" t="s">
        <v>2</v>
      </c>
      <c r="F20" s="1">
        <v>44652</v>
      </c>
      <c r="G20" s="4">
        <v>2200000</v>
      </c>
      <c r="H20" s="3" t="s">
        <v>65</v>
      </c>
      <c r="I20" s="4">
        <f>Tabla1[[#This Row],[Salario Mensual]]*12</f>
        <v>26400000</v>
      </c>
    </row>
    <row r="21" spans="1:9" hidden="1" x14ac:dyDescent="0.3">
      <c r="A21" s="3">
        <v>20</v>
      </c>
      <c r="B21" s="3" t="s">
        <v>42</v>
      </c>
      <c r="C21" s="3" t="s">
        <v>86</v>
      </c>
      <c r="D21" s="2" t="str">
        <f>Tabla1[[#This Row],[Nombre]]&amp;" "&amp;Tabla1[[#This Row],[Apellido]]</f>
        <v>Natalia Vargas</v>
      </c>
      <c r="E21" s="3" t="s">
        <v>5</v>
      </c>
      <c r="F21" s="1">
        <v>44333</v>
      </c>
      <c r="G21" s="4">
        <v>1850000</v>
      </c>
      <c r="H21" s="3" t="s">
        <v>12</v>
      </c>
      <c r="I21" s="4">
        <f>Tabla1[[#This Row],[Salario Mensual]]*12</f>
        <v>22200000</v>
      </c>
    </row>
    <row r="22" spans="1:9" hidden="1" x14ac:dyDescent="0.3">
      <c r="A22" s="3">
        <v>21</v>
      </c>
      <c r="B22" s="3" t="s">
        <v>43</v>
      </c>
      <c r="C22" s="3" t="s">
        <v>44</v>
      </c>
      <c r="D22" s="2" t="str">
        <f>Tabla1[[#This Row],[Nombre]]&amp;" "&amp;Tabla1[[#This Row],[Apellido]]</f>
        <v>Sergio Franco</v>
      </c>
      <c r="E22" s="3" t="s">
        <v>19</v>
      </c>
      <c r="F22" s="1">
        <v>43733</v>
      </c>
      <c r="G22" s="4">
        <v>2400000</v>
      </c>
      <c r="H22" s="3" t="s">
        <v>65</v>
      </c>
      <c r="I22" s="4">
        <f>Tabla1[[#This Row],[Salario Mensual]]*12</f>
        <v>28800000</v>
      </c>
    </row>
    <row r="23" spans="1:9" hidden="1" x14ac:dyDescent="0.3">
      <c r="A23" s="3">
        <v>22</v>
      </c>
      <c r="B23" s="3" t="s">
        <v>45</v>
      </c>
      <c r="C23" s="3" t="s">
        <v>46</v>
      </c>
      <c r="D23" s="2" t="str">
        <f>Tabla1[[#This Row],[Nombre]]&amp;" "&amp;Tabla1[[#This Row],[Apellido]]</f>
        <v>Valeria Gómez</v>
      </c>
      <c r="E23" s="3" t="s">
        <v>11</v>
      </c>
      <c r="F23" s="1">
        <v>44326</v>
      </c>
      <c r="G23" s="4">
        <v>1700000</v>
      </c>
      <c r="H23" s="3" t="s">
        <v>65</v>
      </c>
      <c r="I23" s="4">
        <f>Tabla1[[#This Row],[Salario Mensual]]*12</f>
        <v>20400000</v>
      </c>
    </row>
    <row r="24" spans="1:9" hidden="1" x14ac:dyDescent="0.3">
      <c r="A24" s="3">
        <v>23</v>
      </c>
      <c r="B24" s="3" t="s">
        <v>47</v>
      </c>
      <c r="C24" s="3" t="s">
        <v>48</v>
      </c>
      <c r="D24" s="2" t="str">
        <f>Tabla1[[#This Row],[Nombre]]&amp;" "&amp;Tabla1[[#This Row],[Apellido]]</f>
        <v>Henry Muñoz</v>
      </c>
      <c r="E24" s="3" t="s">
        <v>2</v>
      </c>
      <c r="F24" s="1">
        <v>43890</v>
      </c>
      <c r="G24" s="4">
        <v>2050000</v>
      </c>
      <c r="H24" s="3" t="s">
        <v>12</v>
      </c>
      <c r="I24" s="4">
        <f>Tabla1[[#This Row],[Salario Mensual]]*12</f>
        <v>24600000</v>
      </c>
    </row>
    <row r="25" spans="1:9" hidden="1" x14ac:dyDescent="0.3">
      <c r="A25" s="3">
        <v>24</v>
      </c>
      <c r="B25" s="3" t="s">
        <v>49</v>
      </c>
      <c r="C25" s="3" t="s">
        <v>50</v>
      </c>
      <c r="D25" s="2" t="str">
        <f>Tabla1[[#This Row],[Nombre]]&amp;" "&amp;Tabla1[[#This Row],[Apellido]]</f>
        <v>Laura Rincón</v>
      </c>
      <c r="E25" s="3" t="s">
        <v>5</v>
      </c>
      <c r="F25" s="1">
        <v>44408</v>
      </c>
      <c r="G25" s="4">
        <v>1600000</v>
      </c>
      <c r="H25" s="3" t="s">
        <v>65</v>
      </c>
      <c r="I25" s="4">
        <f>Tabla1[[#This Row],[Salario Mensual]]*12</f>
        <v>19200000</v>
      </c>
    </row>
    <row r="26" spans="1:9" hidden="1" x14ac:dyDescent="0.3">
      <c r="A26" s="3">
        <v>25</v>
      </c>
      <c r="B26" s="3" t="s">
        <v>51</v>
      </c>
      <c r="C26" s="3" t="s">
        <v>108</v>
      </c>
      <c r="D26" s="2" t="str">
        <f>Tabla1[[#This Row],[Nombre]]&amp;" "&amp;Tabla1[[#This Row],[Apellido]]</f>
        <v>Cristian Salas</v>
      </c>
      <c r="E26" s="3" t="s">
        <v>19</v>
      </c>
      <c r="F26" s="1">
        <v>44510</v>
      </c>
      <c r="G26" s="4">
        <v>2600000</v>
      </c>
      <c r="H26" s="3" t="s">
        <v>12</v>
      </c>
      <c r="I26" s="4">
        <f>Tabla1[[#This Row],[Salario Mensual]]*12</f>
        <v>31200000</v>
      </c>
    </row>
    <row r="27" spans="1:9" hidden="1" x14ac:dyDescent="0.3">
      <c r="A27" s="3">
        <v>34</v>
      </c>
      <c r="B27" s="3" t="s">
        <v>24</v>
      </c>
      <c r="C27" s="3" t="s">
        <v>52</v>
      </c>
      <c r="D27" s="2" t="str">
        <f>Tabla1[[#This Row],[Nombre]]&amp;" "&amp;Tabla1[[#This Row],[Apellido]]</f>
        <v>Sara Martínez</v>
      </c>
      <c r="E27" s="3" t="s">
        <v>5</v>
      </c>
      <c r="F27" s="1">
        <v>45476</v>
      </c>
      <c r="G27" s="4">
        <v>1533086</v>
      </c>
      <c r="H27" s="3" t="s">
        <v>12</v>
      </c>
      <c r="I27" s="4">
        <f>Tabla1[[#This Row],[Salario Mensual]]*12</f>
        <v>18397032</v>
      </c>
    </row>
    <row r="28" spans="1:9" hidden="1" x14ac:dyDescent="0.3">
      <c r="A28" s="3">
        <v>35</v>
      </c>
      <c r="B28" s="3" t="s">
        <v>53</v>
      </c>
      <c r="C28" s="3" t="s">
        <v>54</v>
      </c>
      <c r="D28" s="2" t="str">
        <f>Tabla1[[#This Row],[Nombre]]&amp;" "&amp;Tabla1[[#This Row],[Apellido]]</f>
        <v>Pablo Ruiz</v>
      </c>
      <c r="E28" s="3" t="s">
        <v>5</v>
      </c>
      <c r="F28" s="1">
        <v>43692</v>
      </c>
      <c r="G28" s="4">
        <v>1766509</v>
      </c>
      <c r="H28" s="3" t="s">
        <v>12</v>
      </c>
      <c r="I28" s="4">
        <f>Tabla1[[#This Row],[Salario Mensual]]*12</f>
        <v>21198108</v>
      </c>
    </row>
    <row r="29" spans="1:9" hidden="1" x14ac:dyDescent="0.3">
      <c r="A29" s="3">
        <v>36</v>
      </c>
      <c r="B29" s="3" t="s">
        <v>53</v>
      </c>
      <c r="C29" s="3" t="s">
        <v>55</v>
      </c>
      <c r="D29" s="2" t="str">
        <f>Tabla1[[#This Row],[Nombre]]&amp;" "&amp;Tabla1[[#This Row],[Apellido]]</f>
        <v>Pablo Mendoza</v>
      </c>
      <c r="E29" s="3" t="s">
        <v>19</v>
      </c>
      <c r="F29" s="1">
        <v>44869</v>
      </c>
      <c r="G29" s="4">
        <v>21000000</v>
      </c>
      <c r="H29" s="3" t="s">
        <v>65</v>
      </c>
      <c r="I29" s="4">
        <f>Tabla1[[#This Row],[Salario Mensual]]*12</f>
        <v>252000000</v>
      </c>
    </row>
    <row r="30" spans="1:9" hidden="1" x14ac:dyDescent="0.3">
      <c r="A30" s="3">
        <v>37</v>
      </c>
      <c r="B30" s="3" t="s">
        <v>24</v>
      </c>
      <c r="C30" s="3" t="s">
        <v>56</v>
      </c>
      <c r="D30" s="2" t="str">
        <f>Tabla1[[#This Row],[Nombre]]&amp;" "&amp;Tabla1[[#This Row],[Apellido]]</f>
        <v>Sara Morales</v>
      </c>
      <c r="E30" s="3" t="s">
        <v>19</v>
      </c>
      <c r="F30" s="1">
        <v>45349</v>
      </c>
      <c r="G30" s="4">
        <v>2945989</v>
      </c>
      <c r="H30" s="3" t="s">
        <v>12</v>
      </c>
      <c r="I30" s="4">
        <f>Tabla1[[#This Row],[Salario Mensual]]*12</f>
        <v>35351868</v>
      </c>
    </row>
    <row r="31" spans="1:9" hidden="1" x14ac:dyDescent="0.3">
      <c r="A31" s="3">
        <v>38</v>
      </c>
      <c r="B31" s="3" t="s">
        <v>57</v>
      </c>
      <c r="C31" s="3" t="s">
        <v>46</v>
      </c>
      <c r="D31" s="2" t="str">
        <f>Tabla1[[#This Row],[Nombre]]&amp;" "&amp;Tabla1[[#This Row],[Apellido]]</f>
        <v>Liliana Gómez</v>
      </c>
      <c r="E31" s="3" t="s">
        <v>5</v>
      </c>
      <c r="F31" s="1">
        <v>44191</v>
      </c>
      <c r="G31" s="4">
        <v>1989473</v>
      </c>
      <c r="H31" s="3" t="s">
        <v>12</v>
      </c>
      <c r="I31" s="4">
        <f>Tabla1[[#This Row],[Salario Mensual]]*12</f>
        <v>23873676</v>
      </c>
    </row>
    <row r="32" spans="1:9" hidden="1" x14ac:dyDescent="0.3">
      <c r="A32" s="3">
        <v>39</v>
      </c>
      <c r="B32" s="3" t="s">
        <v>58</v>
      </c>
      <c r="C32" s="3" t="s">
        <v>46</v>
      </c>
      <c r="D32" s="2" t="str">
        <f>Tabla1[[#This Row],[Nombre]]&amp;" "&amp;Tabla1[[#This Row],[Apellido]]</f>
        <v>Susana Gómez</v>
      </c>
      <c r="E32" s="3" t="s">
        <v>19</v>
      </c>
      <c r="F32" s="1">
        <v>44184</v>
      </c>
      <c r="G32" s="4">
        <v>2104349</v>
      </c>
      <c r="H32" s="3" t="s">
        <v>12</v>
      </c>
      <c r="I32" s="4">
        <f>Tabla1[[#This Row],[Salario Mensual]]*12</f>
        <v>25252188</v>
      </c>
    </row>
    <row r="33" spans="1:9" hidden="1" x14ac:dyDescent="0.3">
      <c r="A33" s="3">
        <v>40</v>
      </c>
      <c r="B33" s="3" t="s">
        <v>58</v>
      </c>
      <c r="C33" s="3" t="s">
        <v>59</v>
      </c>
      <c r="D33" s="2" t="str">
        <f>Tabla1[[#This Row],[Nombre]]&amp;" "&amp;Tabla1[[#This Row],[Apellido]]</f>
        <v>Susana Díaz</v>
      </c>
      <c r="E33" s="3" t="s">
        <v>19</v>
      </c>
      <c r="F33" s="1">
        <v>44944</v>
      </c>
      <c r="G33" s="4">
        <v>2134652</v>
      </c>
      <c r="H33" s="3" t="s">
        <v>12</v>
      </c>
      <c r="I33" s="4">
        <f>Tabla1[[#This Row],[Salario Mensual]]*12</f>
        <v>25615824</v>
      </c>
    </row>
    <row r="34" spans="1:9" hidden="1" x14ac:dyDescent="0.3">
      <c r="A34" s="3">
        <v>41</v>
      </c>
      <c r="B34" s="3" t="s">
        <v>60</v>
      </c>
      <c r="C34" s="3" t="s">
        <v>56</v>
      </c>
      <c r="D34" s="2" t="str">
        <f>Tabla1[[#This Row],[Nombre]]&amp;" "&amp;Tabla1[[#This Row],[Apellido]]</f>
        <v>Daniela Morales</v>
      </c>
      <c r="E34" s="3" t="s">
        <v>19</v>
      </c>
      <c r="F34" s="1">
        <v>44752</v>
      </c>
      <c r="G34" s="4">
        <v>27000000</v>
      </c>
      <c r="H34" s="3" t="s">
        <v>12</v>
      </c>
      <c r="I34" s="4">
        <f>Tabla1[[#This Row],[Salario Mensual]]*12</f>
        <v>324000000</v>
      </c>
    </row>
    <row r="35" spans="1:9" hidden="1" x14ac:dyDescent="0.3">
      <c r="A35" s="3">
        <v>42</v>
      </c>
      <c r="B35" s="3" t="s">
        <v>49</v>
      </c>
      <c r="C35" s="3" t="s">
        <v>61</v>
      </c>
      <c r="D35" s="2" t="str">
        <f>Tabla1[[#This Row],[Nombre]]&amp;" "&amp;Tabla1[[#This Row],[Apellido]]</f>
        <v>Laura Nieto</v>
      </c>
      <c r="E35" s="3" t="s">
        <v>11</v>
      </c>
      <c r="F35" s="1">
        <v>44015</v>
      </c>
      <c r="G35" s="4">
        <v>1666110</v>
      </c>
      <c r="H35" s="3" t="s">
        <v>65</v>
      </c>
      <c r="I35" s="4">
        <f>Tabla1[[#This Row],[Salario Mensual]]*12</f>
        <v>19993320</v>
      </c>
    </row>
    <row r="36" spans="1:9" hidden="1" x14ac:dyDescent="0.3">
      <c r="A36" s="3">
        <v>43</v>
      </c>
      <c r="B36" s="3" t="s">
        <v>38</v>
      </c>
      <c r="C36" s="3" t="s">
        <v>62</v>
      </c>
      <c r="D36" s="2" t="str">
        <f>Tabla1[[#This Row],[Nombre]]&amp;" "&amp;Tabla1[[#This Row],[Apellido]]</f>
        <v>Camila Torres</v>
      </c>
      <c r="E36" s="3" t="s">
        <v>19</v>
      </c>
      <c r="F36" s="1">
        <v>45240</v>
      </c>
      <c r="G36" s="4">
        <v>2515344</v>
      </c>
      <c r="H36" s="3" t="s">
        <v>65</v>
      </c>
      <c r="I36" s="4">
        <f>Tabla1[[#This Row],[Salario Mensual]]*12</f>
        <v>30184128</v>
      </c>
    </row>
    <row r="37" spans="1:9" hidden="1" x14ac:dyDescent="0.3">
      <c r="A37" s="3">
        <v>44</v>
      </c>
      <c r="B37" s="3" t="s">
        <v>38</v>
      </c>
      <c r="C37" s="3" t="s">
        <v>63</v>
      </c>
      <c r="D37" s="2" t="str">
        <f>Tabla1[[#This Row],[Nombre]]&amp;" "&amp;Tabla1[[#This Row],[Apellido]]</f>
        <v>Camila Quintero</v>
      </c>
      <c r="E37" s="3" t="s">
        <v>5</v>
      </c>
      <c r="F37" s="1">
        <v>44185</v>
      </c>
      <c r="G37" s="4">
        <v>2932242</v>
      </c>
      <c r="H37" s="3" t="s">
        <v>12</v>
      </c>
      <c r="I37" s="4">
        <f>Tabla1[[#This Row],[Salario Mensual]]*12</f>
        <v>35186904</v>
      </c>
    </row>
    <row r="38" spans="1:9" hidden="1" x14ac:dyDescent="0.3">
      <c r="A38" s="3">
        <v>45</v>
      </c>
      <c r="B38" s="3" t="s">
        <v>64</v>
      </c>
      <c r="C38" s="3" t="s">
        <v>62</v>
      </c>
      <c r="D38" s="2" t="str">
        <f>Tabla1[[#This Row],[Nombre]]&amp;" "&amp;Tabla1[[#This Row],[Apellido]]</f>
        <v>Sarai Torres</v>
      </c>
      <c r="E38" s="3" t="s">
        <v>19</v>
      </c>
      <c r="F38" s="1">
        <v>44732</v>
      </c>
      <c r="G38" s="4">
        <v>1907448</v>
      </c>
      <c r="H38" s="3" t="s">
        <v>65</v>
      </c>
      <c r="I38" s="4">
        <f>Tabla1[[#This Row],[Salario Mensual]]*12</f>
        <v>22889376</v>
      </c>
    </row>
    <row r="39" spans="1:9" x14ac:dyDescent="0.3">
      <c r="A39" s="3">
        <v>46</v>
      </c>
      <c r="B39" s="3" t="s">
        <v>66</v>
      </c>
      <c r="C39" s="3" t="s">
        <v>59</v>
      </c>
      <c r="D39" s="2" t="str">
        <f>Tabla1[[#This Row],[Nombre]]&amp;" "&amp;Tabla1[[#This Row],[Apellido]]</f>
        <v>Sol Díaz</v>
      </c>
      <c r="E39" s="3" t="s">
        <v>2</v>
      </c>
      <c r="F39" s="1">
        <v>44182</v>
      </c>
      <c r="G39" s="4">
        <v>1684623</v>
      </c>
      <c r="H39" s="3" t="s">
        <v>65</v>
      </c>
      <c r="I39" s="4">
        <f>Tabla1[[#This Row],[Salario Mensual]]*12</f>
        <v>20215476</v>
      </c>
    </row>
    <row r="40" spans="1:9" x14ac:dyDescent="0.3">
      <c r="A40" s="3">
        <v>47</v>
      </c>
      <c r="B40" s="3" t="s">
        <v>67</v>
      </c>
      <c r="C40" s="3" t="s">
        <v>68</v>
      </c>
      <c r="D40" s="2" t="str">
        <f>Tabla1[[#This Row],[Nombre]]&amp;" "&amp;Tabla1[[#This Row],[Apellido]]</f>
        <v>Lina García</v>
      </c>
      <c r="E40" s="3" t="s">
        <v>2</v>
      </c>
      <c r="F40" s="1">
        <v>43987</v>
      </c>
      <c r="G40" s="4">
        <v>1949670</v>
      </c>
      <c r="H40" s="3" t="s">
        <v>65</v>
      </c>
      <c r="I40" s="4">
        <f>Tabla1[[#This Row],[Salario Mensual]]*12</f>
        <v>23396040</v>
      </c>
    </row>
    <row r="41" spans="1:9" hidden="1" x14ac:dyDescent="0.3">
      <c r="A41" s="3">
        <v>48</v>
      </c>
      <c r="B41" s="3" t="s">
        <v>69</v>
      </c>
      <c r="C41" s="3" t="s">
        <v>63</v>
      </c>
      <c r="D41" s="2" t="str">
        <f>Tabla1[[#This Row],[Nombre]]&amp;" "&amp;Tabla1[[#This Row],[Apellido]]</f>
        <v>Dana Quintero</v>
      </c>
      <c r="E41" s="3" t="s">
        <v>2</v>
      </c>
      <c r="F41" s="1">
        <v>43878</v>
      </c>
      <c r="G41" s="4">
        <v>2643260</v>
      </c>
      <c r="H41" s="3" t="s">
        <v>12</v>
      </c>
      <c r="I41" s="4">
        <f>Tabla1[[#This Row],[Salario Mensual]]*12</f>
        <v>31719120</v>
      </c>
    </row>
    <row r="42" spans="1:9" x14ac:dyDescent="0.3">
      <c r="A42" s="3">
        <v>49</v>
      </c>
      <c r="B42" s="3" t="s">
        <v>67</v>
      </c>
      <c r="C42" s="3" t="s">
        <v>61</v>
      </c>
      <c r="D42" s="2" t="str">
        <f>Tabla1[[#This Row],[Nombre]]&amp;" "&amp;Tabla1[[#This Row],[Apellido]]</f>
        <v>Lina Nieto</v>
      </c>
      <c r="E42" s="3" t="s">
        <v>2</v>
      </c>
      <c r="F42" s="1">
        <v>44300</v>
      </c>
      <c r="G42" s="4">
        <v>2853302</v>
      </c>
      <c r="H42" s="3" t="s">
        <v>65</v>
      </c>
      <c r="I42" s="4">
        <f>Tabla1[[#This Row],[Salario Mensual]]*12</f>
        <v>34239624</v>
      </c>
    </row>
    <row r="43" spans="1:9" hidden="1" x14ac:dyDescent="0.3">
      <c r="A43" s="3">
        <v>50</v>
      </c>
      <c r="B43" s="3" t="s">
        <v>70</v>
      </c>
      <c r="C43" s="3" t="s">
        <v>54</v>
      </c>
      <c r="D43" s="2" t="str">
        <f>Tabla1[[#This Row],[Nombre]]&amp;" "&amp;Tabla1[[#This Row],[Apellido]]</f>
        <v>Patricio Ruiz</v>
      </c>
      <c r="E43" s="3" t="s">
        <v>2</v>
      </c>
      <c r="F43" s="1">
        <v>44177</v>
      </c>
      <c r="G43" s="4">
        <v>2436210</v>
      </c>
      <c r="H43" s="3" t="s">
        <v>12</v>
      </c>
      <c r="I43" s="4">
        <f>Tabla1[[#This Row],[Salario Mensual]]*12</f>
        <v>29234520</v>
      </c>
    </row>
    <row r="44" spans="1:9" hidden="1" x14ac:dyDescent="0.3">
      <c r="A44" s="3">
        <v>51</v>
      </c>
      <c r="B44" s="3" t="s">
        <v>71</v>
      </c>
      <c r="C44" s="3" t="s">
        <v>59</v>
      </c>
      <c r="D44" s="2" t="str">
        <f>Tabla1[[#This Row],[Nombre]]&amp;" "&amp;Tabla1[[#This Row],[Apellido]]</f>
        <v>Sonia Díaz</v>
      </c>
      <c r="E44" s="3" t="s">
        <v>5</v>
      </c>
      <c r="F44" s="1">
        <v>44133</v>
      </c>
      <c r="G44" s="4">
        <v>2048608</v>
      </c>
      <c r="H44" s="3" t="s">
        <v>12</v>
      </c>
      <c r="I44" s="4">
        <f>Tabla1[[#This Row],[Salario Mensual]]*12</f>
        <v>24583296</v>
      </c>
    </row>
    <row r="45" spans="1:9" hidden="1" x14ac:dyDescent="0.3">
      <c r="A45" s="3">
        <v>52</v>
      </c>
      <c r="B45" s="3" t="s">
        <v>72</v>
      </c>
      <c r="C45" s="3" t="s">
        <v>73</v>
      </c>
      <c r="D45" s="2" t="str">
        <f>Tabla1[[#This Row],[Nombre]]&amp;" "&amp;Tabla1[[#This Row],[Apellido]]</f>
        <v>Mario Castro</v>
      </c>
      <c r="E45" s="3" t="s">
        <v>2</v>
      </c>
      <c r="F45" s="1">
        <v>43558</v>
      </c>
      <c r="G45" s="4">
        <v>2668434</v>
      </c>
      <c r="H45" s="3" t="s">
        <v>12</v>
      </c>
      <c r="I45" s="4">
        <f>Tabla1[[#This Row],[Salario Mensual]]*12</f>
        <v>32021208</v>
      </c>
    </row>
    <row r="46" spans="1:9" hidden="1" x14ac:dyDescent="0.3">
      <c r="A46" s="3">
        <v>53</v>
      </c>
      <c r="B46" s="3" t="s">
        <v>36</v>
      </c>
      <c r="C46" s="3" t="s">
        <v>52</v>
      </c>
      <c r="D46" s="2" t="str">
        <f>Tabla1[[#This Row],[Nombre]]&amp;" "&amp;Tabla1[[#This Row],[Apellido]]</f>
        <v>Mateo Martínez</v>
      </c>
      <c r="E46" s="3" t="s">
        <v>5</v>
      </c>
      <c r="F46" s="1">
        <v>44843</v>
      </c>
      <c r="G46" s="4">
        <v>2183432</v>
      </c>
      <c r="H46" s="3" t="s">
        <v>12</v>
      </c>
      <c r="I46" s="4">
        <f>Tabla1[[#This Row],[Salario Mensual]]*12</f>
        <v>26201184</v>
      </c>
    </row>
    <row r="47" spans="1:9" hidden="1" x14ac:dyDescent="0.3">
      <c r="A47" s="3">
        <v>54</v>
      </c>
      <c r="B47" s="3" t="s">
        <v>36</v>
      </c>
      <c r="C47" s="3" t="s">
        <v>54</v>
      </c>
      <c r="D47" s="2" t="str">
        <f>Tabla1[[#This Row],[Nombre]]&amp;" "&amp;Tabla1[[#This Row],[Apellido]]</f>
        <v>Mateo Ruiz</v>
      </c>
      <c r="E47" s="3" t="s">
        <v>5</v>
      </c>
      <c r="F47" s="1">
        <v>44068</v>
      </c>
      <c r="G47" s="4">
        <v>1557094</v>
      </c>
      <c r="H47" s="3" t="s">
        <v>65</v>
      </c>
      <c r="I47" s="4">
        <f>Tabla1[[#This Row],[Salario Mensual]]*12</f>
        <v>18685128</v>
      </c>
    </row>
    <row r="48" spans="1:9" hidden="1" x14ac:dyDescent="0.3">
      <c r="A48" s="3">
        <v>55</v>
      </c>
      <c r="B48" s="3" t="s">
        <v>74</v>
      </c>
      <c r="C48" s="3" t="s">
        <v>55</v>
      </c>
      <c r="D48" s="2" t="str">
        <f>Tabla1[[#This Row],[Nombre]]&amp;" "&amp;Tabla1[[#This Row],[Apellido]]</f>
        <v>Andrés Mendoza</v>
      </c>
      <c r="E48" s="3" t="s">
        <v>5</v>
      </c>
      <c r="F48" s="1">
        <v>43865</v>
      </c>
      <c r="G48" s="4">
        <v>2282474</v>
      </c>
      <c r="H48" s="3" t="s">
        <v>12</v>
      </c>
      <c r="I48" s="4">
        <f>Tabla1[[#This Row],[Salario Mensual]]*12</f>
        <v>27389688</v>
      </c>
    </row>
    <row r="49" spans="1:9" hidden="1" x14ac:dyDescent="0.3">
      <c r="A49" s="3">
        <v>56</v>
      </c>
      <c r="B49" s="3" t="s">
        <v>75</v>
      </c>
      <c r="C49" s="3" t="s">
        <v>63</v>
      </c>
      <c r="D49" s="2" t="str">
        <f>Tabla1[[#This Row],[Nombre]]&amp;" "&amp;Tabla1[[#This Row],[Apellido]]</f>
        <v>Carla Quintero</v>
      </c>
      <c r="E49" s="3" t="s">
        <v>19</v>
      </c>
      <c r="F49" s="1">
        <v>44751</v>
      </c>
      <c r="G49" s="4">
        <v>1666333</v>
      </c>
      <c r="H49" s="3" t="s">
        <v>12</v>
      </c>
      <c r="I49" s="4">
        <f>Tabla1[[#This Row],[Salario Mensual]]*12</f>
        <v>19995996</v>
      </c>
    </row>
    <row r="50" spans="1:9" hidden="1" x14ac:dyDescent="0.3">
      <c r="A50" s="3">
        <v>57</v>
      </c>
      <c r="B50" s="3" t="s">
        <v>49</v>
      </c>
      <c r="C50" s="3" t="s">
        <v>52</v>
      </c>
      <c r="D50" s="2" t="str">
        <f>Tabla1[[#This Row],[Nombre]]&amp;" "&amp;Tabla1[[#This Row],[Apellido]]</f>
        <v>Laura Martínez</v>
      </c>
      <c r="E50" s="3" t="s">
        <v>2</v>
      </c>
      <c r="F50" s="1">
        <v>44281</v>
      </c>
      <c r="G50" s="4">
        <v>2377098</v>
      </c>
      <c r="H50" s="3" t="s">
        <v>12</v>
      </c>
      <c r="I50" s="4">
        <f>Tabla1[[#This Row],[Salario Mensual]]*12</f>
        <v>28525176</v>
      </c>
    </row>
    <row r="51" spans="1:9" hidden="1" x14ac:dyDescent="0.3">
      <c r="A51" s="3">
        <v>58</v>
      </c>
      <c r="B51" s="3" t="s">
        <v>74</v>
      </c>
      <c r="C51" s="3" t="s">
        <v>59</v>
      </c>
      <c r="D51" s="2" t="str">
        <f>Tabla1[[#This Row],[Nombre]]&amp;" "&amp;Tabla1[[#This Row],[Apellido]]</f>
        <v>Andrés Díaz</v>
      </c>
      <c r="E51" s="3" t="s">
        <v>11</v>
      </c>
      <c r="F51" s="1">
        <v>44191</v>
      </c>
      <c r="G51" s="4">
        <v>1743181</v>
      </c>
      <c r="H51" s="3" t="s">
        <v>12</v>
      </c>
      <c r="I51" s="4">
        <f>Tabla1[[#This Row],[Salario Mensual]]*12</f>
        <v>20918172</v>
      </c>
    </row>
    <row r="52" spans="1:9" hidden="1" x14ac:dyDescent="0.3">
      <c r="A52" s="3">
        <v>59</v>
      </c>
      <c r="B52" s="3" t="s">
        <v>67</v>
      </c>
      <c r="C52" s="3" t="s">
        <v>54</v>
      </c>
      <c r="D52" s="2" t="str">
        <f>Tabla1[[#This Row],[Nombre]]&amp;" "&amp;Tabla1[[#This Row],[Apellido]]</f>
        <v>Lina Ruiz</v>
      </c>
      <c r="E52" s="3" t="s">
        <v>5</v>
      </c>
      <c r="F52" s="1">
        <v>43531</v>
      </c>
      <c r="G52" s="4">
        <v>2026466</v>
      </c>
      <c r="H52" s="3" t="s">
        <v>65</v>
      </c>
      <c r="I52" s="4">
        <f>Tabla1[[#This Row],[Salario Mensual]]*12</f>
        <v>24317592</v>
      </c>
    </row>
    <row r="53" spans="1:9" x14ac:dyDescent="0.3">
      <c r="A53" s="3">
        <v>60</v>
      </c>
      <c r="B53" s="3" t="s">
        <v>74</v>
      </c>
      <c r="C53" s="3" t="s">
        <v>56</v>
      </c>
      <c r="D53" s="2" t="str">
        <f>Tabla1[[#This Row],[Nombre]]&amp;" "&amp;Tabla1[[#This Row],[Apellido]]</f>
        <v>Andrés Morales</v>
      </c>
      <c r="E53" s="3" t="s">
        <v>2</v>
      </c>
      <c r="F53" s="1">
        <v>43598</v>
      </c>
      <c r="G53" s="4">
        <v>1993210</v>
      </c>
      <c r="H53" s="3" t="s">
        <v>65</v>
      </c>
      <c r="I53" s="4">
        <f>Tabla1[[#This Row],[Salario Mensual]]*12</f>
        <v>23918520</v>
      </c>
    </row>
    <row r="54" spans="1:9" hidden="1" x14ac:dyDescent="0.3">
      <c r="A54" s="3">
        <v>61</v>
      </c>
      <c r="B54" s="3" t="s">
        <v>76</v>
      </c>
      <c r="C54" s="3" t="s">
        <v>63</v>
      </c>
      <c r="D54" s="2" t="str">
        <f>Tabla1[[#This Row],[Nombre]]&amp;" "&amp;Tabla1[[#This Row],[Apellido]]</f>
        <v>Carolina Quintero</v>
      </c>
      <c r="E54" s="3" t="s">
        <v>5</v>
      </c>
      <c r="F54" s="1">
        <v>43750</v>
      </c>
      <c r="G54" s="4">
        <v>2099622</v>
      </c>
      <c r="H54" s="3" t="s">
        <v>65</v>
      </c>
      <c r="I54" s="4">
        <f>Tabla1[[#This Row],[Salario Mensual]]*12</f>
        <v>25195464</v>
      </c>
    </row>
    <row r="55" spans="1:9" hidden="1" x14ac:dyDescent="0.3">
      <c r="A55" s="3">
        <v>62</v>
      </c>
      <c r="B55" s="3" t="s">
        <v>36</v>
      </c>
      <c r="C55" s="3" t="s">
        <v>73</v>
      </c>
      <c r="D55" s="2" t="str">
        <f>Tabla1[[#This Row],[Nombre]]&amp;" "&amp;Tabla1[[#This Row],[Apellido]]</f>
        <v>Mateo Castro</v>
      </c>
      <c r="E55" s="3" t="s">
        <v>5</v>
      </c>
      <c r="F55" s="1">
        <v>43476</v>
      </c>
      <c r="G55" s="4">
        <v>17000000</v>
      </c>
      <c r="H55" s="3" t="s">
        <v>65</v>
      </c>
      <c r="I55" s="4">
        <f>Tabla1[[#This Row],[Salario Mensual]]*12</f>
        <v>204000000</v>
      </c>
    </row>
    <row r="56" spans="1:9" hidden="1" x14ac:dyDescent="0.3">
      <c r="A56" s="3">
        <v>63</v>
      </c>
      <c r="B56" s="3" t="s">
        <v>53</v>
      </c>
      <c r="C56" s="3" t="s">
        <v>61</v>
      </c>
      <c r="D56" s="2" t="str">
        <f>Tabla1[[#This Row],[Nombre]]&amp;" "&amp;Tabla1[[#This Row],[Apellido]]</f>
        <v>Pablo Nieto</v>
      </c>
      <c r="E56" s="3" t="s">
        <v>19</v>
      </c>
      <c r="F56" s="1">
        <v>44688</v>
      </c>
      <c r="G56" s="4">
        <v>2648549</v>
      </c>
      <c r="H56" s="3" t="s">
        <v>12</v>
      </c>
      <c r="I56" s="4">
        <f>Tabla1[[#This Row],[Salario Mensual]]*12</f>
        <v>31782588</v>
      </c>
    </row>
    <row r="57" spans="1:9" hidden="1" x14ac:dyDescent="0.3">
      <c r="A57" s="3">
        <v>64</v>
      </c>
      <c r="B57" s="3" t="s">
        <v>77</v>
      </c>
      <c r="C57" s="3" t="s">
        <v>46</v>
      </c>
      <c r="D57" s="2" t="str">
        <f>Tabla1[[#This Row],[Nombre]]&amp;" "&amp;Tabla1[[#This Row],[Apellido]]</f>
        <v>Sandra Gómez</v>
      </c>
      <c r="E57" s="3" t="s">
        <v>11</v>
      </c>
      <c r="F57" s="1">
        <v>44125</v>
      </c>
      <c r="G57" s="4">
        <v>2778319</v>
      </c>
      <c r="H57" s="3" t="s">
        <v>12</v>
      </c>
      <c r="I57" s="4">
        <f>Tabla1[[#This Row],[Salario Mensual]]*12</f>
        <v>33339828</v>
      </c>
    </row>
    <row r="58" spans="1:9" hidden="1" x14ac:dyDescent="0.3">
      <c r="A58" s="3">
        <v>65</v>
      </c>
      <c r="B58" s="3" t="s">
        <v>78</v>
      </c>
      <c r="C58" s="3" t="s">
        <v>61</v>
      </c>
      <c r="D58" s="2" t="str">
        <f>Tabla1[[#This Row],[Nombre]]&amp;" "&amp;Tabla1[[#This Row],[Apellido]]</f>
        <v>Laina Nieto</v>
      </c>
      <c r="E58" s="3" t="s">
        <v>5</v>
      </c>
      <c r="F58" s="1">
        <v>43773</v>
      </c>
      <c r="G58" s="4">
        <v>24000000</v>
      </c>
      <c r="H58" s="3" t="s">
        <v>12</v>
      </c>
      <c r="I58" s="4">
        <f>Tabla1[[#This Row],[Salario Mensual]]*12</f>
        <v>288000000</v>
      </c>
    </row>
    <row r="59" spans="1:9" hidden="1" x14ac:dyDescent="0.3">
      <c r="A59" s="3">
        <v>66</v>
      </c>
      <c r="B59" s="3" t="s">
        <v>24</v>
      </c>
      <c r="C59" s="3" t="s">
        <v>73</v>
      </c>
      <c r="D59" s="2" t="str">
        <f>Tabla1[[#This Row],[Nombre]]&amp;" "&amp;Tabla1[[#This Row],[Apellido]]</f>
        <v>Sara Castro</v>
      </c>
      <c r="E59" s="3" t="s">
        <v>2</v>
      </c>
      <c r="F59" s="1">
        <v>43549</v>
      </c>
      <c r="G59" s="4">
        <v>29000000</v>
      </c>
      <c r="H59" s="3" t="s">
        <v>12</v>
      </c>
      <c r="I59" s="4">
        <f>Tabla1[[#This Row],[Salario Mensual]]*12</f>
        <v>348000000</v>
      </c>
    </row>
    <row r="60" spans="1:9" hidden="1" x14ac:dyDescent="0.3">
      <c r="A60" s="3">
        <v>67</v>
      </c>
      <c r="B60" s="3" t="s">
        <v>79</v>
      </c>
      <c r="C60" s="3" t="s">
        <v>61</v>
      </c>
      <c r="D60" s="2" t="str">
        <f>Tabla1[[#This Row],[Nombre]]&amp;" "&amp;Tabla1[[#This Row],[Apellido]]</f>
        <v>Pedro Nieto</v>
      </c>
      <c r="E60" s="3" t="s">
        <v>19</v>
      </c>
      <c r="F60" s="1">
        <v>44399</v>
      </c>
      <c r="G60" s="4">
        <v>24000000</v>
      </c>
      <c r="H60" s="3" t="s">
        <v>12</v>
      </c>
      <c r="I60" s="4">
        <f>Tabla1[[#This Row],[Salario Mensual]]*12</f>
        <v>288000000</v>
      </c>
    </row>
    <row r="61" spans="1:9" hidden="1" x14ac:dyDescent="0.3">
      <c r="A61" s="3">
        <v>68</v>
      </c>
      <c r="B61" s="3" t="s">
        <v>67</v>
      </c>
      <c r="C61" s="3" t="s">
        <v>63</v>
      </c>
      <c r="D61" s="2" t="str">
        <f>Tabla1[[#This Row],[Nombre]]&amp;" "&amp;Tabla1[[#This Row],[Apellido]]</f>
        <v>Lina Quintero</v>
      </c>
      <c r="E61" s="3" t="s">
        <v>2</v>
      </c>
      <c r="F61" s="1">
        <v>44101</v>
      </c>
      <c r="G61" s="4">
        <v>2347080</v>
      </c>
      <c r="H61" s="3" t="s">
        <v>12</v>
      </c>
      <c r="I61" s="4">
        <f>Tabla1[[#This Row],[Salario Mensual]]*12</f>
        <v>28164960</v>
      </c>
    </row>
    <row r="62" spans="1:9" hidden="1" x14ac:dyDescent="0.3">
      <c r="A62" s="3">
        <v>69</v>
      </c>
      <c r="B62" s="3" t="s">
        <v>53</v>
      </c>
      <c r="C62" s="3" t="s">
        <v>46</v>
      </c>
      <c r="D62" s="2" t="str">
        <f>Tabla1[[#This Row],[Nombre]]&amp;" "&amp;Tabla1[[#This Row],[Apellido]]</f>
        <v>Pablo Gómez</v>
      </c>
      <c r="E62" s="3" t="s">
        <v>19</v>
      </c>
      <c r="F62" s="1">
        <v>44108</v>
      </c>
      <c r="G62" s="4">
        <v>2395922</v>
      </c>
      <c r="H62" s="3" t="s">
        <v>12</v>
      </c>
      <c r="I62" s="4">
        <f>Tabla1[[#This Row],[Salario Mensual]]*12</f>
        <v>28751064</v>
      </c>
    </row>
    <row r="63" spans="1:9" hidden="1" x14ac:dyDescent="0.3">
      <c r="A63" s="3">
        <v>70</v>
      </c>
      <c r="B63" s="3" t="s">
        <v>24</v>
      </c>
      <c r="C63" s="3" t="s">
        <v>59</v>
      </c>
      <c r="D63" s="2" t="str">
        <f>Tabla1[[#This Row],[Nombre]]&amp;" "&amp;Tabla1[[#This Row],[Apellido]]</f>
        <v>Sara Díaz</v>
      </c>
      <c r="E63" s="3" t="s">
        <v>2</v>
      </c>
      <c r="F63" s="1">
        <v>45353</v>
      </c>
      <c r="G63" s="4">
        <v>2968877</v>
      </c>
      <c r="H63" s="3" t="s">
        <v>12</v>
      </c>
      <c r="I63" s="4">
        <f>Tabla1[[#This Row],[Salario Mensual]]*12</f>
        <v>35626524</v>
      </c>
    </row>
    <row r="64" spans="1:9" x14ac:dyDescent="0.3">
      <c r="A64" s="3">
        <v>71</v>
      </c>
      <c r="B64" s="3" t="s">
        <v>80</v>
      </c>
      <c r="C64" s="3" t="s">
        <v>56</v>
      </c>
      <c r="D64" s="2" t="str">
        <f>Tabla1[[#This Row],[Nombre]]&amp;" "&amp;Tabla1[[#This Row],[Apellido]]</f>
        <v>Arturo Morales</v>
      </c>
      <c r="E64" s="3" t="s">
        <v>2</v>
      </c>
      <c r="F64" s="1">
        <v>44923</v>
      </c>
      <c r="G64" s="4">
        <v>2730469</v>
      </c>
      <c r="H64" s="3" t="s">
        <v>65</v>
      </c>
      <c r="I64" s="4">
        <f>Tabla1[[#This Row],[Salario Mensual]]*12</f>
        <v>32765628</v>
      </c>
    </row>
    <row r="65" spans="1:9" hidden="1" x14ac:dyDescent="0.3">
      <c r="A65" s="3">
        <v>72</v>
      </c>
      <c r="B65" s="3" t="s">
        <v>81</v>
      </c>
      <c r="C65" s="3" t="s">
        <v>52</v>
      </c>
      <c r="D65" s="2" t="str">
        <f>Tabla1[[#This Row],[Nombre]]&amp;" "&amp;Tabla1[[#This Row],[Apellido]]</f>
        <v>Lena Martínez</v>
      </c>
      <c r="E65" s="3" t="s">
        <v>19</v>
      </c>
      <c r="F65" s="1">
        <v>45412</v>
      </c>
      <c r="G65" s="4">
        <v>1892323</v>
      </c>
      <c r="H65" s="3" t="s">
        <v>12</v>
      </c>
      <c r="I65" s="4">
        <f>Tabla1[[#This Row],[Salario Mensual]]*12</f>
        <v>22707876</v>
      </c>
    </row>
    <row r="66" spans="1:9" x14ac:dyDescent="0.3">
      <c r="A66" s="3">
        <v>73</v>
      </c>
      <c r="B66" s="3" t="s">
        <v>58</v>
      </c>
      <c r="C66" s="3" t="s">
        <v>63</v>
      </c>
      <c r="D66" s="2" t="str">
        <f>Tabla1[[#This Row],[Nombre]]&amp;" "&amp;Tabla1[[#This Row],[Apellido]]</f>
        <v>Susana Quintero</v>
      </c>
      <c r="E66" s="3" t="s">
        <v>2</v>
      </c>
      <c r="F66" s="1">
        <v>43545</v>
      </c>
      <c r="G66" s="4">
        <v>18000000</v>
      </c>
      <c r="H66" s="3" t="s">
        <v>65</v>
      </c>
      <c r="I66" s="4">
        <f>Tabla1[[#This Row],[Salario Mensual]]*12</f>
        <v>216000000</v>
      </c>
    </row>
    <row r="67" spans="1:9" hidden="1" x14ac:dyDescent="0.3">
      <c r="A67" s="3">
        <v>74</v>
      </c>
      <c r="B67" s="3" t="s">
        <v>82</v>
      </c>
      <c r="C67" s="3" t="s">
        <v>68</v>
      </c>
      <c r="D67" s="2" t="str">
        <f>Tabla1[[#This Row],[Nombre]]&amp;" "&amp;Tabla1[[#This Row],[Apellido]]</f>
        <v>Felipe García</v>
      </c>
      <c r="E67" s="3" t="s">
        <v>5</v>
      </c>
      <c r="F67" s="1">
        <v>45091</v>
      </c>
      <c r="G67" s="4">
        <v>2516341</v>
      </c>
      <c r="H67" s="3" t="s">
        <v>65</v>
      </c>
      <c r="I67" s="4">
        <f>Tabla1[[#This Row],[Salario Mensual]]*12</f>
        <v>30196092</v>
      </c>
    </row>
    <row r="68" spans="1:9" hidden="1" x14ac:dyDescent="0.3">
      <c r="A68" s="3">
        <v>75</v>
      </c>
      <c r="B68" s="3" t="s">
        <v>67</v>
      </c>
      <c r="C68" s="3" t="s">
        <v>62</v>
      </c>
      <c r="D68" s="2" t="str">
        <f>Tabla1[[#This Row],[Nombre]]&amp;" "&amp;Tabla1[[#This Row],[Apellido]]</f>
        <v>Lina Torres</v>
      </c>
      <c r="E68" s="3" t="s">
        <v>5</v>
      </c>
      <c r="F68" s="1">
        <v>44140</v>
      </c>
      <c r="G68" s="4">
        <v>1891332</v>
      </c>
      <c r="H68" s="3" t="s">
        <v>65</v>
      </c>
      <c r="I68" s="4">
        <f>Tabla1[[#This Row],[Salario Mensual]]*12</f>
        <v>22695984</v>
      </c>
    </row>
    <row r="69" spans="1:9" hidden="1" x14ac:dyDescent="0.3">
      <c r="A69" s="3">
        <v>76</v>
      </c>
      <c r="B69" s="3" t="s">
        <v>24</v>
      </c>
      <c r="C69" s="3" t="s">
        <v>62</v>
      </c>
      <c r="D69" s="2" t="str">
        <f>Tabla1[[#This Row],[Nombre]]&amp;" "&amp;Tabla1[[#This Row],[Apellido]]</f>
        <v>Sara Torres</v>
      </c>
      <c r="E69" s="3" t="s">
        <v>11</v>
      </c>
      <c r="F69" s="1">
        <v>44178</v>
      </c>
      <c r="G69" s="4">
        <v>19000000</v>
      </c>
      <c r="H69" s="3" t="s">
        <v>12</v>
      </c>
      <c r="I69" s="4">
        <f>Tabla1[[#This Row],[Salario Mensual]]*12</f>
        <v>228000000</v>
      </c>
    </row>
    <row r="70" spans="1:9" hidden="1" x14ac:dyDescent="0.3">
      <c r="A70" s="3">
        <v>77</v>
      </c>
      <c r="B70" s="3" t="s">
        <v>74</v>
      </c>
      <c r="C70" s="3" t="s">
        <v>61</v>
      </c>
      <c r="D70" s="2" t="str">
        <f>Tabla1[[#This Row],[Nombre]]&amp;" "&amp;Tabla1[[#This Row],[Apellido]]</f>
        <v>Andrés Nieto</v>
      </c>
      <c r="E70" s="3" t="s">
        <v>2</v>
      </c>
      <c r="F70" s="1">
        <v>43707</v>
      </c>
      <c r="G70" s="4">
        <v>17000000</v>
      </c>
      <c r="H70" s="3" t="s">
        <v>12</v>
      </c>
      <c r="I70" s="4">
        <f>Tabla1[[#This Row],[Salario Mensual]]*12</f>
        <v>204000000</v>
      </c>
    </row>
    <row r="71" spans="1:9" hidden="1" x14ac:dyDescent="0.3">
      <c r="A71" s="3">
        <v>78</v>
      </c>
      <c r="B71" s="3" t="s">
        <v>74</v>
      </c>
      <c r="C71" s="3" t="s">
        <v>52</v>
      </c>
      <c r="D71" s="2" t="str">
        <f>Tabla1[[#This Row],[Nombre]]&amp;" "&amp;Tabla1[[#This Row],[Apellido]]</f>
        <v>Andrés Martínez</v>
      </c>
      <c r="E71" s="3" t="s">
        <v>2</v>
      </c>
      <c r="F71" s="1">
        <v>45353</v>
      </c>
      <c r="G71" s="4">
        <v>15000000</v>
      </c>
      <c r="H71" s="3" t="s">
        <v>12</v>
      </c>
      <c r="I71" s="4">
        <f>Tabla1[[#This Row],[Salario Mensual]]*12</f>
        <v>180000000</v>
      </c>
    </row>
    <row r="72" spans="1:9" hidden="1" x14ac:dyDescent="0.3">
      <c r="A72" s="3">
        <v>79</v>
      </c>
      <c r="B72" s="3" t="s">
        <v>83</v>
      </c>
      <c r="C72" s="3" t="s">
        <v>63</v>
      </c>
      <c r="D72" s="2" t="str">
        <f>Tabla1[[#This Row],[Nombre]]&amp;" "&amp;Tabla1[[#This Row],[Apellido]]</f>
        <v>Rita Quintero</v>
      </c>
      <c r="E72" s="3" t="s">
        <v>5</v>
      </c>
      <c r="F72" s="1">
        <v>43826</v>
      </c>
      <c r="G72" s="4">
        <v>25000000</v>
      </c>
      <c r="H72" s="3" t="s">
        <v>12</v>
      </c>
      <c r="I72" s="4">
        <f>Tabla1[[#This Row],[Salario Mensual]]*12</f>
        <v>300000000</v>
      </c>
    </row>
    <row r="73" spans="1:9" hidden="1" x14ac:dyDescent="0.3">
      <c r="A73" s="3">
        <v>80</v>
      </c>
      <c r="B73" s="3" t="s">
        <v>84</v>
      </c>
      <c r="C73" s="3" t="s">
        <v>62</v>
      </c>
      <c r="D73" s="2" t="str">
        <f>Tabla1[[#This Row],[Nombre]]&amp;" "&amp;Tabla1[[#This Row],[Apellido]]</f>
        <v>Fernando Torres</v>
      </c>
      <c r="E73" s="3" t="s">
        <v>5</v>
      </c>
      <c r="F73" s="1">
        <v>43968</v>
      </c>
      <c r="G73" s="4">
        <v>2889272</v>
      </c>
      <c r="H73" s="3" t="s">
        <v>12</v>
      </c>
      <c r="I73" s="4">
        <f>Tabla1[[#This Row],[Salario Mensual]]*12</f>
        <v>34671264</v>
      </c>
    </row>
    <row r="74" spans="1:9" hidden="1" x14ac:dyDescent="0.3">
      <c r="A74" s="3">
        <v>81</v>
      </c>
      <c r="B74" s="3" t="s">
        <v>85</v>
      </c>
      <c r="C74" s="3" t="s">
        <v>86</v>
      </c>
      <c r="D74" s="2" t="str">
        <f>Tabla1[[#This Row],[Nombre]]&amp;" "&amp;Tabla1[[#This Row],[Apellido]]</f>
        <v>Cecilia Vargas</v>
      </c>
      <c r="E74" s="3" t="s">
        <v>5</v>
      </c>
      <c r="F74" s="1">
        <v>43955</v>
      </c>
      <c r="G74" s="4">
        <v>17000000</v>
      </c>
      <c r="H74" s="3" t="s">
        <v>12</v>
      </c>
      <c r="I74" s="4">
        <f>Tabla1[[#This Row],[Salario Mensual]]*12</f>
        <v>204000000</v>
      </c>
    </row>
    <row r="75" spans="1:9" hidden="1" x14ac:dyDescent="0.3">
      <c r="A75" s="3">
        <v>82</v>
      </c>
      <c r="B75" s="3" t="s">
        <v>74</v>
      </c>
      <c r="C75" s="3" t="s">
        <v>46</v>
      </c>
      <c r="D75" s="2" t="str">
        <f>Tabla1[[#This Row],[Nombre]]&amp;" "&amp;Tabla1[[#This Row],[Apellido]]</f>
        <v>Andrés Gómez</v>
      </c>
      <c r="E75" s="3" t="s">
        <v>5</v>
      </c>
      <c r="F75" s="1">
        <v>45252</v>
      </c>
      <c r="G75" s="4">
        <v>1651045</v>
      </c>
      <c r="H75" s="3" t="s">
        <v>12</v>
      </c>
      <c r="I75" s="4">
        <f>Tabla1[[#This Row],[Salario Mensual]]*12</f>
        <v>19812540</v>
      </c>
    </row>
    <row r="76" spans="1:9" hidden="1" x14ac:dyDescent="0.3">
      <c r="A76" s="3">
        <v>83</v>
      </c>
      <c r="B76" s="3" t="s">
        <v>79</v>
      </c>
      <c r="C76" s="3" t="s">
        <v>63</v>
      </c>
      <c r="D76" s="2" t="str">
        <f>Tabla1[[#This Row],[Nombre]]&amp;" "&amp;Tabla1[[#This Row],[Apellido]]</f>
        <v>Pedro Quintero</v>
      </c>
      <c r="E76" s="3" t="s">
        <v>19</v>
      </c>
      <c r="F76" s="1">
        <v>45307</v>
      </c>
      <c r="G76" s="4">
        <v>2447615</v>
      </c>
      <c r="H76" s="3" t="s">
        <v>65</v>
      </c>
      <c r="I76" s="4">
        <f>Tabla1[[#This Row],[Salario Mensual]]*12</f>
        <v>29371380</v>
      </c>
    </row>
    <row r="77" spans="1:9" hidden="1" x14ac:dyDescent="0.3">
      <c r="A77" s="3">
        <v>84</v>
      </c>
      <c r="B77" s="3" t="s">
        <v>74</v>
      </c>
      <c r="C77" s="3" t="s">
        <v>62</v>
      </c>
      <c r="D77" s="2" t="str">
        <f>Tabla1[[#This Row],[Nombre]]&amp;" "&amp;Tabla1[[#This Row],[Apellido]]</f>
        <v>Andrés Torres</v>
      </c>
      <c r="E77" s="3" t="s">
        <v>19</v>
      </c>
      <c r="F77" s="1">
        <v>43948</v>
      </c>
      <c r="G77" s="4">
        <v>1576952</v>
      </c>
      <c r="H77" s="3" t="s">
        <v>12</v>
      </c>
      <c r="I77" s="4">
        <f>Tabla1[[#This Row],[Salario Mensual]]*12</f>
        <v>18923424</v>
      </c>
    </row>
    <row r="78" spans="1:9" hidden="1" x14ac:dyDescent="0.3">
      <c r="A78" s="3">
        <v>85</v>
      </c>
      <c r="B78" s="3" t="s">
        <v>87</v>
      </c>
      <c r="C78" s="3" t="s">
        <v>63</v>
      </c>
      <c r="D78" s="2" t="str">
        <f>Tabla1[[#This Row],[Nombre]]&amp;" "&amp;Tabla1[[#This Row],[Apellido]]</f>
        <v>Francisco Quintero</v>
      </c>
      <c r="E78" s="3" t="s">
        <v>5</v>
      </c>
      <c r="F78" s="1">
        <v>43889</v>
      </c>
      <c r="G78" s="4">
        <v>1674489</v>
      </c>
      <c r="H78" s="3" t="s">
        <v>65</v>
      </c>
      <c r="I78" s="4">
        <f>Tabla1[[#This Row],[Salario Mensual]]*12</f>
        <v>20093868</v>
      </c>
    </row>
    <row r="79" spans="1:9" hidden="1" x14ac:dyDescent="0.3">
      <c r="A79" s="3">
        <v>86</v>
      </c>
      <c r="B79" s="3" t="s">
        <v>88</v>
      </c>
      <c r="C79" s="3" t="s">
        <v>59</v>
      </c>
      <c r="D79" s="2" t="str">
        <f>Tabla1[[#This Row],[Nombre]]&amp;" "&amp;Tabla1[[#This Row],[Apellido]]</f>
        <v>Linda Díaz</v>
      </c>
      <c r="E79" s="3" t="s">
        <v>19</v>
      </c>
      <c r="F79" s="1">
        <v>43538</v>
      </c>
      <c r="G79" s="4">
        <v>2661616</v>
      </c>
      <c r="H79" s="3" t="s">
        <v>12</v>
      </c>
      <c r="I79" s="4">
        <f>Tabla1[[#This Row],[Salario Mensual]]*12</f>
        <v>31939392</v>
      </c>
    </row>
    <row r="80" spans="1:9" hidden="1" x14ac:dyDescent="0.3">
      <c r="A80" s="3">
        <v>87</v>
      </c>
      <c r="B80" s="3" t="s">
        <v>49</v>
      </c>
      <c r="C80" s="3" t="s">
        <v>73</v>
      </c>
      <c r="D80" s="2" t="str">
        <f>Tabla1[[#This Row],[Nombre]]&amp;" "&amp;Tabla1[[#This Row],[Apellido]]</f>
        <v>Laura Castro</v>
      </c>
      <c r="E80" s="3" t="s">
        <v>19</v>
      </c>
      <c r="F80" s="1">
        <v>44075</v>
      </c>
      <c r="G80" s="4">
        <v>2338920</v>
      </c>
      <c r="H80" s="3" t="s">
        <v>12</v>
      </c>
      <c r="I80" s="4">
        <f>Tabla1[[#This Row],[Salario Mensual]]*12</f>
        <v>28067040</v>
      </c>
    </row>
    <row r="81" spans="1:9" hidden="1" x14ac:dyDescent="0.3">
      <c r="A81" s="3">
        <v>88</v>
      </c>
      <c r="B81" s="3" t="s">
        <v>60</v>
      </c>
      <c r="C81" s="3" t="s">
        <v>68</v>
      </c>
      <c r="D81" s="2" t="str">
        <f>Tabla1[[#This Row],[Nombre]]&amp;" "&amp;Tabla1[[#This Row],[Apellido]]</f>
        <v>Daniela García</v>
      </c>
      <c r="E81" s="3" t="s">
        <v>2</v>
      </c>
      <c r="F81" s="1">
        <v>44461</v>
      </c>
      <c r="G81" s="4">
        <v>2479358</v>
      </c>
      <c r="H81" s="3" t="s">
        <v>12</v>
      </c>
      <c r="I81" s="4">
        <f>Tabla1[[#This Row],[Salario Mensual]]*12</f>
        <v>29752296</v>
      </c>
    </row>
    <row r="82" spans="1:9" hidden="1" x14ac:dyDescent="0.3">
      <c r="A82" s="3">
        <v>89</v>
      </c>
      <c r="B82" s="3" t="s">
        <v>60</v>
      </c>
      <c r="C82" s="3" t="s">
        <v>55</v>
      </c>
      <c r="D82" s="2" t="str">
        <f>Tabla1[[#This Row],[Nombre]]&amp;" "&amp;Tabla1[[#This Row],[Apellido]]</f>
        <v>Daniela Mendoza</v>
      </c>
      <c r="E82" s="3" t="s">
        <v>19</v>
      </c>
      <c r="F82" s="1">
        <v>44527</v>
      </c>
      <c r="G82" s="4">
        <v>30000000</v>
      </c>
      <c r="H82" s="3" t="s">
        <v>12</v>
      </c>
      <c r="I82" s="4">
        <f>Tabla1[[#This Row],[Salario Mensual]]*12</f>
        <v>360000000</v>
      </c>
    </row>
    <row r="83" spans="1:9" hidden="1" x14ac:dyDescent="0.3">
      <c r="A83" s="3">
        <v>90</v>
      </c>
      <c r="B83" s="3" t="s">
        <v>53</v>
      </c>
      <c r="C83" s="3" t="s">
        <v>73</v>
      </c>
      <c r="D83" s="2" t="str">
        <f>Tabla1[[#This Row],[Nombre]]&amp;" "&amp;Tabla1[[#This Row],[Apellido]]</f>
        <v>Pablo Castro</v>
      </c>
      <c r="E83" s="3" t="s">
        <v>2</v>
      </c>
      <c r="F83" s="1">
        <v>44797</v>
      </c>
      <c r="G83" s="4">
        <v>2527462</v>
      </c>
      <c r="H83" s="3" t="s">
        <v>12</v>
      </c>
      <c r="I83" s="4">
        <f>Tabla1[[#This Row],[Salario Mensual]]*12</f>
        <v>30329544</v>
      </c>
    </row>
    <row r="84" spans="1:9" hidden="1" x14ac:dyDescent="0.3">
      <c r="A84" s="3">
        <v>91</v>
      </c>
      <c r="B84" s="3" t="s">
        <v>82</v>
      </c>
      <c r="C84" s="3" t="s">
        <v>62</v>
      </c>
      <c r="D84" s="2" t="str">
        <f>Tabla1[[#This Row],[Nombre]]&amp;" "&amp;Tabla1[[#This Row],[Apellido]]</f>
        <v>Felipe Torres</v>
      </c>
      <c r="E84" s="3" t="s">
        <v>5</v>
      </c>
      <c r="F84" s="1">
        <v>44946</v>
      </c>
      <c r="G84" s="4">
        <v>1586299</v>
      </c>
      <c r="H84" s="3" t="s">
        <v>65</v>
      </c>
      <c r="I84" s="4">
        <f>Tabla1[[#This Row],[Salario Mensual]]*12</f>
        <v>19035588</v>
      </c>
    </row>
    <row r="85" spans="1:9" hidden="1" x14ac:dyDescent="0.3">
      <c r="A85" s="3">
        <v>92</v>
      </c>
      <c r="B85" s="3" t="s">
        <v>38</v>
      </c>
      <c r="C85" s="3" t="s">
        <v>61</v>
      </c>
      <c r="D85" s="2" t="str">
        <f>Tabla1[[#This Row],[Nombre]]&amp;" "&amp;Tabla1[[#This Row],[Apellido]]</f>
        <v>Camila Nieto</v>
      </c>
      <c r="E85" s="3" t="s">
        <v>5</v>
      </c>
      <c r="F85" s="1">
        <v>45016</v>
      </c>
      <c r="G85" s="4">
        <v>30000000</v>
      </c>
      <c r="H85" s="3" t="s">
        <v>65</v>
      </c>
      <c r="I85" s="4">
        <f>Tabla1[[#This Row],[Salario Mensual]]*12</f>
        <v>360000000</v>
      </c>
    </row>
    <row r="86" spans="1:9" hidden="1" x14ac:dyDescent="0.3">
      <c r="A86" s="3">
        <v>93</v>
      </c>
      <c r="B86" s="3" t="s">
        <v>82</v>
      </c>
      <c r="C86" s="3" t="s">
        <v>54</v>
      </c>
      <c r="D86" s="2" t="str">
        <f>Tabla1[[#This Row],[Nombre]]&amp;" "&amp;Tabla1[[#This Row],[Apellido]]</f>
        <v>Felipe Ruiz</v>
      </c>
      <c r="E86" s="3" t="s">
        <v>11</v>
      </c>
      <c r="F86" s="1">
        <v>43511</v>
      </c>
      <c r="G86" s="4">
        <v>2667508</v>
      </c>
      <c r="H86" s="3" t="s">
        <v>12</v>
      </c>
      <c r="I86" s="4">
        <f>Tabla1[[#This Row],[Salario Mensual]]*12</f>
        <v>32010096</v>
      </c>
    </row>
    <row r="87" spans="1:9" hidden="1" x14ac:dyDescent="0.3">
      <c r="A87" s="3">
        <v>94</v>
      </c>
      <c r="B87" s="3" t="s">
        <v>74</v>
      </c>
      <c r="C87" s="3" t="s">
        <v>54</v>
      </c>
      <c r="D87" s="2" t="str">
        <f>Tabla1[[#This Row],[Nombre]]&amp;" "&amp;Tabla1[[#This Row],[Apellido]]</f>
        <v>Andrés Ruiz</v>
      </c>
      <c r="E87" s="3" t="s">
        <v>19</v>
      </c>
      <c r="F87" s="1">
        <v>45243</v>
      </c>
      <c r="G87" s="4">
        <v>1846347</v>
      </c>
      <c r="H87" s="3" t="s">
        <v>12</v>
      </c>
      <c r="I87" s="4">
        <f>Tabla1[[#This Row],[Salario Mensual]]*12</f>
        <v>22156164</v>
      </c>
    </row>
    <row r="88" spans="1:9" hidden="1" x14ac:dyDescent="0.3">
      <c r="A88" s="3">
        <v>95</v>
      </c>
      <c r="B88" s="3" t="s">
        <v>89</v>
      </c>
      <c r="C88" s="3" t="s">
        <v>73</v>
      </c>
      <c r="D88" s="2" t="str">
        <f>Tabla1[[#This Row],[Nombre]]&amp;" "&amp;Tabla1[[#This Row],[Apellido]]</f>
        <v>Luz Castro</v>
      </c>
      <c r="E88" s="3" t="s">
        <v>5</v>
      </c>
      <c r="F88" s="1">
        <v>44374</v>
      </c>
      <c r="G88" s="4">
        <v>2552520</v>
      </c>
      <c r="H88" s="3" t="s">
        <v>12</v>
      </c>
      <c r="I88" s="4">
        <f>Tabla1[[#This Row],[Salario Mensual]]*12</f>
        <v>30630240</v>
      </c>
    </row>
    <row r="89" spans="1:9" hidden="1" x14ac:dyDescent="0.3">
      <c r="A89" s="3">
        <v>96</v>
      </c>
      <c r="B89" s="3" t="s">
        <v>36</v>
      </c>
      <c r="C89" s="3" t="s">
        <v>61</v>
      </c>
      <c r="D89" s="2" t="str">
        <f>Tabla1[[#This Row],[Nombre]]&amp;" "&amp;Tabla1[[#This Row],[Apellido]]</f>
        <v>Mateo Nieto</v>
      </c>
      <c r="E89" s="3" t="s">
        <v>19</v>
      </c>
      <c r="F89" s="1">
        <v>44130</v>
      </c>
      <c r="G89" s="4">
        <v>2082987</v>
      </c>
      <c r="H89" s="3" t="s">
        <v>12</v>
      </c>
      <c r="I89" s="4">
        <f>Tabla1[[#This Row],[Salario Mensual]]*12</f>
        <v>24995844</v>
      </c>
    </row>
    <row r="90" spans="1:9" hidden="1" x14ac:dyDescent="0.3">
      <c r="A90" s="3">
        <v>97</v>
      </c>
      <c r="B90" s="3" t="s">
        <v>49</v>
      </c>
      <c r="C90" s="3" t="s">
        <v>86</v>
      </c>
      <c r="D90" s="2" t="str">
        <f>Tabla1[[#This Row],[Nombre]]&amp;" "&amp;Tabla1[[#This Row],[Apellido]]</f>
        <v>Laura Vargas</v>
      </c>
      <c r="E90" s="3" t="s">
        <v>5</v>
      </c>
      <c r="F90" s="1">
        <v>43955</v>
      </c>
      <c r="G90" s="4">
        <v>27000000</v>
      </c>
      <c r="H90" s="3" t="s">
        <v>12</v>
      </c>
      <c r="I90" s="4">
        <f>Tabla1[[#This Row],[Salario Mensual]]*12</f>
        <v>324000000</v>
      </c>
    </row>
    <row r="91" spans="1:9" hidden="1" x14ac:dyDescent="0.3">
      <c r="A91" s="3">
        <v>98</v>
      </c>
      <c r="B91" s="3" t="s">
        <v>67</v>
      </c>
      <c r="C91" s="3" t="s">
        <v>59</v>
      </c>
      <c r="D91" s="2" t="str">
        <f>Tabla1[[#This Row],[Nombre]]&amp;" "&amp;Tabla1[[#This Row],[Apellido]]</f>
        <v>Lina Díaz</v>
      </c>
      <c r="E91" s="3" t="s">
        <v>5</v>
      </c>
      <c r="F91" s="1">
        <v>44349</v>
      </c>
      <c r="G91" s="4">
        <v>22000000</v>
      </c>
      <c r="H91" s="3" t="s">
        <v>12</v>
      </c>
      <c r="I91" s="4">
        <f>Tabla1[[#This Row],[Salario Mensual]]*12</f>
        <v>264000000</v>
      </c>
    </row>
    <row r="92" spans="1:9" x14ac:dyDescent="0.3">
      <c r="A92" s="3">
        <v>99</v>
      </c>
      <c r="B92" s="3" t="s">
        <v>90</v>
      </c>
      <c r="C92" s="3" t="s">
        <v>61</v>
      </c>
      <c r="D92" s="2" t="str">
        <f>Tabla1[[#This Row],[Nombre]]&amp;" "&amp;Tabla1[[#This Row],[Apellido]]</f>
        <v>Alberto Nieto</v>
      </c>
      <c r="E92" s="3" t="s">
        <v>2</v>
      </c>
      <c r="F92" s="1">
        <v>44255</v>
      </c>
      <c r="G92" s="4">
        <v>2327165</v>
      </c>
      <c r="H92" s="3" t="s">
        <v>65</v>
      </c>
      <c r="I92" s="4">
        <f>Tabla1[[#This Row],[Salario Mensual]]*12</f>
        <v>27925980</v>
      </c>
    </row>
    <row r="93" spans="1:9" hidden="1" x14ac:dyDescent="0.3">
      <c r="A93" s="3">
        <v>100</v>
      </c>
      <c r="B93" s="3" t="s">
        <v>91</v>
      </c>
      <c r="C93" s="3" t="s">
        <v>86</v>
      </c>
      <c r="D93" s="2" t="str">
        <f>Tabla1[[#This Row],[Nombre]]&amp;" "&amp;Tabla1[[#This Row],[Apellido]]</f>
        <v>Santiago Vargas</v>
      </c>
      <c r="E93" s="3" t="s">
        <v>5</v>
      </c>
      <c r="F93" s="1">
        <v>44599</v>
      </c>
      <c r="G93" s="4">
        <v>2710352</v>
      </c>
      <c r="H93" s="3" t="s">
        <v>65</v>
      </c>
      <c r="I93" s="4">
        <f>Tabla1[[#This Row],[Salario Mensual]]*12</f>
        <v>32524224</v>
      </c>
    </row>
    <row r="94" spans="1:9" hidden="1" x14ac:dyDescent="0.3">
      <c r="A94" s="3">
        <v>101</v>
      </c>
      <c r="B94" s="3" t="s">
        <v>67</v>
      </c>
      <c r="C94" s="3" t="s">
        <v>73</v>
      </c>
      <c r="D94" s="2" t="str">
        <f>Tabla1[[#This Row],[Nombre]]&amp;" "&amp;Tabla1[[#This Row],[Apellido]]</f>
        <v>Lina Castro</v>
      </c>
      <c r="E94" s="3" t="s">
        <v>11</v>
      </c>
      <c r="F94" s="1">
        <v>44447</v>
      </c>
      <c r="G94" s="4">
        <v>2841724</v>
      </c>
      <c r="H94" s="3" t="s">
        <v>12</v>
      </c>
      <c r="I94" s="4">
        <f>Tabla1[[#This Row],[Salario Mensual]]*12</f>
        <v>34100688</v>
      </c>
    </row>
    <row r="95" spans="1:9" hidden="1" x14ac:dyDescent="0.3">
      <c r="A95" s="3">
        <v>102</v>
      </c>
      <c r="B95" s="3" t="s">
        <v>60</v>
      </c>
      <c r="C95" s="3" t="s">
        <v>54</v>
      </c>
      <c r="D95" s="2" t="str">
        <f>Tabla1[[#This Row],[Nombre]]&amp;" "&amp;Tabla1[[#This Row],[Apellido]]</f>
        <v>Daniela Ruiz</v>
      </c>
      <c r="E95" s="3" t="s">
        <v>19</v>
      </c>
      <c r="F95" s="1">
        <v>44901</v>
      </c>
      <c r="G95" s="4">
        <v>2590728</v>
      </c>
      <c r="H95" s="3" t="s">
        <v>65</v>
      </c>
      <c r="I95" s="4">
        <f>Tabla1[[#This Row],[Salario Mensual]]*12</f>
        <v>31088736</v>
      </c>
    </row>
    <row r="96" spans="1:9" hidden="1" x14ac:dyDescent="0.3">
      <c r="A96" s="3">
        <v>103</v>
      </c>
      <c r="B96" s="3" t="s">
        <v>49</v>
      </c>
      <c r="C96" s="3" t="s">
        <v>59</v>
      </c>
      <c r="D96" s="2" t="str">
        <f>Tabla1[[#This Row],[Nombre]]&amp;" "&amp;Tabla1[[#This Row],[Apellido]]</f>
        <v>Laura Díaz</v>
      </c>
      <c r="E96" s="3" t="s">
        <v>19</v>
      </c>
      <c r="F96" s="1">
        <v>43566</v>
      </c>
      <c r="G96" s="4">
        <v>2853947</v>
      </c>
      <c r="H96" s="3" t="s">
        <v>65</v>
      </c>
      <c r="I96" s="4">
        <f>Tabla1[[#This Row],[Salario Mensual]]*12</f>
        <v>34247364</v>
      </c>
    </row>
    <row r="97" spans="1:9" hidden="1" x14ac:dyDescent="0.3">
      <c r="A97" s="3">
        <v>104</v>
      </c>
      <c r="B97" s="3" t="s">
        <v>58</v>
      </c>
      <c r="C97" s="3" t="s">
        <v>56</v>
      </c>
      <c r="D97" s="2" t="str">
        <f>Tabla1[[#This Row],[Nombre]]&amp;" "&amp;Tabla1[[#This Row],[Apellido]]</f>
        <v>Susana Morales</v>
      </c>
      <c r="E97" s="3" t="s">
        <v>5</v>
      </c>
      <c r="F97" s="1">
        <v>43890</v>
      </c>
      <c r="G97" s="4">
        <v>1708581</v>
      </c>
      <c r="H97" s="3" t="s">
        <v>12</v>
      </c>
      <c r="I97" s="4">
        <f>Tabla1[[#This Row],[Salario Mensual]]*12</f>
        <v>20502972</v>
      </c>
    </row>
    <row r="98" spans="1:9" hidden="1" x14ac:dyDescent="0.3">
      <c r="A98" s="3">
        <v>105</v>
      </c>
      <c r="B98" s="3" t="s">
        <v>92</v>
      </c>
      <c r="C98" s="3" t="s">
        <v>63</v>
      </c>
      <c r="D98" s="2" t="str">
        <f>Tabla1[[#This Row],[Nombre]]&amp;" "&amp;Tabla1[[#This Row],[Apellido]]</f>
        <v>Kelly Quintero</v>
      </c>
      <c r="E98" s="3" t="s">
        <v>5</v>
      </c>
      <c r="F98" s="1">
        <v>44255</v>
      </c>
      <c r="G98" s="4">
        <v>1973604</v>
      </c>
      <c r="H98" s="3" t="s">
        <v>65</v>
      </c>
      <c r="I98" s="4">
        <f>Tabla1[[#This Row],[Salario Mensual]]*12</f>
        <v>23683248</v>
      </c>
    </row>
    <row r="99" spans="1:9" hidden="1" x14ac:dyDescent="0.3">
      <c r="A99" s="3">
        <v>106</v>
      </c>
      <c r="B99" s="3" t="s">
        <v>74</v>
      </c>
      <c r="C99" s="3" t="s">
        <v>68</v>
      </c>
      <c r="D99" s="2" t="str">
        <f>Tabla1[[#This Row],[Nombre]]&amp;" "&amp;Tabla1[[#This Row],[Apellido]]</f>
        <v>Andrés García</v>
      </c>
      <c r="E99" s="3" t="s">
        <v>5</v>
      </c>
      <c r="F99" s="1">
        <v>44128</v>
      </c>
      <c r="G99" s="4">
        <v>2641885</v>
      </c>
      <c r="H99" s="3" t="s">
        <v>12</v>
      </c>
      <c r="I99" s="4">
        <f>Tabla1[[#This Row],[Salario Mensual]]*12</f>
        <v>31702620</v>
      </c>
    </row>
    <row r="100" spans="1:9" hidden="1" x14ac:dyDescent="0.3">
      <c r="A100" s="3">
        <v>107</v>
      </c>
      <c r="B100" s="3" t="s">
        <v>9</v>
      </c>
      <c r="C100" s="3" t="s">
        <v>73</v>
      </c>
      <c r="D100" s="2" t="str">
        <f>Tabla1[[#This Row],[Nombre]]&amp;" "&amp;Tabla1[[#This Row],[Apellido]]</f>
        <v>Luisa Castro</v>
      </c>
      <c r="E100" s="3" t="s">
        <v>5</v>
      </c>
      <c r="F100" s="1">
        <v>45308</v>
      </c>
      <c r="G100" s="4">
        <v>1804740</v>
      </c>
      <c r="H100" s="3" t="s">
        <v>65</v>
      </c>
      <c r="I100" s="4">
        <f>Tabla1[[#This Row],[Salario Mensual]]*12</f>
        <v>21656880</v>
      </c>
    </row>
    <row r="101" spans="1:9" hidden="1" x14ac:dyDescent="0.3">
      <c r="A101" s="3">
        <v>108</v>
      </c>
      <c r="B101" s="3" t="s">
        <v>20</v>
      </c>
      <c r="C101" s="3" t="s">
        <v>68</v>
      </c>
      <c r="D101" s="2" t="str">
        <f>Tabla1[[#This Row],[Nombre]]&amp;" "&amp;Tabla1[[#This Row],[Apellido]]</f>
        <v>Andrea García</v>
      </c>
      <c r="E101" s="3" t="s">
        <v>19</v>
      </c>
      <c r="F101" s="1">
        <v>45198</v>
      </c>
      <c r="G101" s="4">
        <v>2717474</v>
      </c>
      <c r="H101" s="3" t="s">
        <v>12</v>
      </c>
      <c r="I101" s="4">
        <f>Tabla1[[#This Row],[Salario Mensual]]*12</f>
        <v>32609688</v>
      </c>
    </row>
    <row r="102" spans="1:9" hidden="1" x14ac:dyDescent="0.3">
      <c r="A102" s="3">
        <v>109</v>
      </c>
      <c r="B102" s="3" t="s">
        <v>82</v>
      </c>
      <c r="C102" s="3" t="s">
        <v>59</v>
      </c>
      <c r="D102" s="2" t="str">
        <f>Tabla1[[#This Row],[Nombre]]&amp;" "&amp;Tabla1[[#This Row],[Apellido]]</f>
        <v>Felipe Díaz</v>
      </c>
      <c r="E102" s="3" t="s">
        <v>19</v>
      </c>
      <c r="F102" s="1">
        <v>44324</v>
      </c>
      <c r="G102" s="4">
        <v>2881540</v>
      </c>
      <c r="H102" s="3" t="s">
        <v>12</v>
      </c>
      <c r="I102" s="4">
        <f>Tabla1[[#This Row],[Salario Mensual]]*12</f>
        <v>34578480</v>
      </c>
    </row>
    <row r="103" spans="1:9" hidden="1" x14ac:dyDescent="0.3">
      <c r="A103" s="3">
        <v>110</v>
      </c>
      <c r="B103" s="3" t="s">
        <v>36</v>
      </c>
      <c r="C103" s="3" t="s">
        <v>63</v>
      </c>
      <c r="D103" s="2" t="str">
        <f>Tabla1[[#This Row],[Nombre]]&amp;" "&amp;Tabla1[[#This Row],[Apellido]]</f>
        <v>Mateo Quintero</v>
      </c>
      <c r="E103" s="3" t="s">
        <v>5</v>
      </c>
      <c r="F103" s="1">
        <v>45282</v>
      </c>
      <c r="G103" s="4">
        <v>25000000</v>
      </c>
      <c r="H103" s="3" t="s">
        <v>65</v>
      </c>
      <c r="I103" s="4">
        <f>Tabla1[[#This Row],[Salario Mensual]]*12</f>
        <v>300000000</v>
      </c>
    </row>
    <row r="104" spans="1:9" hidden="1" x14ac:dyDescent="0.3">
      <c r="A104" s="3">
        <v>111</v>
      </c>
      <c r="B104" s="3" t="s">
        <v>93</v>
      </c>
      <c r="C104" s="3" t="s">
        <v>63</v>
      </c>
      <c r="D104" s="2" t="str">
        <f>Tabla1[[#This Row],[Nombre]]&amp;" "&amp;Tabla1[[#This Row],[Apellido]]</f>
        <v>Fabio Quintero</v>
      </c>
      <c r="E104" s="3" t="s">
        <v>19</v>
      </c>
      <c r="F104" s="1">
        <v>44869</v>
      </c>
      <c r="G104" s="4">
        <v>2184218</v>
      </c>
      <c r="H104" s="3" t="s">
        <v>12</v>
      </c>
      <c r="I104" s="4">
        <f>Tabla1[[#This Row],[Salario Mensual]]*12</f>
        <v>26210616</v>
      </c>
    </row>
    <row r="105" spans="1:9" hidden="1" x14ac:dyDescent="0.3">
      <c r="A105" s="3">
        <v>112</v>
      </c>
      <c r="B105" s="3" t="s">
        <v>94</v>
      </c>
      <c r="C105" s="3" t="s">
        <v>56</v>
      </c>
      <c r="D105" s="2" t="str">
        <f>Tabla1[[#This Row],[Nombre]]&amp;" "&amp;Tabla1[[#This Row],[Apellido]]</f>
        <v>Fabian Morales</v>
      </c>
      <c r="E105" s="3" t="s">
        <v>19</v>
      </c>
      <c r="F105" s="1">
        <v>43694</v>
      </c>
      <c r="G105" s="4">
        <v>2957387</v>
      </c>
      <c r="H105" s="3" t="s">
        <v>12</v>
      </c>
      <c r="I105" s="4">
        <f>Tabla1[[#This Row],[Salario Mensual]]*12</f>
        <v>35488644</v>
      </c>
    </row>
    <row r="106" spans="1:9" hidden="1" x14ac:dyDescent="0.3">
      <c r="A106" s="3">
        <v>113</v>
      </c>
      <c r="B106" s="3" t="s">
        <v>53</v>
      </c>
      <c r="C106" s="3" t="s">
        <v>68</v>
      </c>
      <c r="D106" s="2" t="str">
        <f>Tabla1[[#This Row],[Nombre]]&amp;" "&amp;Tabla1[[#This Row],[Apellido]]</f>
        <v>Pablo García</v>
      </c>
      <c r="E106" s="3" t="s">
        <v>19</v>
      </c>
      <c r="F106" s="1">
        <v>45106</v>
      </c>
      <c r="G106" s="4">
        <v>1898647</v>
      </c>
      <c r="H106" s="3" t="s">
        <v>12</v>
      </c>
      <c r="I106" s="4">
        <f>Tabla1[[#This Row],[Salario Mensual]]*12</f>
        <v>22783764</v>
      </c>
    </row>
    <row r="107" spans="1:9" hidden="1" x14ac:dyDescent="0.3">
      <c r="A107" s="3">
        <v>114</v>
      </c>
      <c r="B107" s="3" t="s">
        <v>67</v>
      </c>
      <c r="C107" s="3" t="s">
        <v>46</v>
      </c>
      <c r="D107" s="2" t="str">
        <f>Tabla1[[#This Row],[Nombre]]&amp;" "&amp;Tabla1[[#This Row],[Apellido]]</f>
        <v>Lina Gómez</v>
      </c>
      <c r="E107" s="3" t="s">
        <v>5</v>
      </c>
      <c r="F107" s="1">
        <v>45003</v>
      </c>
      <c r="G107" s="4">
        <v>25000000</v>
      </c>
      <c r="H107" s="3" t="s">
        <v>65</v>
      </c>
      <c r="I107" s="4">
        <f>Tabla1[[#This Row],[Salario Mensual]]*12</f>
        <v>300000000</v>
      </c>
    </row>
    <row r="108" spans="1:9" hidden="1" x14ac:dyDescent="0.3">
      <c r="A108" s="3">
        <v>115</v>
      </c>
      <c r="B108" s="3" t="s">
        <v>95</v>
      </c>
      <c r="C108" s="3" t="s">
        <v>56</v>
      </c>
      <c r="D108" s="2" t="str">
        <f>Tabla1[[#This Row],[Nombre]]&amp;" "&amp;Tabla1[[#This Row],[Apellido]]</f>
        <v>Ricardo Morales</v>
      </c>
      <c r="E108" s="3" t="s">
        <v>5</v>
      </c>
      <c r="F108" s="1">
        <v>44343</v>
      </c>
      <c r="G108" s="4">
        <v>1635352</v>
      </c>
      <c r="H108" s="3" t="s">
        <v>65</v>
      </c>
      <c r="I108" s="4">
        <f>Tabla1[[#This Row],[Salario Mensual]]*12</f>
        <v>19624224</v>
      </c>
    </row>
    <row r="109" spans="1:9" hidden="1" x14ac:dyDescent="0.3">
      <c r="A109" s="3">
        <v>116</v>
      </c>
      <c r="B109" s="3" t="s">
        <v>79</v>
      </c>
      <c r="C109" s="3" t="s">
        <v>54</v>
      </c>
      <c r="D109" s="2" t="str">
        <f>Tabla1[[#This Row],[Nombre]]&amp;" "&amp;Tabla1[[#This Row],[Apellido]]</f>
        <v>Pedro Ruiz</v>
      </c>
      <c r="E109" s="3" t="s">
        <v>2</v>
      </c>
      <c r="F109" s="1">
        <v>43604</v>
      </c>
      <c r="G109" s="4">
        <v>1744712</v>
      </c>
      <c r="H109" s="3" t="s">
        <v>12</v>
      </c>
      <c r="I109" s="4">
        <f>Tabla1[[#This Row],[Salario Mensual]]*12</f>
        <v>20936544</v>
      </c>
    </row>
    <row r="110" spans="1:9" x14ac:dyDescent="0.3">
      <c r="A110" s="3">
        <v>117</v>
      </c>
      <c r="B110" s="3" t="s">
        <v>96</v>
      </c>
      <c r="C110" s="3" t="s">
        <v>56</v>
      </c>
      <c r="D110" s="2" t="str">
        <f>Tabla1[[#This Row],[Nombre]]&amp;" "&amp;Tabla1[[#This Row],[Apellido]]</f>
        <v>Siena Morales</v>
      </c>
      <c r="E110" s="3" t="s">
        <v>2</v>
      </c>
      <c r="F110" s="1">
        <v>44255</v>
      </c>
      <c r="G110" s="4">
        <v>1757626</v>
      </c>
      <c r="H110" s="3" t="s">
        <v>65</v>
      </c>
      <c r="I110" s="4">
        <f>Tabla1[[#This Row],[Salario Mensual]]*12</f>
        <v>21091512</v>
      </c>
    </row>
    <row r="111" spans="1:9" hidden="1" x14ac:dyDescent="0.3">
      <c r="A111" s="3">
        <v>118</v>
      </c>
      <c r="B111" s="3" t="s">
        <v>97</v>
      </c>
      <c r="C111" s="3" t="s">
        <v>68</v>
      </c>
      <c r="D111" s="2" t="str">
        <f>Tabla1[[#This Row],[Nombre]]&amp;" "&amp;Tabla1[[#This Row],[Apellido]]</f>
        <v>Antonia García</v>
      </c>
      <c r="E111" s="3" t="s">
        <v>19</v>
      </c>
      <c r="F111" s="1">
        <v>43818</v>
      </c>
      <c r="G111" s="4">
        <v>29000000</v>
      </c>
      <c r="H111" s="3" t="s">
        <v>12</v>
      </c>
      <c r="I111" s="4">
        <f>Tabla1[[#This Row],[Salario Mensual]]*12</f>
        <v>348000000</v>
      </c>
    </row>
    <row r="112" spans="1:9" hidden="1" x14ac:dyDescent="0.3">
      <c r="A112" s="3">
        <v>119</v>
      </c>
      <c r="B112" s="3" t="s">
        <v>95</v>
      </c>
      <c r="C112" s="3" t="s">
        <v>86</v>
      </c>
      <c r="D112" s="2" t="str">
        <f>Tabla1[[#This Row],[Nombre]]&amp;" "&amp;Tabla1[[#This Row],[Apellido]]</f>
        <v>Ricardo Vargas</v>
      </c>
      <c r="E112" s="3" t="s">
        <v>19</v>
      </c>
      <c r="F112" s="1">
        <v>45219</v>
      </c>
      <c r="G112" s="4">
        <v>1985520</v>
      </c>
      <c r="H112" s="3" t="s">
        <v>65</v>
      </c>
      <c r="I112" s="4">
        <f>Tabla1[[#This Row],[Salario Mensual]]*12</f>
        <v>23826240</v>
      </c>
    </row>
    <row r="113" spans="1:9" hidden="1" x14ac:dyDescent="0.3">
      <c r="A113" s="3">
        <v>120</v>
      </c>
      <c r="B113" s="3" t="s">
        <v>95</v>
      </c>
      <c r="C113" s="3" t="s">
        <v>61</v>
      </c>
      <c r="D113" s="2" t="str">
        <f>Tabla1[[#This Row],[Nombre]]&amp;" "&amp;Tabla1[[#This Row],[Apellido]]</f>
        <v>Ricardo Nieto</v>
      </c>
      <c r="E113" s="3" t="s">
        <v>2</v>
      </c>
      <c r="F113" s="1">
        <v>44658</v>
      </c>
      <c r="G113" s="4">
        <v>1576938</v>
      </c>
      <c r="H113" s="3" t="s">
        <v>12</v>
      </c>
      <c r="I113" s="4">
        <f>Tabla1[[#This Row],[Salario Mensual]]*12</f>
        <v>18923256</v>
      </c>
    </row>
    <row r="114" spans="1:9" hidden="1" x14ac:dyDescent="0.3">
      <c r="A114" s="3">
        <v>121</v>
      </c>
      <c r="B114" s="3" t="s">
        <v>98</v>
      </c>
      <c r="C114" s="3" t="s">
        <v>86</v>
      </c>
      <c r="D114" s="2" t="str">
        <f>Tabla1[[#This Row],[Nombre]]&amp;" "&amp;Tabla1[[#This Row],[Apellido]]</f>
        <v>Ramiro Vargas</v>
      </c>
      <c r="E114" s="3" t="s">
        <v>2</v>
      </c>
      <c r="F114" s="1">
        <v>44167</v>
      </c>
      <c r="G114" s="4">
        <v>20000000</v>
      </c>
      <c r="H114" s="3" t="s">
        <v>12</v>
      </c>
      <c r="I114" s="4">
        <f>Tabla1[[#This Row],[Salario Mensual]]*12</f>
        <v>240000000</v>
      </c>
    </row>
    <row r="115" spans="1:9" hidden="1" x14ac:dyDescent="0.3">
      <c r="A115" s="3">
        <v>122</v>
      </c>
      <c r="B115" s="3" t="s">
        <v>60</v>
      </c>
      <c r="C115" s="3" t="s">
        <v>46</v>
      </c>
      <c r="D115" s="2" t="str">
        <f>Tabla1[[#This Row],[Nombre]]&amp;" "&amp;Tabla1[[#This Row],[Apellido]]</f>
        <v>Daniela Gómez</v>
      </c>
      <c r="E115" s="3" t="s">
        <v>19</v>
      </c>
      <c r="F115" s="1">
        <v>43980</v>
      </c>
      <c r="G115" s="4">
        <v>22000000</v>
      </c>
      <c r="H115" s="3" t="s">
        <v>65</v>
      </c>
      <c r="I115" s="4">
        <f>Tabla1[[#This Row],[Salario Mensual]]*12</f>
        <v>264000000</v>
      </c>
    </row>
    <row r="116" spans="1:9" hidden="1" x14ac:dyDescent="0.3">
      <c r="A116" s="3">
        <v>123</v>
      </c>
      <c r="B116" s="3" t="s">
        <v>60</v>
      </c>
      <c r="C116" s="3" t="s">
        <v>63</v>
      </c>
      <c r="D116" s="2" t="str">
        <f>Tabla1[[#This Row],[Nombre]]&amp;" "&amp;Tabla1[[#This Row],[Apellido]]</f>
        <v>Daniela Quintero</v>
      </c>
      <c r="E116" s="3" t="s">
        <v>2</v>
      </c>
      <c r="F116" s="1">
        <v>44800</v>
      </c>
      <c r="G116" s="4">
        <v>2082415</v>
      </c>
      <c r="H116" s="3" t="s">
        <v>12</v>
      </c>
      <c r="I116" s="4">
        <f>Tabla1[[#This Row],[Salario Mensual]]*12</f>
        <v>24988980</v>
      </c>
    </row>
    <row r="117" spans="1:9" hidden="1" x14ac:dyDescent="0.3">
      <c r="A117" s="3">
        <v>124</v>
      </c>
      <c r="B117" s="3" t="s">
        <v>58</v>
      </c>
      <c r="C117" s="3" t="s">
        <v>86</v>
      </c>
      <c r="D117" s="2" t="str">
        <f>Tabla1[[#This Row],[Nombre]]&amp;" "&amp;Tabla1[[#This Row],[Apellido]]</f>
        <v>Susana Vargas</v>
      </c>
      <c r="E117" s="3" t="s">
        <v>11</v>
      </c>
      <c r="F117" s="1">
        <v>43900</v>
      </c>
      <c r="G117" s="4">
        <v>2732652</v>
      </c>
      <c r="H117" s="3" t="s">
        <v>65</v>
      </c>
      <c r="I117" s="4">
        <f>Tabla1[[#This Row],[Salario Mensual]]*12</f>
        <v>32791824</v>
      </c>
    </row>
    <row r="118" spans="1:9" hidden="1" x14ac:dyDescent="0.3">
      <c r="A118" s="3">
        <v>125</v>
      </c>
      <c r="B118" s="3" t="s">
        <v>82</v>
      </c>
      <c r="C118" s="3" t="s">
        <v>63</v>
      </c>
      <c r="D118" s="2" t="str">
        <f>Tabla1[[#This Row],[Nombre]]&amp;" "&amp;Tabla1[[#This Row],[Apellido]]</f>
        <v>Felipe Quintero</v>
      </c>
      <c r="E118" s="3" t="s">
        <v>5</v>
      </c>
      <c r="F118" s="1">
        <v>44474</v>
      </c>
      <c r="G118" s="4">
        <v>1660745</v>
      </c>
      <c r="H118" s="3" t="s">
        <v>12</v>
      </c>
      <c r="I118" s="4">
        <f>Tabla1[[#This Row],[Salario Mensual]]*12</f>
        <v>19928940</v>
      </c>
    </row>
    <row r="119" spans="1:9" x14ac:dyDescent="0.3">
      <c r="A119" s="3">
        <v>126</v>
      </c>
      <c r="B119" s="3" t="s">
        <v>67</v>
      </c>
      <c r="C119" s="3" t="s">
        <v>55</v>
      </c>
      <c r="D119" s="2" t="str">
        <f>Tabla1[[#This Row],[Nombre]]&amp;" "&amp;Tabla1[[#This Row],[Apellido]]</f>
        <v>Lina Mendoza</v>
      </c>
      <c r="E119" s="3" t="s">
        <v>2</v>
      </c>
      <c r="F119" s="1">
        <v>45084</v>
      </c>
      <c r="G119" s="4">
        <v>26000000</v>
      </c>
      <c r="H119" s="3" t="s">
        <v>65</v>
      </c>
      <c r="I119" s="4">
        <f>Tabla1[[#This Row],[Salario Mensual]]*12</f>
        <v>312000000</v>
      </c>
    </row>
    <row r="120" spans="1:9" hidden="1" x14ac:dyDescent="0.3">
      <c r="A120" s="3">
        <v>127</v>
      </c>
      <c r="B120" s="3" t="s">
        <v>99</v>
      </c>
      <c r="C120" s="3" t="s">
        <v>62</v>
      </c>
      <c r="D120" s="2" t="str">
        <f>Tabla1[[#This Row],[Nombre]]&amp;" "&amp;Tabla1[[#This Row],[Apellido]]</f>
        <v>Federico Torres</v>
      </c>
      <c r="E120" s="3" t="s">
        <v>19</v>
      </c>
      <c r="F120" s="1">
        <v>44894</v>
      </c>
      <c r="G120" s="4">
        <v>1612697</v>
      </c>
      <c r="H120" s="3" t="s">
        <v>65</v>
      </c>
      <c r="I120" s="4">
        <f>Tabla1[[#This Row],[Salario Mensual]]*12</f>
        <v>19352364</v>
      </c>
    </row>
    <row r="121" spans="1:9" x14ac:dyDescent="0.3">
      <c r="A121" s="3">
        <v>128</v>
      </c>
      <c r="B121" s="3" t="s">
        <v>58</v>
      </c>
      <c r="C121" s="3" t="s">
        <v>62</v>
      </c>
      <c r="D121" s="2" t="str">
        <f>Tabla1[[#This Row],[Nombre]]&amp;" "&amp;Tabla1[[#This Row],[Apellido]]</f>
        <v>Susana Torres</v>
      </c>
      <c r="E121" s="3" t="s">
        <v>2</v>
      </c>
      <c r="F121" s="1">
        <v>45134</v>
      </c>
      <c r="G121" s="4">
        <v>26000000</v>
      </c>
      <c r="H121" s="3" t="s">
        <v>65</v>
      </c>
      <c r="I121" s="4">
        <f>Tabla1[[#This Row],[Salario Mensual]]*12</f>
        <v>312000000</v>
      </c>
    </row>
    <row r="122" spans="1:9" hidden="1" x14ac:dyDescent="0.3">
      <c r="A122" s="3">
        <v>129</v>
      </c>
      <c r="B122" s="3" t="s">
        <v>82</v>
      </c>
      <c r="C122" s="3" t="s">
        <v>56</v>
      </c>
      <c r="D122" s="2" t="str">
        <f>Tabla1[[#This Row],[Nombre]]&amp;" "&amp;Tabla1[[#This Row],[Apellido]]</f>
        <v>Felipe Morales</v>
      </c>
      <c r="E122" s="3" t="s">
        <v>19</v>
      </c>
      <c r="F122" s="1">
        <v>45034</v>
      </c>
      <c r="G122" s="4">
        <v>1583573</v>
      </c>
      <c r="H122" s="3" t="s">
        <v>12</v>
      </c>
      <c r="I122" s="4">
        <f>Tabla1[[#This Row],[Salario Mensual]]*12</f>
        <v>19002876</v>
      </c>
    </row>
    <row r="123" spans="1:9" hidden="1" x14ac:dyDescent="0.3">
      <c r="A123" s="3">
        <v>130</v>
      </c>
      <c r="B123" s="3" t="s">
        <v>100</v>
      </c>
      <c r="C123" s="3" t="s">
        <v>59</v>
      </c>
      <c r="D123" s="2" t="str">
        <f>Tabla1[[#This Row],[Nombre]]&amp;" "&amp;Tabla1[[#This Row],[Apellido]]</f>
        <v>Lorena Díaz</v>
      </c>
      <c r="E123" s="3" t="s">
        <v>5</v>
      </c>
      <c r="F123" s="1">
        <v>44186</v>
      </c>
      <c r="G123" s="4">
        <v>2225894</v>
      </c>
      <c r="H123" s="3" t="s">
        <v>12</v>
      </c>
      <c r="I123" s="4">
        <f>Tabla1[[#This Row],[Salario Mensual]]*12</f>
        <v>26710728</v>
      </c>
    </row>
    <row r="124" spans="1:9" hidden="1" x14ac:dyDescent="0.3">
      <c r="A124" s="3">
        <v>131</v>
      </c>
      <c r="B124" s="3" t="s">
        <v>95</v>
      </c>
      <c r="C124" s="3" t="s">
        <v>52</v>
      </c>
      <c r="D124" s="2" t="str">
        <f>Tabla1[[#This Row],[Nombre]]&amp;" "&amp;Tabla1[[#This Row],[Apellido]]</f>
        <v>Ricardo Martínez</v>
      </c>
      <c r="E124" s="3" t="s">
        <v>19</v>
      </c>
      <c r="F124" s="1">
        <v>44727</v>
      </c>
      <c r="G124" s="4">
        <v>20000000</v>
      </c>
      <c r="H124" s="3" t="s">
        <v>65</v>
      </c>
      <c r="I124" s="4">
        <f>Tabla1[[#This Row],[Salario Mensual]]*12</f>
        <v>240000000</v>
      </c>
    </row>
    <row r="125" spans="1:9" hidden="1" x14ac:dyDescent="0.3">
      <c r="A125" s="3">
        <v>132</v>
      </c>
      <c r="B125" s="3" t="s">
        <v>58</v>
      </c>
      <c r="C125" s="3" t="s">
        <v>54</v>
      </c>
      <c r="D125" s="2" t="str">
        <f>Tabla1[[#This Row],[Nombre]]&amp;" "&amp;Tabla1[[#This Row],[Apellido]]</f>
        <v>Susana Ruiz</v>
      </c>
      <c r="E125" s="3" t="s">
        <v>5</v>
      </c>
      <c r="F125" s="1">
        <v>44286</v>
      </c>
      <c r="G125" s="4">
        <v>1839942</v>
      </c>
      <c r="H125" s="3" t="s">
        <v>12</v>
      </c>
      <c r="I125" s="4">
        <f>Tabla1[[#This Row],[Salario Mensual]]*12</f>
        <v>22079304</v>
      </c>
    </row>
    <row r="126" spans="1:9" hidden="1" x14ac:dyDescent="0.3">
      <c r="A126" s="3">
        <v>133</v>
      </c>
      <c r="B126" s="3" t="s">
        <v>79</v>
      </c>
      <c r="C126" s="3" t="s">
        <v>73</v>
      </c>
      <c r="D126" s="2" t="str">
        <f>Tabla1[[#This Row],[Nombre]]&amp;" "&amp;Tabla1[[#This Row],[Apellido]]</f>
        <v>Pedro Castro</v>
      </c>
      <c r="E126" s="3" t="s">
        <v>11</v>
      </c>
      <c r="F126" s="1">
        <v>44109</v>
      </c>
      <c r="G126" s="4">
        <v>1725694</v>
      </c>
      <c r="H126" s="3" t="s">
        <v>12</v>
      </c>
      <c r="I126" s="4">
        <f>Tabla1[[#This Row],[Salario Mensual]]*12</f>
        <v>20708328</v>
      </c>
    </row>
  </sheetData>
  <phoneticPr fontId="1" type="noConversion"/>
  <pageMargins left="0.75" right="0.75" top="1" bottom="1" header="0.5" footer="0.5"/>
  <headerFooter>
    <oddHeader>&amp;L&amp;"Aptos"&amp;6&amp;K0000FF Documento/Email Para uso compartido Público&amp;1#_x000D_</oddHeader>
  </headerFooter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AD02DD-2ECF-4231-B194-4C1774619CA8}">
  <dimension ref="B1:C7"/>
  <sheetViews>
    <sheetView workbookViewId="0">
      <selection activeCell="C7" sqref="C7"/>
    </sheetView>
  </sheetViews>
  <sheetFormatPr baseColWidth="10" defaultColWidth="11.44140625" defaultRowHeight="14.4" x14ac:dyDescent="0.3"/>
  <cols>
    <col min="2" max="3" width="15.44140625" customWidth="1"/>
  </cols>
  <sheetData>
    <row r="1" spans="2:3" x14ac:dyDescent="0.3">
      <c r="B1" s="10" t="s">
        <v>118</v>
      </c>
      <c r="C1" s="10"/>
    </row>
    <row r="2" spans="2:3" x14ac:dyDescent="0.3">
      <c r="B2" s="11" t="s">
        <v>116</v>
      </c>
      <c r="C2" s="11" t="s">
        <v>117</v>
      </c>
    </row>
    <row r="3" spans="2:3" x14ac:dyDescent="0.3">
      <c r="B3" s="9" t="s">
        <v>111</v>
      </c>
      <c r="C3" s="12">
        <f>SUM(Tabla1[Salario Mensual])</f>
        <v>773415573</v>
      </c>
    </row>
    <row r="4" spans="2:3" x14ac:dyDescent="0.3">
      <c r="B4" s="9" t="s">
        <v>112</v>
      </c>
      <c r="C4" s="12">
        <f>AVERAGE(Tabla1[Salario Mensual])</f>
        <v>6187324.5839999998</v>
      </c>
    </row>
    <row r="5" spans="2:3" x14ac:dyDescent="0.3">
      <c r="B5" s="9" t="s">
        <v>113</v>
      </c>
      <c r="C5" s="12">
        <f>MEDIAN(Datos_Empleados!G2:G126)</f>
        <v>2300000</v>
      </c>
    </row>
    <row r="6" spans="2:3" x14ac:dyDescent="0.3">
      <c r="B6" s="9" t="s">
        <v>114</v>
      </c>
      <c r="C6" s="12">
        <f>MAX(Datos_Empleados!G2:G126)</f>
        <v>30000000</v>
      </c>
    </row>
    <row r="7" spans="2:3" x14ac:dyDescent="0.3">
      <c r="B7" s="9" t="s">
        <v>115</v>
      </c>
      <c r="C7" s="12">
        <f>MIN(Datos_Empleados!G2:G126)</f>
        <v>1533086</v>
      </c>
    </row>
  </sheetData>
  <mergeCells count="1">
    <mergeCell ref="B1:C1"/>
  </mergeCells>
  <pageMargins left="0.7" right="0.7" top="0.75" bottom="0.75" header="0.3" footer="0.3"/>
  <headerFooter>
    <oddHeader>&amp;L&amp;"Aptos"&amp;6&amp;K0000FF Documento/Email Para uso compartido Público&amp;1#_x000D_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8FA0BF-9887-4414-9942-CDC02B9D047D}">
  <dimension ref="B3:G14"/>
  <sheetViews>
    <sheetView tabSelected="1" workbookViewId="0">
      <selection activeCell="G11" sqref="G11"/>
    </sheetView>
  </sheetViews>
  <sheetFormatPr baseColWidth="10" defaultColWidth="11.44140625" defaultRowHeight="14.4" x14ac:dyDescent="0.3"/>
  <cols>
    <col min="2" max="2" width="17" customWidth="1"/>
    <col min="3" max="3" width="20.77734375" customWidth="1"/>
    <col min="6" max="7" width="18.5546875" customWidth="1"/>
  </cols>
  <sheetData>
    <row r="3" spans="2:7" x14ac:dyDescent="0.3">
      <c r="B3" s="8" t="s">
        <v>119</v>
      </c>
      <c r="C3" s="8"/>
    </row>
    <row r="4" spans="2:7" x14ac:dyDescent="0.3">
      <c r="B4" s="14" t="s">
        <v>104</v>
      </c>
      <c r="C4" s="14" t="s">
        <v>117</v>
      </c>
      <c r="F4" s="14" t="s">
        <v>104</v>
      </c>
      <c r="G4" s="14" t="s">
        <v>121</v>
      </c>
    </row>
    <row r="5" spans="2:7" x14ac:dyDescent="0.3">
      <c r="B5" s="9" t="s">
        <v>12</v>
      </c>
      <c r="C5" s="13">
        <v>464331756</v>
      </c>
      <c r="F5" s="9" t="s">
        <v>12</v>
      </c>
      <c r="G5" s="9">
        <v>77</v>
      </c>
    </row>
    <row r="6" spans="2:7" x14ac:dyDescent="0.3">
      <c r="B6" s="9" t="s">
        <v>65</v>
      </c>
      <c r="C6" s="13">
        <v>309083817</v>
      </c>
      <c r="F6" s="9" t="s">
        <v>65</v>
      </c>
      <c r="G6" s="9">
        <v>48</v>
      </c>
    </row>
    <row r="7" spans="2:7" x14ac:dyDescent="0.3">
      <c r="B7" s="15"/>
      <c r="C7" s="16"/>
    </row>
    <row r="8" spans="2:7" x14ac:dyDescent="0.3">
      <c r="B8" s="15"/>
      <c r="C8" s="16"/>
    </row>
    <row r="9" spans="2:7" x14ac:dyDescent="0.3">
      <c r="B9" s="17" t="s">
        <v>120</v>
      </c>
      <c r="C9" s="17"/>
    </row>
    <row r="10" spans="2:7" x14ac:dyDescent="0.3">
      <c r="B10" s="14" t="s">
        <v>103</v>
      </c>
      <c r="C10" s="14" t="s">
        <v>117</v>
      </c>
      <c r="F10" s="14" t="s">
        <v>103</v>
      </c>
      <c r="G10" s="14" t="s">
        <v>121</v>
      </c>
    </row>
    <row r="11" spans="2:7" x14ac:dyDescent="0.3">
      <c r="B11" s="9" t="s">
        <v>5</v>
      </c>
      <c r="C11" s="13">
        <v>123825691</v>
      </c>
      <c r="F11" s="9" t="s">
        <v>2</v>
      </c>
      <c r="G11" s="9">
        <v>13</v>
      </c>
    </row>
    <row r="12" spans="2:7" x14ac:dyDescent="0.3">
      <c r="B12" s="9" t="s">
        <v>2</v>
      </c>
      <c r="C12" s="13">
        <v>91796065</v>
      </c>
      <c r="F12" s="9" t="s">
        <v>5</v>
      </c>
      <c r="G12" s="9">
        <v>18</v>
      </c>
    </row>
    <row r="13" spans="2:7" x14ac:dyDescent="0.3">
      <c r="B13" s="9" t="s">
        <v>19</v>
      </c>
      <c r="C13" s="13">
        <v>85613299</v>
      </c>
      <c r="F13" s="9" t="s">
        <v>19</v>
      </c>
      <c r="G13" s="9">
        <v>13</v>
      </c>
    </row>
    <row r="14" spans="2:7" x14ac:dyDescent="0.3">
      <c r="B14" s="9" t="s">
        <v>11</v>
      </c>
      <c r="C14" s="13">
        <v>7848762</v>
      </c>
      <c r="F14" s="9" t="s">
        <v>11</v>
      </c>
      <c r="G14" s="9">
        <v>4</v>
      </c>
    </row>
  </sheetData>
  <mergeCells count="2">
    <mergeCell ref="B3:C3"/>
    <mergeCell ref="B9:C9"/>
  </mergeCells>
  <pageMargins left="0.7" right="0.7" top="0.75" bottom="0.75" header="0.3" footer="0.3"/>
  <headerFooter>
    <oddHeader>&amp;L&amp;"Aptos"&amp;6&amp;K0000FF Documento/Email Para uso compartido Público&amp;1#_x000D_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8A59FC84F9EFD546922C507B8EF15DA0" ma:contentTypeVersion="16" ma:contentTypeDescription="Crear nuevo documento." ma:contentTypeScope="" ma:versionID="ad6b85bd48f317c14903285e13f19844">
  <xsd:schema xmlns:xsd="http://www.w3.org/2001/XMLSchema" xmlns:xs="http://www.w3.org/2001/XMLSchema" xmlns:p="http://schemas.microsoft.com/office/2006/metadata/properties" xmlns:ns2="277a6852-adcf-40cb-8631-74894d954a66" xmlns:ns3="f15c2c00-bd65-4534-9c28-299cad06bae7" targetNamespace="http://schemas.microsoft.com/office/2006/metadata/properties" ma:root="true" ma:fieldsID="ce4a255778be4a44cf08a508c58aa744" ns2:_="" ns3:_="">
    <xsd:import namespace="277a6852-adcf-40cb-8631-74894d954a66"/>
    <xsd:import namespace="f15c2c00-bd65-4534-9c28-299cad06ba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MediaServiceDateTaken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lcf76f155ced4ddcb4097134ff3c332f" minOccurs="0"/>
                <xsd:element ref="ns2:TaxCatchAll" minOccurs="0"/>
                <xsd:element ref="ns3:MediaServiceOCR" minOccurs="0"/>
                <xsd:element ref="ns3:MediaServiceLocation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77a6852-adcf-40cb-8631-74894d954a66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e6828073-d3d8-4d2b-8072-2029c8ea2567}" ma:internalName="TaxCatchAll" ma:showField="CatchAllData" ma:web="277a6852-adcf-40cb-8631-74894d954a6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15c2c00-bd65-4534-9c28-299cad06bae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Etiquetas de imagen" ma:readOnly="false" ma:fieldId="{5cf76f15-5ced-4ddc-b409-7134ff3c332f}" ma:taxonomyMulti="true" ma:sspId="15f7197d-fdf9-4056-a817-646141ae8b8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277a6852-adcf-40cb-8631-74894d954a66" xsi:nil="true"/>
    <lcf76f155ced4ddcb4097134ff3c332f xmlns="f15c2c00-bd65-4534-9c28-299cad06bae7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7D4143A-A432-46CF-8661-B5D4475565F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77a6852-adcf-40cb-8631-74894d954a66"/>
    <ds:schemaRef ds:uri="f15c2c00-bd65-4534-9c28-299cad06bae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8A2E6570-E60F-4E98-BF4E-31EA6CDA1EE3}">
  <ds:schemaRefs>
    <ds:schemaRef ds:uri="http://schemas.microsoft.com/office/2006/metadata/properties"/>
    <ds:schemaRef ds:uri="http://schemas.microsoft.com/office/infopath/2007/PartnerControls"/>
    <ds:schemaRef ds:uri="277a6852-adcf-40cb-8631-74894d954a66"/>
    <ds:schemaRef ds:uri="f15c2c00-bd65-4534-9c28-299cad06bae7"/>
  </ds:schemaRefs>
</ds:datastoreItem>
</file>

<file path=customXml/itemProps3.xml><?xml version="1.0" encoding="utf-8"?>
<ds:datastoreItem xmlns:ds="http://schemas.openxmlformats.org/officeDocument/2006/customXml" ds:itemID="{CC26A4B2-9F95-43D7-AEA2-26B3C9EAED36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Datos_Empleados</vt:lpstr>
      <vt:lpstr>Cálculos_Básicos</vt:lpstr>
      <vt:lpstr>Resumen_General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Jheison Silva</cp:lastModifiedBy>
  <cp:revision/>
  <dcterms:created xsi:type="dcterms:W3CDTF">2025-11-17T19:08:43Z</dcterms:created>
  <dcterms:modified xsi:type="dcterms:W3CDTF">2026-06-24T06:23:29Z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0x0101008A59FC84F9EFD546922C507B8EF15DA0</vt:lpwstr>
  </property>
  <property fmtid="{D5CDD505-2E9C-101B-9397-08002B2CF9AE}" pid="3" name="Order">
    <vt:r8>8400</vt:r8>
  </property>
  <property fmtid="{D5CDD505-2E9C-101B-9397-08002B2CF9AE}" pid="4" name="_ExtendedDescription">
    <vt:lpwstr/>
  </property>
  <property fmtid="{D5CDD505-2E9C-101B-9397-08002B2CF9AE}" pid="5" name="TriggerFlowInfo">
    <vt:lpwstr/>
  </property>
  <property fmtid="{D5CDD505-2E9C-101B-9397-08002B2CF9AE}" pid="6" name="_SourceUrl">
    <vt:lpwstr/>
  </property>
  <property fmtid="{D5CDD505-2E9C-101B-9397-08002B2CF9AE}" pid="7" name="_SharedFileIndex">
    <vt:lpwstr/>
  </property>
  <property fmtid="{D5CDD505-2E9C-101B-9397-08002B2CF9AE}" pid="8" name="ComplianceAssetId">
    <vt:lpwstr/>
  </property>
  <property fmtid="{D5CDD505-2E9C-101B-9397-08002B2CF9AE}" pid="9" name="MediaServiceImageTags">
    <vt:lpwstr/>
  </property>
  <property fmtid="{D5CDD505-2E9C-101B-9397-08002B2CF9AE}" pid="10" name="MSIP_Label_ca16bf0e-3932-49f1-98f1-b60824e1d0e4_Enabled">
    <vt:lpwstr>true</vt:lpwstr>
  </property>
  <property fmtid="{D5CDD505-2E9C-101B-9397-08002B2CF9AE}" pid="11" name="MSIP_Label_ca16bf0e-3932-49f1-98f1-b60824e1d0e4_SetDate">
    <vt:lpwstr>2026-01-30T20:36:43Z</vt:lpwstr>
  </property>
  <property fmtid="{D5CDD505-2E9C-101B-9397-08002B2CF9AE}" pid="12" name="MSIP_Label_ca16bf0e-3932-49f1-98f1-b60824e1d0e4_Method">
    <vt:lpwstr>Privileged</vt:lpwstr>
  </property>
  <property fmtid="{D5CDD505-2E9C-101B-9397-08002B2CF9AE}" pid="13" name="MSIP_Label_ca16bf0e-3932-49f1-98f1-b60824e1d0e4_Name">
    <vt:lpwstr>Confidencialidad_documentos</vt:lpwstr>
  </property>
  <property fmtid="{D5CDD505-2E9C-101B-9397-08002B2CF9AE}" pid="14" name="MSIP_Label_ca16bf0e-3932-49f1-98f1-b60824e1d0e4_SiteId">
    <vt:lpwstr>81f7f119-7d67-4738-b748-dc0811d44c1f</vt:lpwstr>
  </property>
  <property fmtid="{D5CDD505-2E9C-101B-9397-08002B2CF9AE}" pid="15" name="MSIP_Label_ca16bf0e-3932-49f1-98f1-b60824e1d0e4_ActionId">
    <vt:lpwstr>e686507d-c9d9-4803-a34d-7319573f5db9</vt:lpwstr>
  </property>
  <property fmtid="{D5CDD505-2E9C-101B-9397-08002B2CF9AE}" pid="16" name="MSIP_Label_ca16bf0e-3932-49f1-98f1-b60824e1d0e4_ContentBits">
    <vt:lpwstr>1</vt:lpwstr>
  </property>
  <property fmtid="{D5CDD505-2E9C-101B-9397-08002B2CF9AE}" pid="17" name="MSIP_Label_ca16bf0e-3932-49f1-98f1-b60824e1d0e4_Tag">
    <vt:lpwstr>10, 0, 1, 2</vt:lpwstr>
  </property>
</Properties>
</file>