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timelineCaches/timelineCache3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timelines/timeline3.xml" ContentType="application/vnd.ms-excel.timelin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slicers/slicer4.xml" ContentType="application/vnd.ms-excel.slicer+xml"/>
  <Override PartName="/xl/timelines/timeline4.xml" ContentType="application/vnd.ms-excel.timelin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URSOS\CET-Colcubsidio\Fundamentos para el analisis y organización de datos\Ejercicios\"/>
    </mc:Choice>
  </mc:AlternateContent>
  <xr:revisionPtr revIDLastSave="0" documentId="13_ncr:1_{9A496F16-1E1B-405F-8B45-A0B4F7599E05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Inventario_Libros" sheetId="1" r:id="rId1"/>
    <sheet name="Prestamos" sheetId="2" r:id="rId2"/>
    <sheet name="Hoja1" sheetId="7" r:id="rId3"/>
    <sheet name="DashBoard" sheetId="8" r:id="rId4"/>
    <sheet name="Hoja1 (2)" sheetId="13" r:id="rId5"/>
    <sheet name="Hoja2" sheetId="14" r:id="rId6"/>
    <sheet name="DashBoard (2)" sheetId="15" r:id="rId7"/>
  </sheets>
  <externalReferences>
    <externalReference r:id="rId8"/>
  </externalReferences>
  <definedNames>
    <definedName name="_xlnm._FilterDatabase" localSheetId="0" hidden="1">Inventario_Libros!$A$1:$H$201</definedName>
    <definedName name="_xlnm._FilterDatabase" localSheetId="1" hidden="1">Prestamos!$A$1:$H$601</definedName>
    <definedName name="NativeTimeline_Fecha">#N/A</definedName>
    <definedName name="NativeTimeline_Fecha_Préstamo">#N/A</definedName>
    <definedName name="NativeTimeline_Fecha1">#N/A</definedName>
    <definedName name="SegmentaciónDeDatos_Días_Retraso_Reportados">#N/A</definedName>
    <definedName name="SegmentaciónDeDatos_Fp">#N/A</definedName>
    <definedName name="SegmentaciónDeDatos_Fp1">#N/A</definedName>
  </definedNames>
  <calcPr calcId="191028"/>
  <pivotCaches>
    <pivotCache cacheId="0" r:id="rId9"/>
    <pivotCache cacheId="2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4"/>
        <x15:timelineCacheRef r:id="rId15"/>
        <x15:timelineCacheRef r:id="rId1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I3" i="2"/>
  <c r="I2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B57" i="7"/>
</calcChain>
</file>

<file path=xl/sharedStrings.xml><?xml version="1.0" encoding="utf-8"?>
<sst xmlns="http://schemas.openxmlformats.org/spreadsheetml/2006/main" count="5388" uniqueCount="1257">
  <si>
    <t>ID Libro</t>
  </si>
  <si>
    <t>Título</t>
  </si>
  <si>
    <t>Autor</t>
  </si>
  <si>
    <t>Categoría</t>
  </si>
  <si>
    <t>Año Publicación</t>
  </si>
  <si>
    <t>Número de Copias</t>
  </si>
  <si>
    <t>Estantería</t>
  </si>
  <si>
    <t>Estado</t>
  </si>
  <si>
    <t>LB1001</t>
  </si>
  <si>
    <t>Homero</t>
  </si>
  <si>
    <t>Clásicos</t>
  </si>
  <si>
    <t>Activo</t>
  </si>
  <si>
    <t>LB1002</t>
  </si>
  <si>
    <t>Gabriel García Márquez</t>
  </si>
  <si>
    <t>Novela</t>
  </si>
  <si>
    <t>LB1003</t>
  </si>
  <si>
    <t>A-1</t>
  </si>
  <si>
    <t>LB1004</t>
  </si>
  <si>
    <t>William Shakespeare</t>
  </si>
  <si>
    <t>LB1005</t>
  </si>
  <si>
    <t>B-2</t>
  </si>
  <si>
    <t>LB1006</t>
  </si>
  <si>
    <t>Carlos Ruiz Zafón</t>
  </si>
  <si>
    <t>Misterio</t>
  </si>
  <si>
    <t>LB1007</t>
  </si>
  <si>
    <t>Ficciones</t>
  </si>
  <si>
    <t>Jorge Luis Borges</t>
  </si>
  <si>
    <t>LB1008</t>
  </si>
  <si>
    <t>LB1009</t>
  </si>
  <si>
    <t>El Aleph</t>
  </si>
  <si>
    <t>Retirado</t>
  </si>
  <si>
    <t>LB1010</t>
  </si>
  <si>
    <t>La Odisea</t>
  </si>
  <si>
    <t>LB1011</t>
  </si>
  <si>
    <t>La Iliada</t>
  </si>
  <si>
    <t>LB1012</t>
  </si>
  <si>
    <t>LB1013</t>
  </si>
  <si>
    <t>Mario Vargas Llosa</t>
  </si>
  <si>
    <t>LB1014</t>
  </si>
  <si>
    <t>Rayuela</t>
  </si>
  <si>
    <t>Julio Cortázar</t>
  </si>
  <si>
    <t>LB1015</t>
  </si>
  <si>
    <t>LB1016</t>
  </si>
  <si>
    <t>Mario Benedetti</t>
  </si>
  <si>
    <t>LB1017</t>
  </si>
  <si>
    <t>LB1018</t>
  </si>
  <si>
    <t>LB1019</t>
  </si>
  <si>
    <t>1984</t>
  </si>
  <si>
    <t>George Orwell</t>
  </si>
  <si>
    <t>LB1020</t>
  </si>
  <si>
    <t>C-3</t>
  </si>
  <si>
    <t>LB1021</t>
  </si>
  <si>
    <t>LB1022</t>
  </si>
  <si>
    <t>LB1023</t>
  </si>
  <si>
    <t>LB1024</t>
  </si>
  <si>
    <t>LB1025</t>
  </si>
  <si>
    <t>Roberto Bolaño</t>
  </si>
  <si>
    <t>LB1026</t>
  </si>
  <si>
    <t>LB1027</t>
  </si>
  <si>
    <t>LB1028</t>
  </si>
  <si>
    <t>Harper Lee</t>
  </si>
  <si>
    <t>LB1029</t>
  </si>
  <si>
    <t>LB1030</t>
  </si>
  <si>
    <t>Macbeth</t>
  </si>
  <si>
    <t>LB1031</t>
  </si>
  <si>
    <t>Stephen Hawking</t>
  </si>
  <si>
    <t>LB1032</t>
  </si>
  <si>
    <t>LB1033</t>
  </si>
  <si>
    <t>LB1034</t>
  </si>
  <si>
    <t>LB1035</t>
  </si>
  <si>
    <t>LB1036</t>
  </si>
  <si>
    <t>Ernesto Sabato</t>
  </si>
  <si>
    <t>LB1037</t>
  </si>
  <si>
    <t>Pedro Páramo</t>
  </si>
  <si>
    <t>Juan Rulfo</t>
  </si>
  <si>
    <t>LB1038</t>
  </si>
  <si>
    <t>LB1039</t>
  </si>
  <si>
    <t>LB1040</t>
  </si>
  <si>
    <t>LB1041</t>
  </si>
  <si>
    <t>LB1042</t>
  </si>
  <si>
    <t>LB1043</t>
  </si>
  <si>
    <t>LB1044</t>
  </si>
  <si>
    <t>Kurt Vonnegut</t>
  </si>
  <si>
    <t>LB1045</t>
  </si>
  <si>
    <t>LB1046</t>
  </si>
  <si>
    <t>LB1047</t>
  </si>
  <si>
    <t>LB1048</t>
  </si>
  <si>
    <t>LB1049</t>
  </si>
  <si>
    <t>Dan Brown</t>
  </si>
  <si>
    <t>LB1050</t>
  </si>
  <si>
    <t>LB1051</t>
  </si>
  <si>
    <t>LB1052</t>
  </si>
  <si>
    <t>LB1053</t>
  </si>
  <si>
    <t>LB1054</t>
  </si>
  <si>
    <t>Isabel Allende</t>
  </si>
  <si>
    <t>LB1055</t>
  </si>
  <si>
    <t>LB1056</t>
  </si>
  <si>
    <t>LB1057</t>
  </si>
  <si>
    <t>LB1058</t>
  </si>
  <si>
    <t>LB1059</t>
  </si>
  <si>
    <t>LB1060</t>
  </si>
  <si>
    <t>LB1061</t>
  </si>
  <si>
    <t>LB1062</t>
  </si>
  <si>
    <t>LB1063</t>
  </si>
  <si>
    <t>LB1064</t>
  </si>
  <si>
    <t>LB1065</t>
  </si>
  <si>
    <t>LB1066</t>
  </si>
  <si>
    <t>LB1067</t>
  </si>
  <si>
    <t>LB1068</t>
  </si>
  <si>
    <t>LB1069</t>
  </si>
  <si>
    <t>LB1070</t>
  </si>
  <si>
    <t>LB1071</t>
  </si>
  <si>
    <t>LB1072</t>
  </si>
  <si>
    <t>LB1073</t>
  </si>
  <si>
    <t>LB1074</t>
  </si>
  <si>
    <t>LB1075</t>
  </si>
  <si>
    <t>LB1076</t>
  </si>
  <si>
    <t>LB1077</t>
  </si>
  <si>
    <t>LB1078</t>
  </si>
  <si>
    <t>LB1079</t>
  </si>
  <si>
    <t>LB1080</t>
  </si>
  <si>
    <t>LB1081</t>
  </si>
  <si>
    <t>LB1082</t>
  </si>
  <si>
    <t>LB1083</t>
  </si>
  <si>
    <t>Hamlet</t>
  </si>
  <si>
    <t>LB1084</t>
  </si>
  <si>
    <t>LB1085</t>
  </si>
  <si>
    <t>LB1086</t>
  </si>
  <si>
    <t>Jane Austen</t>
  </si>
  <si>
    <t>LB1087</t>
  </si>
  <si>
    <t>LB1088</t>
  </si>
  <si>
    <t>LB1089</t>
  </si>
  <si>
    <t>LB1090</t>
  </si>
  <si>
    <t>LB1091</t>
  </si>
  <si>
    <t>Matadero Cinco</t>
  </si>
  <si>
    <t>LB1092</t>
  </si>
  <si>
    <t>LB1093</t>
  </si>
  <si>
    <t>LB1094</t>
  </si>
  <si>
    <t>LB1095</t>
  </si>
  <si>
    <t>LB1096</t>
  </si>
  <si>
    <t>LB1097</t>
  </si>
  <si>
    <t>LB1098</t>
  </si>
  <si>
    <t>LB1099</t>
  </si>
  <si>
    <t>LB1100</t>
  </si>
  <si>
    <t>LB1101</t>
  </si>
  <si>
    <t>LB1102</t>
  </si>
  <si>
    <t>LB1103</t>
  </si>
  <si>
    <t>LB1104</t>
  </si>
  <si>
    <t>LB1105</t>
  </si>
  <si>
    <t>LB1106</t>
  </si>
  <si>
    <t>LB1107</t>
  </si>
  <si>
    <t>LB1108</t>
  </si>
  <si>
    <t>LB1109</t>
  </si>
  <si>
    <t>LB1110</t>
  </si>
  <si>
    <t>LB1111</t>
  </si>
  <si>
    <t>LB1112</t>
  </si>
  <si>
    <t>LB1113</t>
  </si>
  <si>
    <t>LB1114</t>
  </si>
  <si>
    <t>LB1115</t>
  </si>
  <si>
    <t>LB1116</t>
  </si>
  <si>
    <t>LB1117</t>
  </si>
  <si>
    <t>LB1118</t>
  </si>
  <si>
    <t>LB1119</t>
  </si>
  <si>
    <t>LB1120</t>
  </si>
  <si>
    <t>LB1121</t>
  </si>
  <si>
    <t>LB1122</t>
  </si>
  <si>
    <t>LB1123</t>
  </si>
  <si>
    <t>LB1124</t>
  </si>
  <si>
    <t>LB1125</t>
  </si>
  <si>
    <t>LB1126</t>
  </si>
  <si>
    <t>LB1127</t>
  </si>
  <si>
    <t>LB1128</t>
  </si>
  <si>
    <t>LB1129</t>
  </si>
  <si>
    <t>LB1130</t>
  </si>
  <si>
    <t>LB1131</t>
  </si>
  <si>
    <t>LB1132</t>
  </si>
  <si>
    <t>LB1133</t>
  </si>
  <si>
    <t>LB1134</t>
  </si>
  <si>
    <t>LB1135</t>
  </si>
  <si>
    <t>LB1136</t>
  </si>
  <si>
    <t>LB1137</t>
  </si>
  <si>
    <t>LB1138</t>
  </si>
  <si>
    <t>LB1139</t>
  </si>
  <si>
    <t>LB1140</t>
  </si>
  <si>
    <t>LB1141</t>
  </si>
  <si>
    <t>LB1142</t>
  </si>
  <si>
    <t>LB1143</t>
  </si>
  <si>
    <t>LB1144</t>
  </si>
  <si>
    <t>LB1145</t>
  </si>
  <si>
    <t>LB1146</t>
  </si>
  <si>
    <t>LB1147</t>
  </si>
  <si>
    <t>LB1148</t>
  </si>
  <si>
    <t>LB1149</t>
  </si>
  <si>
    <t>LB1150</t>
  </si>
  <si>
    <t>LB1151</t>
  </si>
  <si>
    <t>LB1152</t>
  </si>
  <si>
    <t>LB1153</t>
  </si>
  <si>
    <t>LB1154</t>
  </si>
  <si>
    <t>LB1155</t>
  </si>
  <si>
    <t>LB1156</t>
  </si>
  <si>
    <t>LB1157</t>
  </si>
  <si>
    <t>LB1158</t>
  </si>
  <si>
    <t>LB1159</t>
  </si>
  <si>
    <t>LB1160</t>
  </si>
  <si>
    <t>LB1161</t>
  </si>
  <si>
    <t>LB1162</t>
  </si>
  <si>
    <t>LB1163</t>
  </si>
  <si>
    <t>LB1164</t>
  </si>
  <si>
    <t>LB1165</t>
  </si>
  <si>
    <t>LB1166</t>
  </si>
  <si>
    <t>LB1167</t>
  </si>
  <si>
    <t>LB1168</t>
  </si>
  <si>
    <t>LB1169</t>
  </si>
  <si>
    <t>LB1170</t>
  </si>
  <si>
    <t>LB1171</t>
  </si>
  <si>
    <t>LB1172</t>
  </si>
  <si>
    <t>LB1173</t>
  </si>
  <si>
    <t>LB1174</t>
  </si>
  <si>
    <t>LB1175</t>
  </si>
  <si>
    <t>LB1176</t>
  </si>
  <si>
    <t>LB1177</t>
  </si>
  <si>
    <t>LB1178</t>
  </si>
  <si>
    <t>LB1179</t>
  </si>
  <si>
    <t>LB1180</t>
  </si>
  <si>
    <t>LB1181</t>
  </si>
  <si>
    <t>LB1182</t>
  </si>
  <si>
    <t>LB1183</t>
  </si>
  <si>
    <t>LB1184</t>
  </si>
  <si>
    <t>LB1185</t>
  </si>
  <si>
    <t>LB1186</t>
  </si>
  <si>
    <t>LB1187</t>
  </si>
  <si>
    <t>LB1188</t>
  </si>
  <si>
    <t>LB1189</t>
  </si>
  <si>
    <t>LB1190</t>
  </si>
  <si>
    <t>LB1191</t>
  </si>
  <si>
    <t>LB1192</t>
  </si>
  <si>
    <t>LB1193</t>
  </si>
  <si>
    <t>LB1194</t>
  </si>
  <si>
    <t>LB1195</t>
  </si>
  <si>
    <t>LB1196</t>
  </si>
  <si>
    <t>LB1197</t>
  </si>
  <si>
    <t>LB1198</t>
  </si>
  <si>
    <t>LB1199</t>
  </si>
  <si>
    <t>LB1200</t>
  </si>
  <si>
    <t>ID Préstamo</t>
  </si>
  <si>
    <t>Fecha Préstamo</t>
  </si>
  <si>
    <t>Fecha Devolución</t>
  </si>
  <si>
    <t>Nombre Usuario</t>
  </si>
  <si>
    <t>Tipo Usuario</t>
  </si>
  <si>
    <t>Estado Préstamo</t>
  </si>
  <si>
    <t>Días Retraso Reportados</t>
  </si>
  <si>
    <t>Jorge Ibáñez</t>
  </si>
  <si>
    <t>Otros</t>
  </si>
  <si>
    <t>Devuelto</t>
  </si>
  <si>
    <t>Noelia Martín</t>
  </si>
  <si>
    <t>Estudiante</t>
  </si>
  <si>
    <t>Andrés Gómez</t>
  </si>
  <si>
    <t>Retrasado</t>
  </si>
  <si>
    <t>Universidad</t>
  </si>
  <si>
    <t>Camila Álvarez</t>
  </si>
  <si>
    <t>Diego Gómez</t>
  </si>
  <si>
    <t>Luisa Fernández</t>
  </si>
  <si>
    <t>Andrés Díaz</t>
  </si>
  <si>
    <t>Adulto</t>
  </si>
  <si>
    <t>Ana Gómez</t>
  </si>
  <si>
    <t>Laura Ruiz</t>
  </si>
  <si>
    <t>Felipe Ramírez</t>
  </si>
  <si>
    <t>Sofía Torres</t>
  </si>
  <si>
    <t xml:space="preserve"> Valentina Mora </t>
  </si>
  <si>
    <t>Carolina Rojas</t>
  </si>
  <si>
    <t>Carlos Ruiz</t>
  </si>
  <si>
    <t>Valentina Mora</t>
  </si>
  <si>
    <t>Miguel Ángel</t>
  </si>
  <si>
    <t>Juan Pérez</t>
  </si>
  <si>
    <t>Pablo López</t>
  </si>
  <si>
    <t>Niño</t>
  </si>
  <si>
    <t xml:space="preserve"> Miguel Ángel </t>
  </si>
  <si>
    <t>María López</t>
  </si>
  <si>
    <t>Pedro Sánchez</t>
  </si>
  <si>
    <t>Pendiente</t>
  </si>
  <si>
    <t>0</t>
  </si>
  <si>
    <t xml:space="preserve"> Luisa Fernández </t>
  </si>
  <si>
    <t xml:space="preserve"> Camila Álvarez </t>
  </si>
  <si>
    <t xml:space="preserve"> Carlos Ruiz </t>
  </si>
  <si>
    <t xml:space="preserve"> Andrés Díaz </t>
  </si>
  <si>
    <t xml:space="preserve"> Felipe Ramírez </t>
  </si>
  <si>
    <t xml:space="preserve"> Jorge Ibáñez </t>
  </si>
  <si>
    <t xml:space="preserve"> Ana Gómez </t>
  </si>
  <si>
    <t xml:space="preserve"> Pablo López </t>
  </si>
  <si>
    <t>No Asignado</t>
  </si>
  <si>
    <t>Est-1</t>
  </si>
  <si>
    <t>Lucio Anneo Séneca</t>
  </si>
  <si>
    <t>Filosofía Y Pensamiento</t>
  </si>
  <si>
    <t>Cuentos / Fantasía Metafísica</t>
  </si>
  <si>
    <t>Ciencia Ficción</t>
  </si>
  <si>
    <t>Divulgación Científica / Cosmología</t>
  </si>
  <si>
    <t>Literatura Infantil / Fábula Filosófica</t>
  </si>
  <si>
    <t>Miguel De Cervantes</t>
  </si>
  <si>
    <t>Antoine De Saint-Exupéry</t>
  </si>
  <si>
    <t>El Amor En Los Tiempos Del Cólera</t>
  </si>
  <si>
    <t>Sobre La Felicidad</t>
  </si>
  <si>
    <t>La Sombra Del Viento</t>
  </si>
  <si>
    <t>La Ciudad Y Los Perros</t>
  </si>
  <si>
    <t>La Tregua</t>
  </si>
  <si>
    <t>Crónica De Una Muerte Anunciada</t>
  </si>
  <si>
    <t>Don Quijote De La Mancha</t>
  </si>
  <si>
    <t>Rebelión En La Granja</t>
  </si>
  <si>
    <t>Los Detectives Salvajes</t>
  </si>
  <si>
    <t>Matar A Un Ruiseñor</t>
  </si>
  <si>
    <t>Breve Historia Del Tiempo</t>
  </si>
  <si>
    <t>El Túnel</t>
  </si>
  <si>
    <t>Cien Años De Soledad</t>
  </si>
  <si>
    <t>El Código Da Vinci</t>
  </si>
  <si>
    <t>La Casa De Los Espíritus</t>
  </si>
  <si>
    <t>Orgullo Y Prejuicio</t>
  </si>
  <si>
    <t>El Principito</t>
  </si>
  <si>
    <t xml:space="preserve"> Laura Ruiz </t>
  </si>
  <si>
    <t>Lb1042</t>
  </si>
  <si>
    <t>Lb1098</t>
  </si>
  <si>
    <t>Lb1058</t>
  </si>
  <si>
    <t>Lb1177</t>
  </si>
  <si>
    <t>Lb1059</t>
  </si>
  <si>
    <t>Lb1160</t>
  </si>
  <si>
    <t>Lb1016</t>
  </si>
  <si>
    <t>Lb1007</t>
  </si>
  <si>
    <t>Lb1070</t>
  </si>
  <si>
    <t>Lb1096</t>
  </si>
  <si>
    <t>Lb1151</t>
  </si>
  <si>
    <t>Lb1020</t>
  </si>
  <si>
    <t>Lb1199</t>
  </si>
  <si>
    <t>Lb1099</t>
  </si>
  <si>
    <t>Lb1148</t>
  </si>
  <si>
    <t>Lb1139</t>
  </si>
  <si>
    <t>Lb1003</t>
  </si>
  <si>
    <t>Lb1014</t>
  </si>
  <si>
    <t>Lb1154</t>
  </si>
  <si>
    <t>Lb1194</t>
  </si>
  <si>
    <t>Lb1008</t>
  </si>
  <si>
    <t>Lb1076</t>
  </si>
  <si>
    <t>Lb1092</t>
  </si>
  <si>
    <t>Lb1153</t>
  </si>
  <si>
    <t>Lb1005</t>
  </si>
  <si>
    <t>Lb1017</t>
  </si>
  <si>
    <t>Lb1120</t>
  </si>
  <si>
    <t>Lb1162</t>
  </si>
  <si>
    <t>Lb1038</t>
  </si>
  <si>
    <t>Lb1089</t>
  </si>
  <si>
    <t>Lb1088</t>
  </si>
  <si>
    <t>Lb1152</t>
  </si>
  <si>
    <t>Lb1178</t>
  </si>
  <si>
    <t>Lb1013</t>
  </si>
  <si>
    <t>Lb1185</t>
  </si>
  <si>
    <t>Lb1063</t>
  </si>
  <si>
    <t>Lb1195</t>
  </si>
  <si>
    <t>Lb1055</t>
  </si>
  <si>
    <t>Lb1015</t>
  </si>
  <si>
    <t>Lb1037</t>
  </si>
  <si>
    <t>Lb1091</t>
  </si>
  <si>
    <t>Lb1032</t>
  </si>
  <si>
    <t>Lb1071</t>
  </si>
  <si>
    <t>Lb1189</t>
  </si>
  <si>
    <t>Lb1193</t>
  </si>
  <si>
    <t>Lb1187</t>
  </si>
  <si>
    <t>Lb1186</t>
  </si>
  <si>
    <t>Lb1047</t>
  </si>
  <si>
    <t>Lb1067</t>
  </si>
  <si>
    <t>Lb1117</t>
  </si>
  <si>
    <t>Lb1150</t>
  </si>
  <si>
    <t>Lb1031</t>
  </si>
  <si>
    <t>Lb1084</t>
  </si>
  <si>
    <t>Lb1142</t>
  </si>
  <si>
    <t>Lb1126</t>
  </si>
  <si>
    <t>Lb1133</t>
  </si>
  <si>
    <t>Lb1106</t>
  </si>
  <si>
    <t>Lb1108</t>
  </si>
  <si>
    <t>Lb1111</t>
  </si>
  <si>
    <t>Lb1002</t>
  </si>
  <si>
    <t>Lb1107</t>
  </si>
  <si>
    <t>Lb1121</t>
  </si>
  <si>
    <t>Lb1169</t>
  </si>
  <si>
    <t>Lb1196</t>
  </si>
  <si>
    <t>Lb1114</t>
  </si>
  <si>
    <t>Lb1180</t>
  </si>
  <si>
    <t>Lb1022</t>
  </si>
  <si>
    <t>Lb1010</t>
  </si>
  <si>
    <t>Lb1046</t>
  </si>
  <si>
    <t>Lb1072</t>
  </si>
  <si>
    <t>Lb1087</t>
  </si>
  <si>
    <t>Lb1006</t>
  </si>
  <si>
    <t>Lb1182</t>
  </si>
  <si>
    <t>Lb1172</t>
  </si>
  <si>
    <t>Lb1127</t>
  </si>
  <si>
    <t>Lb1183</t>
  </si>
  <si>
    <t>Lb1155</t>
  </si>
  <si>
    <t>Lb1044</t>
  </si>
  <si>
    <t>Lb1179</t>
  </si>
  <si>
    <t>Lb1095</t>
  </si>
  <si>
    <t>Lb1147</t>
  </si>
  <si>
    <t>Lb1018</t>
  </si>
  <si>
    <t>Lb1051</t>
  </si>
  <si>
    <t>Lb1159</t>
  </si>
  <si>
    <t>Lb1100</t>
  </si>
  <si>
    <t>Lb1101</t>
  </si>
  <si>
    <t>Lb1045</t>
  </si>
  <si>
    <t>Lb1073</t>
  </si>
  <si>
    <t>Lb1122</t>
  </si>
  <si>
    <t>Lb1103</t>
  </si>
  <si>
    <t>Lb1043</t>
  </si>
  <si>
    <t>Lb1149</t>
  </si>
  <si>
    <t>Lb1064</t>
  </si>
  <si>
    <t>Lb1039</t>
  </si>
  <si>
    <t>Lb1078</t>
  </si>
  <si>
    <t>Lb1009</t>
  </si>
  <si>
    <t>Lb1065</t>
  </si>
  <si>
    <t>Lb1024</t>
  </si>
  <si>
    <t>Lb1164</t>
  </si>
  <si>
    <t>Lb1053</t>
  </si>
  <si>
    <t>Lb1034</t>
  </si>
  <si>
    <t>Lb1279</t>
  </si>
  <si>
    <t>Lb1075</t>
  </si>
  <si>
    <t>Lb1128</t>
  </si>
  <si>
    <t>Lb1026</t>
  </si>
  <si>
    <t>Lb1190</t>
  </si>
  <si>
    <t>Lb1174</t>
  </si>
  <si>
    <t>Lb1011</t>
  </si>
  <si>
    <t>Lb1134</t>
  </si>
  <si>
    <t>Lb905</t>
  </si>
  <si>
    <t>Lb1060</t>
  </si>
  <si>
    <t>Lb1225</t>
  </si>
  <si>
    <t>Lb1080</t>
  </si>
  <si>
    <t>Lb1077</t>
  </si>
  <si>
    <t>Lb1035</t>
  </si>
  <si>
    <t>Lb1175</t>
  </si>
  <si>
    <t>Lb1167</t>
  </si>
  <si>
    <t>Lb1135</t>
  </si>
  <si>
    <t>Lb1188</t>
  </si>
  <si>
    <t>Lb1082</t>
  </si>
  <si>
    <t>Lb1049</t>
  </si>
  <si>
    <t>Lb1025</t>
  </si>
  <si>
    <t>Lb1069</t>
  </si>
  <si>
    <t>Lb1307</t>
  </si>
  <si>
    <t>Lb1238</t>
  </si>
  <si>
    <t>Lb1086</t>
  </si>
  <si>
    <t>Lb1170</t>
  </si>
  <si>
    <t>Lb1130</t>
  </si>
  <si>
    <t>Lb1054</t>
  </si>
  <si>
    <t>Lb1138</t>
  </si>
  <si>
    <t>Lb1156</t>
  </si>
  <si>
    <t>Lb1125</t>
  </si>
  <si>
    <t>Lb1157</t>
  </si>
  <si>
    <t>Lb1123</t>
  </si>
  <si>
    <t>Lb1085</t>
  </si>
  <si>
    <t>Lb1068</t>
  </si>
  <si>
    <t>Lb1056</t>
  </si>
  <si>
    <t>Lb929</t>
  </si>
  <si>
    <t>Lb1197</t>
  </si>
  <si>
    <t>Lb1304</t>
  </si>
  <si>
    <t>Lb1062</t>
  </si>
  <si>
    <t>Lb1093</t>
  </si>
  <si>
    <t>Lb1112</t>
  </si>
  <si>
    <t>Lb1192</t>
  </si>
  <si>
    <t>Lb1041</t>
  </si>
  <si>
    <t>Lb1004</t>
  </si>
  <si>
    <t>Lb1200</t>
  </si>
  <si>
    <t>Lb1036</t>
  </si>
  <si>
    <t>Lb1191</t>
  </si>
  <si>
    <t>Lb1021</t>
  </si>
  <si>
    <t>Lb1033</t>
  </si>
  <si>
    <t>Lb1115</t>
  </si>
  <si>
    <t>Lb1173</t>
  </si>
  <si>
    <t>Lb1389</t>
  </si>
  <si>
    <t>Lb1184</t>
  </si>
  <si>
    <t>Lb1030</t>
  </si>
  <si>
    <t>Lb992</t>
  </si>
  <si>
    <t>Lb1102</t>
  </si>
  <si>
    <t>Lb973</t>
  </si>
  <si>
    <t>Lb1163</t>
  </si>
  <si>
    <t>Lb1029</t>
  </si>
  <si>
    <t>Lb954</t>
  </si>
  <si>
    <t>Lb1198</t>
  </si>
  <si>
    <t>Lb1119</t>
  </si>
  <si>
    <t>Lb1140</t>
  </si>
  <si>
    <t>Lb1057</t>
  </si>
  <si>
    <t>Lb1094</t>
  </si>
  <si>
    <t>Lb1104</t>
  </si>
  <si>
    <t>Lb1168</t>
  </si>
  <si>
    <t>Lb1131</t>
  </si>
  <si>
    <t>Lb1318</t>
  </si>
  <si>
    <t>Lb1141</t>
  </si>
  <si>
    <t>Lb1224</t>
  </si>
  <si>
    <t>Lb1273</t>
  </si>
  <si>
    <t>Lb1136</t>
  </si>
  <si>
    <t>Lb1116</t>
  </si>
  <si>
    <t>Lb1113</t>
  </si>
  <si>
    <t>Lb1272</t>
  </si>
  <si>
    <t>Lb1109</t>
  </si>
  <si>
    <t>Lb1129</t>
  </si>
  <si>
    <t>Lb1001</t>
  </si>
  <si>
    <t>Lb1337</t>
  </si>
  <si>
    <t>Lb1079</t>
  </si>
  <si>
    <t>Lb1165</t>
  </si>
  <si>
    <t>Lb1081</t>
  </si>
  <si>
    <t>Lb1176</t>
  </si>
  <si>
    <t>Lb1146</t>
  </si>
  <si>
    <t>Lb1145</t>
  </si>
  <si>
    <t>Lb1090</t>
  </si>
  <si>
    <t>Lb1315</t>
  </si>
  <si>
    <t>Lb1061</t>
  </si>
  <si>
    <t>Lb1327</t>
  </si>
  <si>
    <t>Lb1027</t>
  </si>
  <si>
    <t>Lb1345</t>
  </si>
  <si>
    <t>Lb1144</t>
  </si>
  <si>
    <t>Lb1097</t>
  </si>
  <si>
    <t>Lb1158</t>
  </si>
  <si>
    <t>Lb1143</t>
  </si>
  <si>
    <t>Lb1244</t>
  </si>
  <si>
    <t>Lb1290</t>
  </si>
  <si>
    <t>Lb1132</t>
  </si>
  <si>
    <t>Lb1166</t>
  </si>
  <si>
    <t>Lb1161</t>
  </si>
  <si>
    <t>Lb1261</t>
  </si>
  <si>
    <t>Lb1050</t>
  </si>
  <si>
    <t>Lb1052</t>
  </si>
  <si>
    <t>Lb1319</t>
  </si>
  <si>
    <t>Lb1040</t>
  </si>
  <si>
    <t>Lb1118</t>
  </si>
  <si>
    <t>Lb1171</t>
  </si>
  <si>
    <t>Lb1257</t>
  </si>
  <si>
    <t>Lb1066</t>
  </si>
  <si>
    <t>Pr2098</t>
  </si>
  <si>
    <t>Pr2558</t>
  </si>
  <si>
    <t>Pr2009</t>
  </si>
  <si>
    <t>Pr2233</t>
  </si>
  <si>
    <t>Pr2255</t>
  </si>
  <si>
    <t>Pr2579</t>
  </si>
  <si>
    <t>Pr2222</t>
  </si>
  <si>
    <t>Pr2415</t>
  </si>
  <si>
    <t>Pr2290</t>
  </si>
  <si>
    <t>Pr2045</t>
  </si>
  <si>
    <t>Pr2099</t>
  </si>
  <si>
    <t>Pr2243</t>
  </si>
  <si>
    <t>Pr2323</t>
  </si>
  <si>
    <t>Pr2332</t>
  </si>
  <si>
    <t>Pr2021</t>
  </si>
  <si>
    <t>Pr2324</t>
  </si>
  <si>
    <t>Pr2554</t>
  </si>
  <si>
    <t>Pr2582</t>
  </si>
  <si>
    <t>Pr2174</t>
  </si>
  <si>
    <t>Pr2292</t>
  </si>
  <si>
    <t>Pr2360</t>
  </si>
  <si>
    <t>Pr2151</t>
  </si>
  <si>
    <t>Pr2503</t>
  </si>
  <si>
    <t>Pr2527</t>
  </si>
  <si>
    <t>Pr2172</t>
  </si>
  <si>
    <t>Pr2280</t>
  </si>
  <si>
    <t>Pr2566</t>
  </si>
  <si>
    <t>Pr2018</t>
  </si>
  <si>
    <t>Pr2142</t>
  </si>
  <si>
    <t>Pr2218</t>
  </si>
  <si>
    <t>Pr2451</t>
  </si>
  <si>
    <t>Pr2368</t>
  </si>
  <si>
    <t>Pr2040</t>
  </si>
  <si>
    <t>Pr2495</t>
  </si>
  <si>
    <t>Pr2259</t>
  </si>
  <si>
    <t>Pr2220</t>
  </si>
  <si>
    <t>Pr2565</t>
  </si>
  <si>
    <t>Pr2376</t>
  </si>
  <si>
    <t>Pr2313</t>
  </si>
  <si>
    <t>Pr2093</t>
  </si>
  <si>
    <t>Pr2335</t>
  </si>
  <si>
    <t>Pr2433</t>
  </si>
  <si>
    <t>Pr2230</t>
  </si>
  <si>
    <t>Pr2126</t>
  </si>
  <si>
    <t>Pr2551</t>
  </si>
  <si>
    <t>Pr2572</t>
  </si>
  <si>
    <t>Pr2434</t>
  </si>
  <si>
    <t>Pr2279</t>
  </si>
  <si>
    <t>Pr2304</t>
  </si>
  <si>
    <t>Pr2442</t>
  </si>
  <si>
    <t>Pr2146</t>
  </si>
  <si>
    <t>Pr2589</t>
  </si>
  <si>
    <t>Pr2328</t>
  </si>
  <si>
    <t>Pr2231</t>
  </si>
  <si>
    <t>Pr2535</t>
  </si>
  <si>
    <t>Pr2536</t>
  </si>
  <si>
    <t>Pr2556</t>
  </si>
  <si>
    <t>Pr2117</t>
  </si>
  <si>
    <t>Pr2110</t>
  </si>
  <si>
    <t>Pr2285</t>
  </si>
  <si>
    <t>Pr2287</t>
  </si>
  <si>
    <t>Pr2102</t>
  </si>
  <si>
    <t>Pr2195</t>
  </si>
  <si>
    <t>Pr2105</t>
  </si>
  <si>
    <t>Pr2155</t>
  </si>
  <si>
    <t>Pr2274</t>
  </si>
  <si>
    <t>Pr2441</t>
  </si>
  <si>
    <t>Pr2388</t>
  </si>
  <si>
    <t>Pr2004</t>
  </si>
  <si>
    <t>Pr2052</t>
  </si>
  <si>
    <t>Pr2372</t>
  </si>
  <si>
    <t>Pr2039</t>
  </si>
  <si>
    <t>Pr2407</t>
  </si>
  <si>
    <t>Pr2011</t>
  </si>
  <si>
    <t>Pr2509</t>
  </si>
  <si>
    <t>Pr2369</t>
  </si>
  <si>
    <t>Pr2515</t>
  </si>
  <si>
    <t>Pr2413</t>
  </si>
  <si>
    <t>Pr2229</t>
  </si>
  <si>
    <t>Pr2213</t>
  </si>
  <si>
    <t>Pr2401</t>
  </si>
  <si>
    <t>Pr2133</t>
  </si>
  <si>
    <t>Pr2437</t>
  </si>
  <si>
    <t>Pr2054</t>
  </si>
  <si>
    <t>Pr2173</t>
  </si>
  <si>
    <t>Pr2186</t>
  </si>
  <si>
    <t>Pr2557</t>
  </si>
  <si>
    <t>Pr2490</t>
  </si>
  <si>
    <t>Pr2319</t>
  </si>
  <si>
    <t>Pr2191</t>
  </si>
  <si>
    <t>Pr2268</t>
  </si>
  <si>
    <t>Pr2185</t>
  </si>
  <si>
    <t>Pr2525</t>
  </si>
  <si>
    <t>Pr2166</t>
  </si>
  <si>
    <t>Pr2384</t>
  </si>
  <si>
    <t>Pr2140</t>
  </si>
  <si>
    <t>Pr2198</t>
  </si>
  <si>
    <t>Pr2463</t>
  </si>
  <si>
    <t>Pr2209</t>
  </si>
  <si>
    <t>Pr2014</t>
  </si>
  <si>
    <t>Pr2540</t>
  </si>
  <si>
    <t>Pr2020</t>
  </si>
  <si>
    <t>Pr2247</t>
  </si>
  <si>
    <t>Pr2486</t>
  </si>
  <si>
    <t>Pr2504</t>
  </si>
  <si>
    <t>Pr2038</t>
  </si>
  <si>
    <t>Pr2559</t>
  </si>
  <si>
    <t>Pr2456</t>
  </si>
  <si>
    <t>Pr2400</t>
  </si>
  <si>
    <t>Pr2411</t>
  </si>
  <si>
    <t>Pr2412</t>
  </si>
  <si>
    <t>Pr2444</t>
  </si>
  <si>
    <t>Pr2410</t>
  </si>
  <si>
    <t>Pr2516</t>
  </si>
  <si>
    <t>Pr2109</t>
  </si>
  <si>
    <t>Pr2136</t>
  </si>
  <si>
    <t>Pr2331</t>
  </si>
  <si>
    <t>Pr2426</t>
  </si>
  <si>
    <t>Pr2094</t>
  </si>
  <si>
    <t>Pr2386</t>
  </si>
  <si>
    <t>Pr2471</t>
  </si>
  <si>
    <t>Pr2111</t>
  </si>
  <si>
    <t>Pr2531</t>
  </si>
  <si>
    <t>Pr2143</t>
  </si>
  <si>
    <t>Pr2108</t>
  </si>
  <si>
    <t>Pr2047</t>
  </si>
  <si>
    <t>Pr2048</t>
  </si>
  <si>
    <t>Pr2100</t>
  </si>
  <si>
    <t>Pr2403</t>
  </si>
  <si>
    <t>Pr2182</t>
  </si>
  <si>
    <t>Pr2212</t>
  </si>
  <si>
    <t>Pr2256</t>
  </si>
  <si>
    <t>Pr2272</t>
  </si>
  <si>
    <t>Pr2402</t>
  </si>
  <si>
    <t>Pr2452</t>
  </si>
  <si>
    <t>Pr2051</t>
  </si>
  <si>
    <t>Pr2187</t>
  </si>
  <si>
    <t>Pr2214</t>
  </si>
  <si>
    <t>Pr2261</t>
  </si>
  <si>
    <t>Pr2383</t>
  </si>
  <si>
    <t>Pr2481</t>
  </si>
  <si>
    <t>Pr2578</t>
  </si>
  <si>
    <t>Pr2033</t>
  </si>
  <si>
    <t>Pr2129</t>
  </si>
  <si>
    <t>Pr2130</t>
  </si>
  <si>
    <t>Pr2193</t>
  </si>
  <si>
    <t>Pr2253</t>
  </si>
  <si>
    <t>Pr2273</t>
  </si>
  <si>
    <t>Pr2312</t>
  </si>
  <si>
    <t>Pr2315</t>
  </si>
  <si>
    <t>Pr2019</t>
  </si>
  <si>
    <t>Pr2141</t>
  </si>
  <si>
    <t>Pr2330</t>
  </si>
  <si>
    <t>Pr2458</t>
  </si>
  <si>
    <t>Pr2563</t>
  </si>
  <si>
    <t>Pr2595</t>
  </si>
  <si>
    <t>Pr2454</t>
  </si>
  <si>
    <t>Pr2472</t>
  </si>
  <si>
    <t>Pr2107</t>
  </si>
  <si>
    <t>Pr2364</t>
  </si>
  <si>
    <t>Pr2597</t>
  </si>
  <si>
    <t>Pr2289</t>
  </si>
  <si>
    <t>Pr2303</t>
  </si>
  <si>
    <t>Pr2367</t>
  </si>
  <si>
    <t>Pr2375</t>
  </si>
  <si>
    <t>Pr2438</t>
  </si>
  <si>
    <t>Pr2473</t>
  </si>
  <si>
    <t>Pr2036</t>
  </si>
  <si>
    <t>Pr2145</t>
  </si>
  <si>
    <t>Pr2147</t>
  </si>
  <si>
    <t>Pr2194</t>
  </si>
  <si>
    <t>Pr2221</t>
  </si>
  <si>
    <t>Pr2370</t>
  </si>
  <si>
    <t>Pr2512</t>
  </si>
  <si>
    <t>Pr2555</t>
  </si>
  <si>
    <t>Pr2569</t>
  </si>
  <si>
    <t>Pr2103</t>
  </si>
  <si>
    <t>Pr2228</t>
  </si>
  <si>
    <t>Pr2275</t>
  </si>
  <si>
    <t>Pr2281</t>
  </si>
  <si>
    <t>Pr2447</t>
  </si>
  <si>
    <t>Pr2492</t>
  </si>
  <si>
    <t>Pr2528</t>
  </si>
  <si>
    <t>Pr2587</t>
  </si>
  <si>
    <t>Pr2095</t>
  </si>
  <si>
    <t>Pr2296</t>
  </si>
  <si>
    <t>Pr2417</t>
  </si>
  <si>
    <t>Pr2423</t>
  </si>
  <si>
    <t>Pr2435</t>
  </si>
  <si>
    <t>Pr2465</t>
  </si>
  <si>
    <t>Pr2483</t>
  </si>
  <si>
    <t>Pr2539</t>
  </si>
  <si>
    <t>Pr2570</t>
  </si>
  <si>
    <t>Pr2599</t>
  </si>
  <si>
    <t>Pr2061</t>
  </si>
  <si>
    <t>Pr2112</t>
  </si>
  <si>
    <t>Pr2125</t>
  </si>
  <si>
    <t>Pr2135</t>
  </si>
  <si>
    <t>Pr2165</t>
  </si>
  <si>
    <t>Pr2208</t>
  </si>
  <si>
    <t>Pr2245</t>
  </si>
  <si>
    <t>Pr2320</t>
  </si>
  <si>
    <t>Pr2347</t>
  </si>
  <si>
    <t>Pr2389</t>
  </si>
  <si>
    <t>Pr2398</t>
  </si>
  <si>
    <t>Pr2469</t>
  </si>
  <si>
    <t>Pr2475</t>
  </si>
  <si>
    <t>Pr2063</t>
  </si>
  <si>
    <t>Pr2254</t>
  </si>
  <si>
    <t>Pr2263</t>
  </si>
  <si>
    <t>Pr2342</t>
  </si>
  <si>
    <t>Pr2500</t>
  </si>
  <si>
    <t>Pr2541</t>
  </si>
  <si>
    <t>Pr2027</t>
  </si>
  <si>
    <t>Pr2215</t>
  </si>
  <si>
    <t>Pr2439</t>
  </si>
  <si>
    <t>Pr2498</t>
  </si>
  <si>
    <t>Pr2576</t>
  </si>
  <si>
    <t>Pr2041</t>
  </si>
  <si>
    <t>Pr2042</t>
  </si>
  <si>
    <t>Pr2044</t>
  </si>
  <si>
    <t>Pr2085</t>
  </si>
  <si>
    <t>Pr2121</t>
  </si>
  <si>
    <t>Pr2157</t>
  </si>
  <si>
    <t>Pr2168</t>
  </si>
  <si>
    <t>Pr2207</t>
  </si>
  <si>
    <t>Pr2210</t>
  </si>
  <si>
    <t>Pr2265</t>
  </si>
  <si>
    <t>Pr2311</t>
  </si>
  <si>
    <t>Pr2316</t>
  </si>
  <si>
    <t>Pr2321</t>
  </si>
  <si>
    <t>Pr2345</t>
  </si>
  <si>
    <t>Pr2377</t>
  </si>
  <si>
    <t>Pr2381</t>
  </si>
  <si>
    <t>Pr2482</t>
  </si>
  <si>
    <t>Pr2543</t>
  </si>
  <si>
    <t>Pr2077</t>
  </si>
  <si>
    <t>Pr2080</t>
  </si>
  <si>
    <t>Pr2090</t>
  </si>
  <si>
    <t>Pr2177</t>
  </si>
  <si>
    <t>Pr2317</t>
  </si>
  <si>
    <t>Pr2339</t>
  </si>
  <si>
    <t>Pr2355</t>
  </si>
  <si>
    <t>Pr2524</t>
  </si>
  <si>
    <t>Pr2545</t>
  </si>
  <si>
    <t>Pr2546</t>
  </si>
  <si>
    <t>Pr2585</t>
  </si>
  <si>
    <t>Pr2025</t>
  </si>
  <si>
    <t>Pr2028</t>
  </si>
  <si>
    <t>Pr2113</t>
  </si>
  <si>
    <t>Pr2338</t>
  </si>
  <si>
    <t>Pr2374</t>
  </si>
  <si>
    <t>Pr2448</t>
  </si>
  <si>
    <t>Pr2537</t>
  </si>
  <si>
    <t>Pr2564</t>
  </si>
  <si>
    <t>Pr2015</t>
  </si>
  <si>
    <t>Pr2070</t>
  </si>
  <si>
    <t>Pr2086</t>
  </si>
  <si>
    <t>Pr2164</t>
  </si>
  <si>
    <t>Pr2297</t>
  </si>
  <si>
    <t>Pr2310</t>
  </si>
  <si>
    <t>Pr2371</t>
  </si>
  <si>
    <t>Pr2378</t>
  </si>
  <si>
    <t>Pr2424</t>
  </si>
  <si>
    <t>Pr2446</t>
  </si>
  <si>
    <t>Pr2457</t>
  </si>
  <si>
    <t>Pr2485</t>
  </si>
  <si>
    <t>Pr2057</t>
  </si>
  <si>
    <t>Pr2060</t>
  </si>
  <si>
    <t>Pr2132</t>
  </si>
  <si>
    <t>Pr2150</t>
  </si>
  <si>
    <t>Pr2257</t>
  </si>
  <si>
    <t>Pr2294</t>
  </si>
  <si>
    <t>Pr2301</t>
  </si>
  <si>
    <t>Pr2359</t>
  </si>
  <si>
    <t>Pr2363</t>
  </si>
  <si>
    <t>Pr2399</t>
  </si>
  <si>
    <t>Pr2408</t>
  </si>
  <si>
    <t>Pr2462</t>
  </si>
  <si>
    <t>Pr2505</t>
  </si>
  <si>
    <t>Pr2513</t>
  </si>
  <si>
    <t>Pr2518</t>
  </si>
  <si>
    <t>Pr2529</t>
  </si>
  <si>
    <t>Pr2049</t>
  </si>
  <si>
    <t>Pr2197</t>
  </si>
  <si>
    <t>Pr2204</t>
  </si>
  <si>
    <t>Pr2239</t>
  </si>
  <si>
    <t>Pr2248</t>
  </si>
  <si>
    <t>Pr2302</t>
  </si>
  <si>
    <t>Pr2350</t>
  </si>
  <si>
    <t>Pr2352</t>
  </si>
  <si>
    <t>Pr2420</t>
  </si>
  <si>
    <t>Pr2422</t>
  </si>
  <si>
    <t>Pr2453</t>
  </si>
  <si>
    <t>Pr2497</t>
  </si>
  <si>
    <t>Pr2590</t>
  </si>
  <si>
    <t>Pr2034</t>
  </si>
  <si>
    <t>Pr2037</t>
  </si>
  <si>
    <t>Pr2075</t>
  </si>
  <si>
    <t>Pr2106</t>
  </si>
  <si>
    <t>Pr2199</t>
  </si>
  <si>
    <t>Pr2244</t>
  </si>
  <si>
    <t>Pr2258</t>
  </si>
  <si>
    <t>Pr2530</t>
  </si>
  <si>
    <t>Pr2534</t>
  </si>
  <si>
    <t>Pr2067</t>
  </si>
  <si>
    <t>Pr2139</t>
  </si>
  <si>
    <t>Pr2178</t>
  </si>
  <si>
    <t>Pr2189</t>
  </si>
  <si>
    <t>Pr2196</t>
  </si>
  <si>
    <t>Pr2225</t>
  </si>
  <si>
    <t>Pr2251</t>
  </si>
  <si>
    <t>Pr2496</t>
  </si>
  <si>
    <t>Pr2511</t>
  </si>
  <si>
    <t>Pr2584</t>
  </si>
  <si>
    <t>Pr2069</t>
  </si>
  <si>
    <t>Pr2092</t>
  </si>
  <si>
    <t>Pr2211</t>
  </si>
  <si>
    <t>Pr2252</t>
  </si>
  <si>
    <t>Pr2308</t>
  </si>
  <si>
    <t>Pr2318</t>
  </si>
  <si>
    <t>Pr2373</t>
  </si>
  <si>
    <t>Pr2397</t>
  </si>
  <si>
    <t>Pr2549</t>
  </si>
  <si>
    <t>Pr2577</t>
  </si>
  <si>
    <t>Pr2008</t>
  </si>
  <si>
    <t>Pr2084</t>
  </si>
  <si>
    <t>Pr2240</t>
  </si>
  <si>
    <t>Pr2293</t>
  </si>
  <si>
    <t>Pr2336</t>
  </si>
  <si>
    <t>Pr2392</t>
  </si>
  <si>
    <t>Pr2478</t>
  </si>
  <si>
    <t>Pr2522</t>
  </si>
  <si>
    <t>Pr2053</t>
  </si>
  <si>
    <t>Pr2066</t>
  </si>
  <si>
    <t>Pr2073</t>
  </si>
  <si>
    <t>Pr2127</t>
  </si>
  <si>
    <t>Pr2179</t>
  </si>
  <si>
    <t>Pr2192</t>
  </si>
  <si>
    <t>Pr2246</t>
  </si>
  <si>
    <t>Pr2333</t>
  </si>
  <si>
    <t>Pr2430</t>
  </si>
  <si>
    <t>Pr2467</t>
  </si>
  <si>
    <t>Pr2510</t>
  </si>
  <si>
    <t>Pr2567</t>
  </si>
  <si>
    <t>Pr2571</t>
  </si>
  <si>
    <t>Pr2007</t>
  </si>
  <si>
    <t>Pr2026</t>
  </si>
  <si>
    <t>Pr2298</t>
  </si>
  <si>
    <t>Pr2361</t>
  </si>
  <si>
    <t>Pr2405</t>
  </si>
  <si>
    <t>Pr2542</t>
  </si>
  <si>
    <t>Pr2550</t>
  </si>
  <si>
    <t>Pr2562</t>
  </si>
  <si>
    <t>Pr2046</t>
  </si>
  <si>
    <t>Pr2241</t>
  </si>
  <si>
    <t>Pr2314</t>
  </si>
  <si>
    <t>Pr2461</t>
  </si>
  <si>
    <t>Pr2050</t>
  </si>
  <si>
    <t>Pr2329</t>
  </si>
  <si>
    <t>Pr2419</t>
  </si>
  <si>
    <t>Pr2480</t>
  </si>
  <si>
    <t>Pr2523</t>
  </si>
  <si>
    <t>Pr2526</t>
  </si>
  <si>
    <t>Pr2560</t>
  </si>
  <si>
    <t>Pr2596</t>
  </si>
  <si>
    <t>Pr2072</t>
  </si>
  <si>
    <t>Pr2137</t>
  </si>
  <si>
    <t>Pr2144</t>
  </si>
  <si>
    <t>Pr2149</t>
  </si>
  <si>
    <t>Pr2205</t>
  </si>
  <si>
    <t>Pr2306</t>
  </si>
  <si>
    <t>Pr2349</t>
  </si>
  <si>
    <t>Pr2414</t>
  </si>
  <si>
    <t>Pr2506</t>
  </si>
  <si>
    <t>Pr2586</t>
  </si>
  <si>
    <t>Pr2593</t>
  </si>
  <si>
    <t>Pr2089</t>
  </si>
  <si>
    <t>Pr2104</t>
  </si>
  <si>
    <t>Pr2175</t>
  </si>
  <si>
    <t>Pr2300</t>
  </si>
  <si>
    <t>Pr2322</t>
  </si>
  <si>
    <t>Pr2365</t>
  </si>
  <si>
    <t>Pr2395</t>
  </si>
  <si>
    <t>Pr2428</t>
  </si>
  <si>
    <t>Pr2468</t>
  </si>
  <si>
    <t>Pr2484</t>
  </si>
  <si>
    <t>Pr2517</t>
  </si>
  <si>
    <t>Pr2065</t>
  </si>
  <si>
    <t>Pr2148</t>
  </si>
  <si>
    <t>Pr2202</t>
  </si>
  <si>
    <t>Pr2227</t>
  </si>
  <si>
    <t>Pr2270</t>
  </si>
  <si>
    <t>Pr2409</t>
  </si>
  <si>
    <t>Pr2538</t>
  </si>
  <si>
    <t>Pr2032</t>
  </si>
  <si>
    <t>Pr2074</t>
  </si>
  <si>
    <t>Pr2232</t>
  </si>
  <si>
    <t>Pr2269</t>
  </si>
  <si>
    <t>Pr2358</t>
  </si>
  <si>
    <t>Pr2390</t>
  </si>
  <si>
    <t>Pr2418</t>
  </si>
  <si>
    <t>Pr2450</t>
  </si>
  <si>
    <t>Pr2489</t>
  </si>
  <si>
    <t>Pr2491</t>
  </si>
  <si>
    <t>Pr2022</t>
  </si>
  <si>
    <t>Pr2059</t>
  </si>
  <si>
    <t>Pr2087</t>
  </si>
  <si>
    <t>Pr2096</t>
  </si>
  <si>
    <t>Pr2156</t>
  </si>
  <si>
    <t>Pr2184</t>
  </si>
  <si>
    <t>Pr2334</t>
  </si>
  <si>
    <t>Pr2351</t>
  </si>
  <si>
    <t>Pr2445</t>
  </si>
  <si>
    <t>Pr2001</t>
  </si>
  <si>
    <t>Pr2030</t>
  </si>
  <si>
    <t>Pr2055</t>
  </si>
  <si>
    <t>Pr2097</t>
  </si>
  <si>
    <t>Pr2219</t>
  </si>
  <si>
    <t>Pr2242</t>
  </si>
  <si>
    <t>Pr2325</t>
  </si>
  <si>
    <t>Pr2340</t>
  </si>
  <si>
    <t>Pr2404</t>
  </si>
  <si>
    <t>Pr2464</t>
  </si>
  <si>
    <t>Pr2502</t>
  </si>
  <si>
    <t>Pr2533</t>
  </si>
  <si>
    <t>Pr2081</t>
  </si>
  <si>
    <t>Pr2161</t>
  </si>
  <si>
    <t>Pr2162</t>
  </si>
  <si>
    <t>Pr2201</t>
  </si>
  <si>
    <t>Pr2206</t>
  </si>
  <si>
    <t>Pr2356</t>
  </si>
  <si>
    <t>Pr2561</t>
  </si>
  <si>
    <t>Pr2580</t>
  </si>
  <si>
    <t>Pr2592</t>
  </si>
  <si>
    <t>Pr2029</t>
  </si>
  <si>
    <t>Pr2031</t>
  </si>
  <si>
    <t>Pr2043</t>
  </si>
  <si>
    <t>Pr2088</t>
  </si>
  <si>
    <t>Pr2124</t>
  </si>
  <si>
    <t>Pr2379</t>
  </si>
  <si>
    <t>Pr2385</t>
  </si>
  <si>
    <t>Pr2391</t>
  </si>
  <si>
    <t>Pr2396</t>
  </si>
  <si>
    <t>Pr2427</t>
  </si>
  <si>
    <t>Pr2436</t>
  </si>
  <si>
    <t>Pr2455</t>
  </si>
  <si>
    <t>Pr2501</t>
  </si>
  <si>
    <t>Pr2514</t>
  </si>
  <si>
    <t>Pr2548</t>
  </si>
  <si>
    <t>Pr2552</t>
  </si>
  <si>
    <t>Pr2575</t>
  </si>
  <si>
    <t>Pr2594</t>
  </si>
  <si>
    <t>Pr2002</t>
  </si>
  <si>
    <t>Pr2010</t>
  </si>
  <si>
    <t>Pr2128</t>
  </si>
  <si>
    <t>Pr2249</t>
  </si>
  <si>
    <t>Pr2260</t>
  </si>
  <si>
    <t>Pr2327</t>
  </si>
  <si>
    <t>Pr2366</t>
  </si>
  <si>
    <t>Pr2387</t>
  </si>
  <si>
    <t>Pr2443</t>
  </si>
  <si>
    <t>Pr2017</t>
  </si>
  <si>
    <t>Pr2062</t>
  </si>
  <si>
    <t>Pr2071</t>
  </si>
  <si>
    <t>Pr2122</t>
  </si>
  <si>
    <t>Pr2170</t>
  </si>
  <si>
    <t>Pr2421</t>
  </si>
  <si>
    <t>Pr2493</t>
  </si>
  <si>
    <t>Pr2588</t>
  </si>
  <si>
    <t>Pr2058</t>
  </si>
  <si>
    <t>Pr2138</t>
  </si>
  <si>
    <t>Pr2216</t>
  </si>
  <si>
    <t>Pr2234</t>
  </si>
  <si>
    <t>Pr2262</t>
  </si>
  <si>
    <t>Pr2288</t>
  </si>
  <si>
    <t>Pr2353</t>
  </si>
  <si>
    <t>Pr2354</t>
  </si>
  <si>
    <t>Pr2357</t>
  </si>
  <si>
    <t>Pr2016</t>
  </si>
  <si>
    <t>Pr2181</t>
  </si>
  <si>
    <t>Pr2183</t>
  </si>
  <si>
    <t>Pr2283</t>
  </si>
  <si>
    <t>Pr2284</t>
  </si>
  <si>
    <t>Pr2295</t>
  </si>
  <si>
    <t>Pr2393</t>
  </si>
  <si>
    <t>Pr2488</t>
  </si>
  <si>
    <t>Pr2115</t>
  </si>
  <si>
    <t>Pr2119</t>
  </si>
  <si>
    <t>Pr2123</t>
  </si>
  <si>
    <t>Pr2160</t>
  </si>
  <si>
    <t>Pr2167</t>
  </si>
  <si>
    <t>Pr2271</t>
  </si>
  <si>
    <t>Pr2305</t>
  </si>
  <si>
    <t>Pr2362</t>
  </si>
  <si>
    <t>Pr2406</t>
  </si>
  <si>
    <t>Pr2023</t>
  </si>
  <si>
    <t>Pr2024</t>
  </si>
  <si>
    <t>Pr2068</t>
  </si>
  <si>
    <t>Pr2217</t>
  </si>
  <si>
    <t>Pr2346</t>
  </si>
  <si>
    <t>Pr2348</t>
  </si>
  <si>
    <t>Pr2380</t>
  </si>
  <si>
    <t>Pr2382</t>
  </si>
  <si>
    <t>Pr2449</t>
  </si>
  <si>
    <t>Pr2474</t>
  </si>
  <si>
    <t>Pr2508</t>
  </si>
  <si>
    <t>Pr2573</t>
  </si>
  <si>
    <t>Pr2574</t>
  </si>
  <si>
    <t>Pr2013</t>
  </si>
  <si>
    <t>Pr2152</t>
  </si>
  <si>
    <t>Pr2159</t>
  </si>
  <si>
    <t>Pr2188</t>
  </si>
  <si>
    <t>Pr2226</t>
  </si>
  <si>
    <t>Pr2299</t>
  </si>
  <si>
    <t>Pr2432</t>
  </si>
  <si>
    <t>Pr2476</t>
  </si>
  <si>
    <t>Pr2598</t>
  </si>
  <si>
    <t>Pr2064</t>
  </si>
  <si>
    <t>Pr2276</t>
  </si>
  <si>
    <t>Pr2277</t>
  </si>
  <si>
    <t>Pr2532</t>
  </si>
  <si>
    <t>Pr2583</t>
  </si>
  <si>
    <t>Pr2600</t>
  </si>
  <si>
    <t>Pr2158</t>
  </si>
  <si>
    <t>Pr2282</t>
  </si>
  <si>
    <t>Pr2487</t>
  </si>
  <si>
    <t>Pr2553</t>
  </si>
  <si>
    <t>Pr2003</t>
  </si>
  <si>
    <t>Pr2101</t>
  </si>
  <si>
    <t>Pr2286</t>
  </si>
  <si>
    <t>Pr2479</t>
  </si>
  <si>
    <t>Pr2083</t>
  </si>
  <si>
    <t>Pr2120</t>
  </si>
  <si>
    <t>Pr2171</t>
  </si>
  <si>
    <t>Pr2203</t>
  </si>
  <si>
    <t>Pr2236</t>
  </si>
  <si>
    <t>Pr2429</t>
  </si>
  <si>
    <t>Pr2459</t>
  </si>
  <si>
    <t>Pr2581</t>
  </si>
  <si>
    <t>Pr2134</t>
  </si>
  <si>
    <t>Pr2180</t>
  </si>
  <si>
    <t>Pr2337</t>
  </si>
  <si>
    <t>Pr2343</t>
  </si>
  <si>
    <t>Pr2006</t>
  </si>
  <si>
    <t>Pr2114</t>
  </si>
  <si>
    <t>Pr2163</t>
  </si>
  <si>
    <t>Pr2264</t>
  </si>
  <si>
    <t>Pr2416</t>
  </si>
  <si>
    <t>Pr2425</t>
  </si>
  <si>
    <t>Pr2466</t>
  </si>
  <si>
    <t>Pr2470</t>
  </si>
  <si>
    <t>Pr2499</t>
  </si>
  <si>
    <t>Pr2520</t>
  </si>
  <si>
    <t>Pr2547</t>
  </si>
  <si>
    <t>Pr2568</t>
  </si>
  <si>
    <t>Pr2005</t>
  </si>
  <si>
    <t>Pr2118</t>
  </si>
  <si>
    <t>Pr2238</t>
  </si>
  <si>
    <t>Pr2250</t>
  </si>
  <si>
    <t>Pr2266</t>
  </si>
  <si>
    <t>Pr2267</t>
  </si>
  <si>
    <t>Pr2291</t>
  </si>
  <si>
    <t>Pr2307</t>
  </si>
  <si>
    <t>Pr2341</t>
  </si>
  <si>
    <t>Pr2394</t>
  </si>
  <si>
    <t>Pr2440</t>
  </si>
  <si>
    <t>Pr2477</t>
  </si>
  <si>
    <t>Pr2494</t>
  </si>
  <si>
    <t>Pr2507</t>
  </si>
  <si>
    <t>Pr2012</t>
  </si>
  <si>
    <t>Pr2035</t>
  </si>
  <si>
    <t>Pr2056</t>
  </si>
  <si>
    <t>Pr2076</t>
  </si>
  <si>
    <t>Pr2078</t>
  </si>
  <si>
    <t>Pr2079</t>
  </si>
  <si>
    <t>Pr2082</t>
  </si>
  <si>
    <t>Pr2091</t>
  </si>
  <si>
    <t>Pr2116</t>
  </si>
  <si>
    <t>Pr2131</t>
  </si>
  <si>
    <t>Pr2153</t>
  </si>
  <si>
    <t>Pr2154</t>
  </si>
  <si>
    <t>Pr2169</t>
  </si>
  <si>
    <t>Pr2176</t>
  </si>
  <si>
    <t>Pr2190</t>
  </si>
  <si>
    <t>Pr2200</t>
  </si>
  <si>
    <t>Pr2223</t>
  </si>
  <si>
    <t>Pr2224</t>
  </si>
  <si>
    <t>Pr2235</t>
  </si>
  <si>
    <t>Pr2237</t>
  </si>
  <si>
    <t>Pr2278</t>
  </si>
  <si>
    <t>Pr2309</t>
  </si>
  <si>
    <t>Pr2326</t>
  </si>
  <si>
    <t>Pr2344</t>
  </si>
  <si>
    <t>Pr2431</t>
  </si>
  <si>
    <t>Pr2460</t>
  </si>
  <si>
    <t>Pr2519</t>
  </si>
  <si>
    <t>Pr2521</t>
  </si>
  <si>
    <t>Pr2544</t>
  </si>
  <si>
    <t>Pr2591</t>
  </si>
  <si>
    <t>Etiquetas de fila</t>
  </si>
  <si>
    <t>Total general</t>
  </si>
  <si>
    <t>Cuenta de ID Préstamo</t>
  </si>
  <si>
    <t>Trim.1</t>
  </si>
  <si>
    <t>Trim.2</t>
  </si>
  <si>
    <t>Trim.3</t>
  </si>
  <si>
    <t>Trim.4</t>
  </si>
  <si>
    <t>Suma de Total</t>
  </si>
  <si>
    <t>Alemania</t>
  </si>
  <si>
    <t>Argentina</t>
  </si>
  <si>
    <t>Canadá</t>
  </si>
  <si>
    <t>Estados Unidos</t>
  </si>
  <si>
    <t>Francia</t>
  </si>
  <si>
    <t>Reino Unido</t>
  </si>
  <si>
    <t>Suecia</t>
  </si>
  <si>
    <t>Etiquetas de columna</t>
  </si>
  <si>
    <t>cheque</t>
  </si>
  <si>
    <t>éfectivo</t>
  </si>
  <si>
    <t>Camilo</t>
  </si>
  <si>
    <t>Gladys</t>
  </si>
  <si>
    <t>Marcela</t>
  </si>
  <si>
    <t>No Aportes</t>
  </si>
  <si>
    <t>Razon Social</t>
  </si>
  <si>
    <t>País</t>
  </si>
  <si>
    <t xml:space="preserve">Contacto </t>
  </si>
  <si>
    <t>Fp</t>
  </si>
  <si>
    <t>Compañía</t>
  </si>
  <si>
    <t>Fecha</t>
  </si>
  <si>
    <t>Aporte</t>
  </si>
  <si>
    <t>Bono</t>
  </si>
  <si>
    <t>Total</t>
  </si>
  <si>
    <t>Hungry Coyote Import Store</t>
  </si>
  <si>
    <t>TCC</t>
  </si>
  <si>
    <t>LILA-Supermercado</t>
  </si>
  <si>
    <t>Venezuela</t>
  </si>
  <si>
    <t>DEPRISA</t>
  </si>
  <si>
    <t>Drachenblut Delikatessen</t>
  </si>
  <si>
    <t>Bottom-Dollar Markets</t>
  </si>
  <si>
    <t>Split Rail Beer &amp; Ale</t>
  </si>
  <si>
    <t>Folk och fä HB</t>
  </si>
  <si>
    <t>Toms Spezialitäten</t>
  </si>
  <si>
    <t>Berglunds snabbköp</t>
  </si>
  <si>
    <t>Blondel père et fils</t>
  </si>
  <si>
    <t>Königlich Essen</t>
  </si>
  <si>
    <t>B's Beverages</t>
  </si>
  <si>
    <t>Laughing Bacchus Wine Cellars</t>
  </si>
  <si>
    <t>Mère Paillarde</t>
  </si>
  <si>
    <t>North/South</t>
  </si>
  <si>
    <t>Galería del gastronómo</t>
  </si>
  <si>
    <t>España</t>
  </si>
  <si>
    <t>Tortuga Restaurante</t>
  </si>
  <si>
    <t>México</t>
  </si>
  <si>
    <t>Blauer See Delikatessen</t>
  </si>
  <si>
    <t>Old World Delicatessen</t>
  </si>
  <si>
    <t>Wellington Importadora</t>
  </si>
  <si>
    <t>Brasil</t>
  </si>
  <si>
    <t>Lonesome Pine Restaurant</t>
  </si>
  <si>
    <t>Antonio Moreno Taquería</t>
  </si>
  <si>
    <t>Morgenstern Gesundkost</t>
  </si>
  <si>
    <t>Vins et alcools Chevalier</t>
  </si>
  <si>
    <t>Ana Trujillo Emparedados y hel</t>
  </si>
  <si>
    <t>Folies gourmandes</t>
  </si>
  <si>
    <t>QUICK-Stop</t>
  </si>
  <si>
    <t>Around the Horn</t>
  </si>
  <si>
    <t>Victuailles en stock</t>
  </si>
  <si>
    <t>Rattlesnake Canyon Grocery</t>
  </si>
  <si>
    <t>Tradição Hipermercados</t>
  </si>
  <si>
    <t>France restauration</t>
  </si>
  <si>
    <t>Wilman Kala</t>
  </si>
  <si>
    <t>Finlandia</t>
  </si>
  <si>
    <t>Hanari Carnes</t>
  </si>
  <si>
    <t>Lehmanns Marktstand</t>
  </si>
  <si>
    <t>Great Lakes Food Market</t>
  </si>
  <si>
    <t>Godos Cocina Típica</t>
  </si>
  <si>
    <t>The Cracker Box</t>
  </si>
  <si>
    <t>Piccolo und mehr</t>
  </si>
  <si>
    <t>Austria</t>
  </si>
  <si>
    <t>Rancho grande</t>
  </si>
  <si>
    <t>La maison d'Asie</t>
  </si>
  <si>
    <t>Trail's Head Gourmet Provision</t>
  </si>
  <si>
    <t>HILARIÓN-Abastos</t>
  </si>
  <si>
    <t>Island Trading</t>
  </si>
  <si>
    <t>Que Delícia</t>
  </si>
  <si>
    <t>Gourmet Lanchonetes</t>
  </si>
  <si>
    <t>Familia Arquibaldo</t>
  </si>
  <si>
    <t>Bon app'</t>
  </si>
  <si>
    <t>Suprêmes délices</t>
  </si>
  <si>
    <t>Bélgica</t>
  </si>
  <si>
    <t>LINO-Delicateses</t>
  </si>
  <si>
    <t>White Clover Markets</t>
  </si>
  <si>
    <t>Save-a-lot Markets</t>
  </si>
  <si>
    <t>Océano Atlántico Ltda.</t>
  </si>
  <si>
    <t>Wolski Zajazd</t>
  </si>
  <si>
    <t>Polonia</t>
  </si>
  <si>
    <t>Reggiani Caseifici</t>
  </si>
  <si>
    <t>Italia</t>
  </si>
  <si>
    <t>Romero y tomillo</t>
  </si>
  <si>
    <t>Richter Supermarkt</t>
  </si>
  <si>
    <t>Suiza</t>
  </si>
  <si>
    <t>La corne d'abondance</t>
  </si>
  <si>
    <t>Wilson</t>
  </si>
  <si>
    <t>Princesa Isabel Vinhos</t>
  </si>
  <si>
    <t>Portugal</t>
  </si>
  <si>
    <t>Ricardo Adocicados</t>
  </si>
  <si>
    <t>Maison Dewey</t>
  </si>
  <si>
    <t>Frankenversand</t>
  </si>
  <si>
    <t>Spécialités du monde</t>
  </si>
  <si>
    <t>Ingrid</t>
  </si>
  <si>
    <t>Wartian Herkku</t>
  </si>
  <si>
    <t>Cactus Comidas para llevar</t>
  </si>
  <si>
    <t>Santé Gourmet</t>
  </si>
  <si>
    <t>Noruega</t>
  </si>
  <si>
    <t>Ottilies Käseladen</t>
  </si>
  <si>
    <t>Franchi S.p.A.</t>
  </si>
  <si>
    <t>Pericles Comidas clásicas</t>
  </si>
  <si>
    <t>Seven Seas Imports</t>
  </si>
  <si>
    <t>Lazy K Kountry Store</t>
  </si>
  <si>
    <t>Let's Stop N Shop</t>
  </si>
  <si>
    <t>Furia Bacalhau e Frutos do Mar</t>
  </si>
  <si>
    <t>Chop-suey Chinese</t>
  </si>
  <si>
    <t>GROSELLA-Restaurante</t>
  </si>
  <si>
    <t>Vaffeljernet</t>
  </si>
  <si>
    <t>Dinamarca</t>
  </si>
  <si>
    <t>Magazzini Alimentari Riuniti</t>
  </si>
  <si>
    <t>Comércio Mineiro</t>
  </si>
  <si>
    <t>The Big Cheese</t>
  </si>
  <si>
    <r>
      <rPr>
        <b/>
        <sz val="20"/>
        <rFont val="Congenial Black"/>
      </rPr>
      <t>Dashboard</t>
    </r>
    <r>
      <rPr>
        <sz val="11"/>
        <rFont val="Calibri"/>
        <family val="2"/>
        <scheme val="minor"/>
      </rPr>
      <t xml:space="preserve">
</t>
    </r>
    <r>
      <rPr>
        <b/>
        <sz val="9"/>
        <rFont val="Abadi"/>
        <family val="2"/>
      </rPr>
      <t>Este Es Un Ejemplo De Como Estructurar Un Panel De Control</t>
    </r>
  </si>
  <si>
    <r>
      <rPr>
        <b/>
        <sz val="18"/>
        <color rgb="FF002060"/>
        <rFont val="Algerian"/>
        <family val="5"/>
      </rPr>
      <t>Dashboard</t>
    </r>
    <r>
      <rPr>
        <sz val="11"/>
        <color rgb="FF002060"/>
        <rFont val="Calibri"/>
        <family val="2"/>
        <scheme val="minor"/>
      </rPr>
      <t xml:space="preserve">
</t>
    </r>
    <r>
      <rPr>
        <b/>
        <sz val="11"/>
        <color rgb="FF002060"/>
        <rFont val="Calibri"/>
        <family val="2"/>
        <scheme val="minor"/>
      </rPr>
      <t>Análisis De Datos - Aportes En Dolares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</si>
</sst>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20"/>
      <name val="Congenial Black"/>
    </font>
    <font>
      <sz val="11"/>
      <name val="Calibri"/>
      <family val="2"/>
      <scheme val="minor"/>
    </font>
    <font>
      <b/>
      <sz val="9"/>
      <name val="Abadi"/>
      <family val="2"/>
    </font>
    <font>
      <sz val="11"/>
      <name val="Calibri"/>
      <family val="5"/>
      <scheme val="minor"/>
    </font>
    <font>
      <sz val="11"/>
      <color rgb="FF002060"/>
      <name val="Calibri"/>
      <family val="5"/>
      <scheme val="minor"/>
    </font>
    <font>
      <b/>
      <sz val="18"/>
      <color rgb="FF002060"/>
      <name val="Algerian"/>
      <family val="5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0" fontId="0" fillId="3" borderId="0" xfId="0" applyFill="1" applyAlignment="1">
      <alignment horizontal="left"/>
    </xf>
    <xf numFmtId="0" fontId="6" fillId="3" borderId="0" xfId="0" applyFont="1" applyFill="1" applyAlignment="1">
      <alignment horizontal="left" wrapText="1"/>
    </xf>
    <xf numFmtId="0" fontId="7" fillId="4" borderId="0" xfId="0" applyFont="1" applyFill="1" applyAlignment="1">
      <alignment horizontal="left" wrapText="1"/>
    </xf>
    <xf numFmtId="0" fontId="0" fillId="4" borderId="0" xfId="0" applyFill="1" applyAlignment="1">
      <alignment horizontal="left"/>
    </xf>
    <xf numFmtId="0" fontId="2" fillId="5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44" fontId="2" fillId="5" borderId="2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</cellXfs>
  <cellStyles count="1">
    <cellStyle name="Normal" xfId="0" builtinId="0"/>
  </cellStyles>
  <dxfs count="3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</dxf>
    <dxf>
      <numFmt numFmtId="34" formatCode="_-&quot;$&quot;\ * #,##0.00_-;\-&quot;$&quot;\ * #,##0.00_-;_-&quot;$&quot;\ * &quot;-&quot;??_-;_-@_-"/>
    </dxf>
    <dxf>
      <numFmt numFmtId="164" formatCode="&quot;$&quot;\ #,##0.00"/>
    </dxf>
    <dxf>
      <numFmt numFmtId="164" formatCode="&quot;$&quot;\ #,##0.00"/>
    </dxf>
    <dxf>
      <numFmt numFmtId="34" formatCode="_-&quot;$&quot;\ * #,##0.00_-;\-&quot;$&quot;\ * #,##0.00_-;_-&quot;$&quot;\ * &quot;-&quot;??_-;_-@_-"/>
    </dxf>
    <dxf>
      <numFmt numFmtId="19" formatCode="d/mm/yyyy"/>
    </dxf>
    <dxf>
      <numFmt numFmtId="30" formatCode="@"/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9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alignment horizontal="center" vertical="bottom" textRotation="0" wrapText="0" indent="0" justifyLastLine="0" shrinkToFit="0" readingOrder="0"/>
    </dxf>
    <dxf>
      <numFmt numFmtId="19" formatCode="d/mm/yyyy"/>
    </dxf>
    <dxf>
      <numFmt numFmtId="19" formatCode="d/mm/yyyy"/>
    </dxf>
    <dxf>
      <numFmt numFmtId="30" formatCode="@"/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numFmt numFmtId="30" formatCode="@"/>
    </dxf>
    <dxf>
      <numFmt numFmtId="30" formatCode="@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07/relationships/slicerCache" Target="slicerCaches/slicerCache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microsoft.com/office/2011/relationships/timelineCache" Target="timelineCaches/timelineCache2.xml"/><Relationship Id="rId23" Type="http://schemas.openxmlformats.org/officeDocument/2006/relationships/customXml" Target="../customXml/item3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1/relationships/timelineCache" Target="timelineCaches/timelineCache1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[Proyecto_FinalSilvaJheison.xlsx]Hoja1!TablaDinámica3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Cantidad Libros Prestados x Tipo Usuario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Hoja1!$A$4:$A$9</c:f>
              <c:strCache>
                <c:ptCount val="5"/>
                <c:pt idx="0">
                  <c:v>Adulto</c:v>
                </c:pt>
                <c:pt idx="1">
                  <c:v>Estudiante</c:v>
                </c:pt>
                <c:pt idx="2">
                  <c:v>Niño</c:v>
                </c:pt>
                <c:pt idx="3">
                  <c:v>Otros</c:v>
                </c:pt>
                <c:pt idx="4">
                  <c:v>Universidad</c:v>
                </c:pt>
              </c:strCache>
            </c:strRef>
          </c:cat>
          <c:val>
            <c:numRef>
              <c:f>Hoja1!$B$4:$B$9</c:f>
              <c:numCache>
                <c:formatCode>General</c:formatCode>
                <c:ptCount val="5"/>
                <c:pt idx="0">
                  <c:v>194</c:v>
                </c:pt>
                <c:pt idx="1">
                  <c:v>75</c:v>
                </c:pt>
                <c:pt idx="2">
                  <c:v>132</c:v>
                </c:pt>
                <c:pt idx="3">
                  <c:v>58</c:v>
                </c:pt>
                <c:pt idx="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0-48F0-93B4-1000449E79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651241343"/>
        <c:axId val="1651234623"/>
        <c:axId val="0"/>
      </c:bar3DChart>
      <c:catAx>
        <c:axId val="165124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Categorias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1234623"/>
        <c:crosses val="autoZero"/>
        <c:auto val="1"/>
        <c:lblAlgn val="ctr"/>
        <c:lblOffset val="100"/>
        <c:noMultiLvlLbl val="0"/>
      </c:catAx>
      <c:valAx>
        <c:axId val="165123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Cantidd Libros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1241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[Proyecto_FinalSilvaJheison.xlsx]Hoja1!TablaDinámica4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Prestamos X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Hoja1!$B$21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12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CC6-4600-95AF-0701ED44A1E3}"/>
              </c:ext>
            </c:extLst>
          </c:dPt>
          <c:dPt>
            <c:idx val="1"/>
            <c:bubble3D val="0"/>
            <c:explosion val="38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7CC6-4600-95AF-0701ED44A1E3}"/>
              </c:ext>
            </c:extLst>
          </c:dPt>
          <c:dPt>
            <c:idx val="2"/>
            <c:bubble3D val="0"/>
            <c:explosion val="1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7CC6-4600-95AF-0701ED44A1E3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C6-4600-95AF-0701ED44A1E3}"/>
                </c:ext>
              </c:extLst>
            </c:dLbl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CC6-4600-95AF-0701ED44A1E3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CC6-4600-95AF-0701ED44A1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Hoja1!$A$22:$A$25</c:f>
              <c:strCache>
                <c:ptCount val="3"/>
                <c:pt idx="0">
                  <c:v>Devuelto</c:v>
                </c:pt>
                <c:pt idx="1">
                  <c:v>Pendiente</c:v>
                </c:pt>
                <c:pt idx="2">
                  <c:v>Retrasado</c:v>
                </c:pt>
              </c:strCache>
            </c:strRef>
          </c:cat>
          <c:val>
            <c:numRef>
              <c:f>Hoja1!$B$22:$B$25</c:f>
              <c:numCache>
                <c:formatCode>General</c:formatCode>
                <c:ptCount val="3"/>
                <c:pt idx="0">
                  <c:v>220</c:v>
                </c:pt>
                <c:pt idx="1">
                  <c:v>120</c:v>
                </c:pt>
                <c:pt idx="2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6-4600-95AF-0701ED44A1E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[Proyecto_FinalSilvaJheison.xlsx]Hoja1!TablaDinámica6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Prestamos x Trimestre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Hoja1!$B$36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Hoja1!$A$37:$A$41</c:f>
              <c:strCache>
                <c:ptCount val="4"/>
                <c:pt idx="0">
                  <c:v>Trim.1</c:v>
                </c:pt>
                <c:pt idx="1">
                  <c:v>Trim.2</c:v>
                </c:pt>
                <c:pt idx="2">
                  <c:v>Trim.3</c:v>
                </c:pt>
                <c:pt idx="3">
                  <c:v>Trim.4</c:v>
                </c:pt>
              </c:strCache>
            </c:strRef>
          </c:cat>
          <c:val>
            <c:numRef>
              <c:f>Hoja1!$B$37:$B$41</c:f>
              <c:numCache>
                <c:formatCode>General</c:formatCode>
                <c:ptCount val="4"/>
                <c:pt idx="0">
                  <c:v>184</c:v>
                </c:pt>
                <c:pt idx="1">
                  <c:v>140</c:v>
                </c:pt>
                <c:pt idx="2">
                  <c:v>160</c:v>
                </c:pt>
                <c:pt idx="3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7-4CEA-BDEA-0B3379AB3DF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6247471"/>
        <c:axId val="1936248431"/>
      </c:lineChart>
      <c:catAx>
        <c:axId val="19362474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6248431"/>
        <c:crosses val="autoZero"/>
        <c:auto val="1"/>
        <c:lblAlgn val="ctr"/>
        <c:lblOffset val="100"/>
        <c:noMultiLvlLbl val="0"/>
      </c:catAx>
      <c:valAx>
        <c:axId val="19362484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624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[Proyecto_FinalSilvaJheison.xlsx]Hoja1!TablaDinámica3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Cantidad Libros Prestados x Tipo Usuario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Hoja1!$A$4:$A$9</c:f>
              <c:strCache>
                <c:ptCount val="5"/>
                <c:pt idx="0">
                  <c:v>Adulto</c:v>
                </c:pt>
                <c:pt idx="1">
                  <c:v>Estudiante</c:v>
                </c:pt>
                <c:pt idx="2">
                  <c:v>Niño</c:v>
                </c:pt>
                <c:pt idx="3">
                  <c:v>Otros</c:v>
                </c:pt>
                <c:pt idx="4">
                  <c:v>Universidad</c:v>
                </c:pt>
              </c:strCache>
            </c:strRef>
          </c:cat>
          <c:val>
            <c:numRef>
              <c:f>Hoja1!$B$4:$B$9</c:f>
              <c:numCache>
                <c:formatCode>General</c:formatCode>
                <c:ptCount val="5"/>
                <c:pt idx="0">
                  <c:v>194</c:v>
                </c:pt>
                <c:pt idx="1">
                  <c:v>75</c:v>
                </c:pt>
                <c:pt idx="2">
                  <c:v>132</c:v>
                </c:pt>
                <c:pt idx="3">
                  <c:v>58</c:v>
                </c:pt>
                <c:pt idx="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F-410F-BB13-53F2E89BCB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651241343"/>
        <c:axId val="1651234623"/>
        <c:axId val="0"/>
      </c:bar3DChart>
      <c:catAx>
        <c:axId val="165124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Categorias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1234623"/>
        <c:crosses val="autoZero"/>
        <c:auto val="1"/>
        <c:lblAlgn val="ctr"/>
        <c:lblOffset val="100"/>
        <c:noMultiLvlLbl val="0"/>
      </c:catAx>
      <c:valAx>
        <c:axId val="165123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Cantidd Libros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1241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[Proyecto_FinalSilvaJheison.xlsx]Hoja1!TablaDinámica4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Prestamos X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Hoja1!$B$21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12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AF69-4043-9B8D-ED290F40D739}"/>
              </c:ext>
            </c:extLst>
          </c:dPt>
          <c:dPt>
            <c:idx val="1"/>
            <c:bubble3D val="0"/>
            <c:explosion val="38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AF69-4043-9B8D-ED290F40D739}"/>
              </c:ext>
            </c:extLst>
          </c:dPt>
          <c:dPt>
            <c:idx val="2"/>
            <c:bubble3D val="0"/>
            <c:explosion val="1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AF69-4043-9B8D-ED290F40D739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69-4043-9B8D-ED290F40D739}"/>
                </c:ext>
              </c:extLst>
            </c:dLbl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69-4043-9B8D-ED290F40D739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69-4043-9B8D-ED290F40D7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Hoja1!$A$22:$A$25</c:f>
              <c:strCache>
                <c:ptCount val="3"/>
                <c:pt idx="0">
                  <c:v>Devuelto</c:v>
                </c:pt>
                <c:pt idx="1">
                  <c:v>Pendiente</c:v>
                </c:pt>
                <c:pt idx="2">
                  <c:v>Retrasado</c:v>
                </c:pt>
              </c:strCache>
            </c:strRef>
          </c:cat>
          <c:val>
            <c:numRef>
              <c:f>Hoja1!$B$22:$B$25</c:f>
              <c:numCache>
                <c:formatCode>General</c:formatCode>
                <c:ptCount val="3"/>
                <c:pt idx="0">
                  <c:v>220</c:v>
                </c:pt>
                <c:pt idx="1">
                  <c:v>120</c:v>
                </c:pt>
                <c:pt idx="2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69-4043-9B8D-ED290F40D73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[Proyecto_FinalSilvaJheison.xlsx]Hoja1!TablaDinámica6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Prestamos x Trimestre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Hoja1!$B$36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Hoja1!$A$37:$A$41</c:f>
              <c:strCache>
                <c:ptCount val="4"/>
                <c:pt idx="0">
                  <c:v>Trim.1</c:v>
                </c:pt>
                <c:pt idx="1">
                  <c:v>Trim.2</c:v>
                </c:pt>
                <c:pt idx="2">
                  <c:v>Trim.3</c:v>
                </c:pt>
                <c:pt idx="3">
                  <c:v>Trim.4</c:v>
                </c:pt>
              </c:strCache>
            </c:strRef>
          </c:cat>
          <c:val>
            <c:numRef>
              <c:f>Hoja1!$B$37:$B$41</c:f>
              <c:numCache>
                <c:formatCode>General</c:formatCode>
                <c:ptCount val="4"/>
                <c:pt idx="0">
                  <c:v>184</c:v>
                </c:pt>
                <c:pt idx="1">
                  <c:v>140</c:v>
                </c:pt>
                <c:pt idx="2">
                  <c:v>160</c:v>
                </c:pt>
                <c:pt idx="3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F-4242-9F05-883A5323CBB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6247471"/>
        <c:axId val="1936248431"/>
      </c:lineChart>
      <c:catAx>
        <c:axId val="19362474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6248431"/>
        <c:crosses val="autoZero"/>
        <c:auto val="1"/>
        <c:lblAlgn val="ctr"/>
        <c:lblOffset val="100"/>
        <c:noMultiLvlLbl val="0"/>
      </c:catAx>
      <c:valAx>
        <c:axId val="19362484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624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[Proyecto_FinalSilvaJheison.xlsx]Hoja2!TablaDinámica2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Total Aportes x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Hoja2!$A$4:$A$11</c:f>
              <c:strCache>
                <c:ptCount val="7"/>
                <c:pt idx="0">
                  <c:v>Alemania</c:v>
                </c:pt>
                <c:pt idx="1">
                  <c:v>Argentina</c:v>
                </c:pt>
                <c:pt idx="2">
                  <c:v>Canadá</c:v>
                </c:pt>
                <c:pt idx="3">
                  <c:v>Estados Unidos</c:v>
                </c:pt>
                <c:pt idx="4">
                  <c:v>Francia</c:v>
                </c:pt>
                <c:pt idx="5">
                  <c:v>Reino Unido</c:v>
                </c:pt>
                <c:pt idx="6">
                  <c:v>Suecia</c:v>
                </c:pt>
              </c:strCache>
            </c:strRef>
          </c:cat>
          <c:val>
            <c:numRef>
              <c:f>Hoja2!$B$4:$B$11</c:f>
              <c:numCache>
                <c:formatCode>_("$"* #,##0.00_);_("$"* \(#,##0.00\);_("$"* "-"??_);_(@_)</c:formatCode>
                <c:ptCount val="7"/>
                <c:pt idx="0">
                  <c:v>539.48928000000001</c:v>
                </c:pt>
                <c:pt idx="1">
                  <c:v>645.34367999999995</c:v>
                </c:pt>
                <c:pt idx="2">
                  <c:v>731.45519999999999</c:v>
                </c:pt>
                <c:pt idx="3">
                  <c:v>285.25952000000001</c:v>
                </c:pt>
                <c:pt idx="4">
                  <c:v>1456.93776</c:v>
                </c:pt>
                <c:pt idx="5">
                  <c:v>418.33855999999997</c:v>
                </c:pt>
                <c:pt idx="6">
                  <c:v>529.84064000000001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3-4CF6-8078-67A5DD772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3102848"/>
        <c:axId val="1633103328"/>
      </c:lineChart>
      <c:catAx>
        <c:axId val="1633102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3103328"/>
        <c:crosses val="autoZero"/>
        <c:auto val="1"/>
        <c:lblAlgn val="ctr"/>
        <c:lblOffset val="100"/>
        <c:noMultiLvlLbl val="0"/>
      </c:catAx>
      <c:valAx>
        <c:axId val="16331033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310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[Proyecto_FinalSilvaJheison.xlsx]Hoja2!TablaDinámica3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% AportesxPaís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</c:pivotFmt>
      <c:pivotFmt>
        <c:idx val="1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</c:pivotFmt>
      <c:pivotFmt>
        <c:idx val="1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</c:pivotFmt>
      <c:pivotFmt>
        <c:idx val="1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</c:pivotFmt>
      <c:pivotFmt>
        <c:idx val="15"/>
        <c:spPr>
          <a:gradFill rotWithShape="1">
            <a:gsLst>
              <a:gs pos="0">
                <a:schemeClr val="accent1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Hoja2!$B$28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1-8927-4EA0-B786-D00F56FB197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3-8927-4EA0-B786-D00F56FB197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5-8927-4EA0-B786-D00F56FB197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7-8927-4EA0-B786-D00F56FB197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9-8927-4EA0-B786-D00F56FB197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B-8927-4EA0-B786-D00F56FB197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D-8927-4EA0-B786-D00F56FB19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Hoja2!$A$29:$A$36</c:f>
              <c:strCache>
                <c:ptCount val="7"/>
                <c:pt idx="0">
                  <c:v>Alemania</c:v>
                </c:pt>
                <c:pt idx="1">
                  <c:v>Argentina</c:v>
                </c:pt>
                <c:pt idx="2">
                  <c:v>Canadá</c:v>
                </c:pt>
                <c:pt idx="3">
                  <c:v>Estados Unidos</c:v>
                </c:pt>
                <c:pt idx="4">
                  <c:v>Francia</c:v>
                </c:pt>
                <c:pt idx="5">
                  <c:v>Reino Unido</c:v>
                </c:pt>
                <c:pt idx="6">
                  <c:v>Suecia</c:v>
                </c:pt>
              </c:strCache>
            </c:strRef>
          </c:cat>
          <c:val>
            <c:numRef>
              <c:f>Hoja2!$B$29:$B$36</c:f>
              <c:numCache>
                <c:formatCode>0.00%</c:formatCode>
                <c:ptCount val="7"/>
                <c:pt idx="0">
                  <c:v>0.1171106043438838</c:v>
                </c:pt>
                <c:pt idx="1">
                  <c:v>0.14008913833154563</c:v>
                </c:pt>
                <c:pt idx="2">
                  <c:v>0.15878195118627081</c:v>
                </c:pt>
                <c:pt idx="3">
                  <c:v>6.1923222611663775E-2</c:v>
                </c:pt>
                <c:pt idx="4">
                  <c:v>0.31626738081806616</c:v>
                </c:pt>
                <c:pt idx="5">
                  <c:v>9.0811594221019726E-2</c:v>
                </c:pt>
                <c:pt idx="6">
                  <c:v>0.11501610848754988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927-4EA0-B786-D00F56FB197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[Proyecto_FinalSilvaJheison.xlsx]Hoja2!TablaDinámica4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Aportes x Contacto y Forma De Pago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Hoja2!$B$55:$B$56</c:f>
              <c:strCache>
                <c:ptCount val="1"/>
                <c:pt idx="0">
                  <c:v>cheque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Hoja2!$A$57:$A$60</c:f>
              <c:strCache>
                <c:ptCount val="3"/>
                <c:pt idx="0">
                  <c:v>Camilo</c:v>
                </c:pt>
                <c:pt idx="1">
                  <c:v>Gladys</c:v>
                </c:pt>
                <c:pt idx="2">
                  <c:v>Marcela</c:v>
                </c:pt>
              </c:strCache>
            </c:strRef>
          </c:cat>
          <c:val>
            <c:numRef>
              <c:f>Hoja2!$B$57:$B$60</c:f>
              <c:numCache>
                <c:formatCode>"$"\ #,##0.00</c:formatCode>
                <c:ptCount val="3"/>
                <c:pt idx="0">
                  <c:v>1991.0806400000001</c:v>
                </c:pt>
                <c:pt idx="1">
                  <c:v>1785.8662399999998</c:v>
                </c:pt>
                <c:pt idx="2">
                  <c:v>418.33855999999997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5-4372-892B-6456A999F332}"/>
            </c:ext>
          </c:extLst>
        </c:ser>
        <c:ser>
          <c:idx val="1"/>
          <c:order val="1"/>
          <c:tx>
            <c:strRef>
              <c:f>Hoja2!$C$55:$C$56</c:f>
              <c:strCache>
                <c:ptCount val="1"/>
                <c:pt idx="0">
                  <c:v>éfectivo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Hoja2!$A$57:$A$60</c:f>
              <c:strCache>
                <c:ptCount val="3"/>
                <c:pt idx="0">
                  <c:v>Camilo</c:v>
                </c:pt>
                <c:pt idx="1">
                  <c:v>Gladys</c:v>
                </c:pt>
                <c:pt idx="2">
                  <c:v>Marcela</c:v>
                </c:pt>
              </c:strCache>
            </c:strRef>
          </c:cat>
          <c:val>
            <c:numRef>
              <c:f>Hoja2!$C$57:$C$60</c:f>
              <c:numCache>
                <c:formatCode>"$"\ #,##0.00</c:formatCode>
                <c:ptCount val="3"/>
                <c:pt idx="0">
                  <c:v>232.512</c:v>
                </c:pt>
                <c:pt idx="1">
                  <c:v>178.8672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B5-4372-892B-6456A999F3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41044288"/>
        <c:axId val="1741046688"/>
        <c:axId val="0"/>
      </c:bar3DChart>
      <c:catAx>
        <c:axId val="174104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1046688"/>
        <c:crosses val="autoZero"/>
        <c:auto val="1"/>
        <c:lblAlgn val="ctr"/>
        <c:lblOffset val="100"/>
        <c:noMultiLvlLbl val="0"/>
      </c:catAx>
      <c:valAx>
        <c:axId val="174104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104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Total Aportes x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Lit>
              <c:ptCount val="7"/>
              <c:pt idx="0">
                <c:v>Alemania</c:v>
              </c:pt>
              <c:pt idx="1">
                <c:v>Argentina</c:v>
              </c:pt>
              <c:pt idx="2">
                <c:v>Canadá</c:v>
              </c:pt>
              <c:pt idx="3">
                <c:v>Estados Unidos</c:v>
              </c:pt>
              <c:pt idx="4">
                <c:v>Francia</c:v>
              </c:pt>
              <c:pt idx="5">
                <c:v>Reino Unido</c:v>
              </c:pt>
              <c:pt idx="6">
                <c:v>Suecia</c:v>
              </c:pt>
            </c:strLit>
          </c:cat>
          <c:val>
            <c:numLit>
              <c:formatCode>General</c:formatCode>
              <c:ptCount val="7"/>
              <c:pt idx="0">
                <c:v>539.48928000000001</c:v>
              </c:pt>
              <c:pt idx="1">
                <c:v>645.34367999999995</c:v>
              </c:pt>
              <c:pt idx="2">
                <c:v>731.45519999999999</c:v>
              </c:pt>
              <c:pt idx="3">
                <c:v>285.25952000000001</c:v>
              </c:pt>
              <c:pt idx="4">
                <c:v>1456.93776</c:v>
              </c:pt>
              <c:pt idx="5">
                <c:v>418.33855999999997</c:v>
              </c:pt>
              <c:pt idx="6">
                <c:v>529.84064000000001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ADB-4108-8F34-8B7AC8205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3102848"/>
        <c:axId val="1633103328"/>
      </c:lineChart>
      <c:catAx>
        <c:axId val="1633102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3103328"/>
        <c:crosses val="autoZero"/>
        <c:auto val="1"/>
        <c:lblAlgn val="ctr"/>
        <c:lblOffset val="100"/>
        <c:noMultiLvlLbl val="0"/>
      </c:catAx>
      <c:valAx>
        <c:axId val="16331033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310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Aportes x Contacto y Forma De Pago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v>cheque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Camilo</c:v>
              </c:pt>
              <c:pt idx="1">
                <c:v>Gladys</c:v>
              </c:pt>
              <c:pt idx="2">
                <c:v>Marcela</c:v>
              </c:pt>
            </c:strLit>
          </c:cat>
          <c:val>
            <c:numLit>
              <c:formatCode>General</c:formatCode>
              <c:ptCount val="3"/>
              <c:pt idx="0">
                <c:v>1991.0806400000001</c:v>
              </c:pt>
              <c:pt idx="1">
                <c:v>1785.8662399999998</c:v>
              </c:pt>
              <c:pt idx="2">
                <c:v>418.33855999999997</c:v>
              </c:pt>
            </c:numLit>
          </c:val>
          <c:extLst>
            <c:ext xmlns:c16="http://schemas.microsoft.com/office/drawing/2014/chart" uri="{C3380CC4-5D6E-409C-BE32-E72D297353CC}">
              <c16:uniqueId val="{00000000-810B-432C-BAF5-B73B2334D2C8}"/>
            </c:ext>
          </c:extLst>
        </c:ser>
        <c:ser>
          <c:idx val="1"/>
          <c:order val="1"/>
          <c:tx>
            <c:v>éfectivo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Camilo</c:v>
              </c:pt>
              <c:pt idx="1">
                <c:v>Gladys</c:v>
              </c:pt>
              <c:pt idx="2">
                <c:v>Marcela</c:v>
              </c:pt>
            </c:strLit>
          </c:cat>
          <c:val>
            <c:numLit>
              <c:formatCode>General</c:formatCode>
              <c:ptCount val="3"/>
              <c:pt idx="0">
                <c:v>232.512</c:v>
              </c:pt>
              <c:pt idx="1">
                <c:v>178.8672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10B-432C-BAF5-B73B2334D2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41044288"/>
        <c:axId val="1741046688"/>
        <c:axId val="0"/>
      </c:bar3DChart>
      <c:catAx>
        <c:axId val="174104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1046688"/>
        <c:crosses val="autoZero"/>
        <c:auto val="1"/>
        <c:lblAlgn val="ctr"/>
        <c:lblOffset val="100"/>
        <c:noMultiLvlLbl val="0"/>
      </c:catAx>
      <c:valAx>
        <c:axId val="174104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104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% AportesxPaís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</c:pivotFmt>
      <c:pivotFmt>
        <c:idx val="25"/>
      </c:pivotFmt>
      <c:pivotFmt>
        <c:idx val="26"/>
      </c:pivotFmt>
      <c:pivotFmt>
        <c:idx val="27"/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</c:pivotFmt>
      <c:pivotFmt>
        <c:idx val="29"/>
      </c:pivotFmt>
      <c:pivotFmt>
        <c:idx val="30"/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</c:pivotFmt>
      <c:pivotFmt>
        <c:idx val="32"/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/>
        </c:spPr>
      </c:pivotFmt>
      <c:pivotFmt>
        <c:idx val="41"/>
      </c:pivotFmt>
      <c:pivotFmt>
        <c:idx val="42"/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1-5985-429E-B9E7-A60806FF545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3-5985-429E-B9E7-A60806FF545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5-5985-429E-B9E7-A60806FF545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7-5985-429E-B9E7-A60806FF545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9-5985-429E-B9E7-A60806FF545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B-5985-429E-B9E7-A60806FF545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D-5985-429E-B9E7-A60806FF545E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0F-5985-429E-B9E7-A60806FF545E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11-5985-429E-B9E7-A60806FF545E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13-5985-429E-B9E7-A60806FF545E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15-5985-429E-B9E7-A60806FF545E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17-5985-429E-B9E7-A60806FF545E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19-5985-429E-B9E7-A60806FF545E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1B-5985-429E-B9E7-A60806FF545E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1D-5985-429E-B9E7-A60806FF545E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1F-5985-429E-B9E7-A60806FF545E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21-5985-429E-B9E7-A60806FF545E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23-5985-429E-B9E7-A60806FF545E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25-5985-429E-B9E7-A60806FF545E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/>
            </c:spPr>
            <c:extLst>
              <c:ext xmlns:c16="http://schemas.microsoft.com/office/drawing/2014/chart" uri="{C3380CC4-5D6E-409C-BE32-E72D297353CC}">
                <c16:uniqueId val="{00000027-5985-429E-B9E7-A60806FF54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7"/>
              <c:pt idx="0">
                <c:v>Alemania</c:v>
              </c:pt>
              <c:pt idx="1">
                <c:v>Argentina</c:v>
              </c:pt>
              <c:pt idx="2">
                <c:v>Canadá</c:v>
              </c:pt>
              <c:pt idx="3">
                <c:v>Estados Unidos</c:v>
              </c:pt>
              <c:pt idx="4">
                <c:v>Francia</c:v>
              </c:pt>
              <c:pt idx="5">
                <c:v>Reino Unido</c:v>
              </c:pt>
              <c:pt idx="6">
                <c:v>Suecia</c:v>
              </c:pt>
            </c:strLit>
          </c:cat>
          <c:val>
            <c:numLit>
              <c:formatCode>General</c:formatCode>
              <c:ptCount val="7"/>
              <c:pt idx="0">
                <c:v>0.1171106043438838</c:v>
              </c:pt>
              <c:pt idx="1">
                <c:v>0.14008913833154563</c:v>
              </c:pt>
              <c:pt idx="2">
                <c:v>0.15878195118627081</c:v>
              </c:pt>
              <c:pt idx="3">
                <c:v>6.1923222611663775E-2</c:v>
              </c:pt>
              <c:pt idx="4">
                <c:v>0.31626738081806616</c:v>
              </c:pt>
              <c:pt idx="5">
                <c:v>9.0811594221019726E-2</c:v>
              </c:pt>
              <c:pt idx="6">
                <c:v>0.11501610848754988</c:v>
              </c:pt>
            </c:numLit>
          </c:val>
          <c:extLst>
            <c:ext xmlns:c16="http://schemas.microsoft.com/office/drawing/2014/chart" uri="{C3380CC4-5D6E-409C-BE32-E72D297353CC}">
              <c16:uniqueId val="{00000028-5985-429E-B9E7-A60806FF545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image" Target="../media/image7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403860</xdr:colOff>
      <xdr:row>1</xdr:row>
      <xdr:rowOff>30480</xdr:rowOff>
    </xdr:from>
    <xdr:to>
      <xdr:col>8</xdr:col>
      <xdr:colOff>220980</xdr:colOff>
      <xdr:row>16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ACD2C2-B5D3-77A8-4ED1-3068921AD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624840</xdr:colOff>
      <xdr:row>2</xdr:row>
      <xdr:rowOff>68580</xdr:rowOff>
    </xdr:from>
    <xdr:to>
      <xdr:col>11</xdr:col>
      <xdr:colOff>76200</xdr:colOff>
      <xdr:row>15</xdr:row>
      <xdr:rowOff>158115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ías Retraso Reportados">
              <a:extLst>
                <a:ext uri="{FF2B5EF4-FFF2-40B4-BE49-F238E27FC236}">
                  <a16:creationId xmlns:a16="http://schemas.microsoft.com/office/drawing/2014/main" id="{9AA0CC53-6F6A-8BFB-1C11-E4E3357006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ías Retraso Reportad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68640" y="43434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335280</xdr:colOff>
      <xdr:row>17</xdr:row>
      <xdr:rowOff>76200</xdr:rowOff>
    </xdr:from>
    <xdr:to>
      <xdr:col>8</xdr:col>
      <xdr:colOff>152400</xdr:colOff>
      <xdr:row>32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878D241-305F-5ECC-3294-B16CC151A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541020</xdr:colOff>
      <xdr:row>35</xdr:row>
      <xdr:rowOff>148590</xdr:rowOff>
    </xdr:from>
    <xdr:to>
      <xdr:col>8</xdr:col>
      <xdr:colOff>358140</xdr:colOff>
      <xdr:row>50</xdr:row>
      <xdr:rowOff>148590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4DE0197-8A41-02E3-7DB6-73133CDF3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411480</xdr:colOff>
      <xdr:row>36</xdr:row>
      <xdr:rowOff>45720</xdr:rowOff>
    </xdr:from>
    <xdr:to>
      <xdr:col>12</xdr:col>
      <xdr:colOff>579120</xdr:colOff>
      <xdr:row>43</xdr:row>
      <xdr:rowOff>137160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Fecha Préstamo">
              <a:extLst>
                <a:ext uri="{FF2B5EF4-FFF2-40B4-BE49-F238E27FC236}">
                  <a16:creationId xmlns:a16="http://schemas.microsoft.com/office/drawing/2014/main" id="{9D481AD8-2D07-3748-323E-E7F1582A88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Préstam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55280" y="662940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4</xdr:col>
      <xdr:colOff>0</xdr:colOff>
      <xdr:row>8</xdr:row>
      <xdr:rowOff>731520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Fecha Préstamo 1">
              <a:extLst>
                <a:ext uri="{FF2B5EF4-FFF2-40B4-BE49-F238E27FC236}">
                  <a16:creationId xmlns:a16="http://schemas.microsoft.com/office/drawing/2014/main" id="{E73D0EE7-0393-471B-8874-A3AB971CF5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Préstam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31520"/>
              <a:ext cx="3169920" cy="1463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ías Retraso Reportados 1">
              <a:extLst>
                <a:ext uri="{FF2B5EF4-FFF2-40B4-BE49-F238E27FC236}">
                  <a16:creationId xmlns:a16="http://schemas.microsoft.com/office/drawing/2014/main" id="{EED8EA9D-0970-413B-B097-761847C857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ías Retraso Reportado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3169920" cy="731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9</xdr:row>
      <xdr:rowOff>7620</xdr:rowOff>
    </xdr:from>
    <xdr:to>
      <xdr:col>3</xdr:col>
      <xdr:colOff>784860</xdr:colOff>
      <xdr:row>14</xdr:row>
      <xdr:rowOff>7620</xdr:rowOff>
    </xdr:to>
    <xdr:sp macro="" textlink="Hoja1!$B$57">
      <xdr:nvSpPr>
        <xdr:cNvPr id="4" name="Rectángulo: esquinas redondeadas 3">
          <a:extLst>
            <a:ext uri="{FF2B5EF4-FFF2-40B4-BE49-F238E27FC236}">
              <a16:creationId xmlns:a16="http://schemas.microsoft.com/office/drawing/2014/main" id="{42933B28-8D5A-4A97-5723-73E9136AA78D}"/>
            </a:ext>
          </a:extLst>
        </xdr:cNvPr>
        <xdr:cNvSpPr/>
      </xdr:nvSpPr>
      <xdr:spPr>
        <a:xfrm>
          <a:off x="0" y="2209800"/>
          <a:ext cx="3162300" cy="9144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D8BD17D-45DF-4D4C-BA78-045D6B62AA49}" type="TxLink">
            <a:rPr lang="en-US" sz="4000" b="1" i="0" u="none" strike="noStrike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accent6"/>
              </a:solid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Calibri"/>
              <a:ea typeface="Calibri"/>
              <a:cs typeface="Calibri"/>
            </a:rPr>
            <a:pPr algn="ctr"/>
            <a:t>600</a:t>
          </a:fld>
          <a:endParaRPr lang="es-CO" sz="4000" b="1" cap="none" spc="0">
            <a:ln w="12700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chemeClr val="accent6"/>
            </a:solidFill>
            <a:effectLst>
              <a:innerShdw blurRad="177800">
                <a:schemeClr val="accent3">
                  <a:lumMod val="50000"/>
                </a:schemeClr>
              </a:innerShdw>
            </a:effectLst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14</xdr:row>
          <xdr:rowOff>15240</xdr:rowOff>
        </xdr:from>
        <xdr:to>
          <xdr:col>3</xdr:col>
          <xdr:colOff>784860</xdr:colOff>
          <xdr:row>19</xdr:row>
          <xdr:rowOff>167640</xdr:rowOff>
        </xdr:to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7256B501-DC19-3EC0-1B29-E6EBE4ECDFB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1!$A$36:$B$41" spid="_x0000_s72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620" y="3131820"/>
              <a:ext cx="3154680" cy="10668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182879</xdr:rowOff>
        </xdr:from>
        <xdr:to>
          <xdr:col>4</xdr:col>
          <xdr:colOff>0</xdr:colOff>
          <xdr:row>26</xdr:row>
          <xdr:rowOff>7620</xdr:rowOff>
        </xdr:to>
        <xdr:pic>
          <xdr:nvPicPr>
            <xdr:cNvPr id="6" name="Imagen 5">
              <a:extLst>
                <a:ext uri="{FF2B5EF4-FFF2-40B4-BE49-F238E27FC236}">
                  <a16:creationId xmlns:a16="http://schemas.microsoft.com/office/drawing/2014/main" id="{9B25EF5C-5B62-BEAF-CE53-7303B21A5BE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1!$A$21:$B$25" spid="_x0000_s721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0" y="4213859"/>
              <a:ext cx="3169920" cy="110490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22860</xdr:rowOff>
        </xdr:from>
        <xdr:to>
          <xdr:col>4</xdr:col>
          <xdr:colOff>0</xdr:colOff>
          <xdr:row>31</xdr:row>
          <xdr:rowOff>167640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865E1498-30B5-FDB1-B5AA-52A53768A4E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1!$A$3:$B$9" spid="_x0000_s7213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0" y="5334000"/>
              <a:ext cx="3169920" cy="105918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11</xdr:col>
      <xdr:colOff>0</xdr:colOff>
      <xdr:row>4</xdr:row>
      <xdr:rowOff>0</xdr:rowOff>
    </xdr:from>
    <xdr:to>
      <xdr:col>19</xdr:col>
      <xdr:colOff>0</xdr:colOff>
      <xdr:row>31</xdr:row>
      <xdr:rowOff>175260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98B4452-AB24-4B5B-8A54-349BDB2C6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4</xdr:row>
      <xdr:rowOff>0</xdr:rowOff>
    </xdr:from>
    <xdr:to>
      <xdr:col>10</xdr:col>
      <xdr:colOff>777240</xdr:colOff>
      <xdr:row>17</xdr:row>
      <xdr:rowOff>175260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7D5CE88-DAAC-4FE3-AA52-9FA1B2F15A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11</xdr:col>
      <xdr:colOff>0</xdr:colOff>
      <xdr:row>32</xdr:row>
      <xdr:rowOff>15240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AF690F2-A3E7-4A5C-AD72-5BE7160A8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5</xdr:row>
      <xdr:rowOff>41910</xdr:rowOff>
    </xdr:from>
    <xdr:to>
      <xdr:col>9</xdr:col>
      <xdr:colOff>76200</xdr:colOff>
      <xdr:row>20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5F11C9-A149-4FC5-B009-ECFECAA0D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312420</xdr:colOff>
      <xdr:row>5</xdr:row>
      <xdr:rowOff>68581</xdr:rowOff>
    </xdr:from>
    <xdr:to>
      <xdr:col>11</xdr:col>
      <xdr:colOff>556260</xdr:colOff>
      <xdr:row>10</xdr:row>
      <xdr:rowOff>137161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Fp">
              <a:extLst>
                <a:ext uri="{FF2B5EF4-FFF2-40B4-BE49-F238E27FC236}">
                  <a16:creationId xmlns:a16="http://schemas.microsoft.com/office/drawing/2014/main" id="{7D69B128-1CED-4FBC-B2A1-292FBE9058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p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23521" y="967570"/>
              <a:ext cx="1836335" cy="9675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144780</xdr:colOff>
      <xdr:row>29</xdr:row>
      <xdr:rowOff>125730</xdr:rowOff>
    </xdr:from>
    <xdr:to>
      <xdr:col>8</xdr:col>
      <xdr:colOff>754380</xdr:colOff>
      <xdr:row>44</xdr:row>
      <xdr:rowOff>125730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F0C0682-DBC4-43C1-BE5A-B5ABE9F98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68580</xdr:colOff>
      <xdr:row>47</xdr:row>
      <xdr:rowOff>38100</xdr:rowOff>
    </xdr:from>
    <xdr:to>
      <xdr:col>16</xdr:col>
      <xdr:colOff>236220</xdr:colOff>
      <xdr:row>54</xdr:row>
      <xdr:rowOff>129540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5" name="Fecha">
              <a:extLst>
                <a:ext uri="{FF2B5EF4-FFF2-40B4-BE49-F238E27FC236}">
                  <a16:creationId xmlns:a16="http://schemas.microsoft.com/office/drawing/2014/main" id="{082D53DC-E2DC-4F70-AFD2-FD6EC09C4C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68423" y="8488594"/>
              <a:ext cx="3352628" cy="1350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4</xdr:col>
      <xdr:colOff>434340</xdr:colOff>
      <xdr:row>47</xdr:row>
      <xdr:rowOff>118110</xdr:rowOff>
    </xdr:from>
    <xdr:to>
      <xdr:col>11</xdr:col>
      <xdr:colOff>175260</xdr:colOff>
      <xdr:row>62</xdr:row>
      <xdr:rowOff>118110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F01E571-D54B-4287-B310-7D61C425D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5</xdr:col>
      <xdr:colOff>7620</xdr:colOff>
      <xdr:row>29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3B9F8D-1901-4D74-B75E-997BA8D1B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</xdr:row>
      <xdr:rowOff>0</xdr:rowOff>
    </xdr:from>
    <xdr:to>
      <xdr:col>10</xdr:col>
      <xdr:colOff>784860</xdr:colOff>
      <xdr:row>29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9127FE0-4E09-4EA6-9599-850DA9C2B9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18</xdr:col>
      <xdr:colOff>7620</xdr:colOff>
      <xdr:row>22</xdr:row>
      <xdr:rowOff>7620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3D9D0E7-6827-499F-BA08-116C30B8D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</xdr:row>
      <xdr:rowOff>0</xdr:rowOff>
    </xdr:from>
    <xdr:to>
      <xdr:col>1</xdr:col>
      <xdr:colOff>53340</xdr:colOff>
      <xdr:row>12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Fp 1">
              <a:extLst>
                <a:ext uri="{FF2B5EF4-FFF2-40B4-BE49-F238E27FC236}">
                  <a16:creationId xmlns:a16="http://schemas.microsoft.com/office/drawing/2014/main" id="{576FDFEA-AF6D-486E-AD7E-6C048BF87E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p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48640"/>
              <a:ext cx="845820" cy="1645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60960</xdr:colOff>
      <xdr:row>3</xdr:row>
      <xdr:rowOff>0</xdr:rowOff>
    </xdr:from>
    <xdr:to>
      <xdr:col>4</xdr:col>
      <xdr:colOff>784860</xdr:colOff>
      <xdr:row>12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6" name="Fecha 1">
              <a:extLst>
                <a:ext uri="{FF2B5EF4-FFF2-40B4-BE49-F238E27FC236}">
                  <a16:creationId xmlns:a16="http://schemas.microsoft.com/office/drawing/2014/main" id="{33CFD091-EDBE-4445-8E6D-11654FA280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440" y="548640"/>
              <a:ext cx="3101340" cy="1645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784859</xdr:colOff>
          <xdr:row>22</xdr:row>
          <xdr:rowOff>0</xdr:rowOff>
        </xdr:from>
        <xdr:to>
          <xdr:col>18</xdr:col>
          <xdr:colOff>0</xdr:colOff>
          <xdr:row>29</xdr:row>
          <xdr:rowOff>1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A2CF3467-9047-4F19-9021-E765EB48A1F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Hoja2!$A$55:$D$60" spid="_x0000_s14341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709659" y="4023360"/>
              <a:ext cx="5554981" cy="128016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URSOS\CET-Colcubsidio\Fundamentos%20para%20el%20analisis%20y%20organizaci&#243;n%20de%20datos\Ejercicios\ProyectoFinalA.xlsx" TargetMode="External"/><Relationship Id="rId1" Type="http://schemas.openxmlformats.org/officeDocument/2006/relationships/externalLinkPath" Target="ProyectoFina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  <sheetName val="DashBoard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ProyectoFinalA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eison Silva" refreshedDate="46206.746468171295" createdVersion="8" refreshedVersion="8" minRefreshableVersion="3" recordCount="600" xr:uid="{B4CE3CE4-E023-468E-837B-C1D73FC908EC}">
  <cacheSource type="worksheet">
    <worksheetSource name="Prestamos"/>
  </cacheSource>
  <cacheFields count="15">
    <cacheField name="ID Préstamo" numFmtId="49">
      <sharedItems/>
    </cacheField>
    <cacheField name="Fecha Préstamo" numFmtId="14">
      <sharedItems containsSemiMixedTypes="0" containsNonDate="0" containsDate="1" containsString="0" minDate="2025-01-03T00:00:00" maxDate="2025-11-28T00:00:00" count="269">
        <d v="2025-11-24T00:00:00"/>
        <d v="2025-11-22T00:00:00"/>
        <d v="2025-11-21T00:00:00"/>
        <d v="2025-11-20T00:00:00"/>
        <d v="2025-11-19T00:00:00"/>
        <d v="2025-11-18T00:00:00"/>
        <d v="2025-11-16T00:00:00"/>
        <d v="2025-11-13T00:00:00"/>
        <d v="2025-11-12T00:00:00"/>
        <d v="2025-11-10T00:00:00"/>
        <d v="2025-11-04T00:00:00"/>
        <d v="2025-11-02T00:00:00"/>
        <d v="2025-11-01T00:00:00"/>
        <d v="2025-10-24T00:00:00"/>
        <d v="2025-10-22T00:00:00"/>
        <d v="2025-10-21T00:00:00"/>
        <d v="2025-10-20T00:00:00"/>
        <d v="2025-10-17T00:00:00"/>
        <d v="2025-10-14T00:00:00"/>
        <d v="2025-10-11T00:00:00"/>
        <d v="2025-10-06T00:00:00"/>
        <d v="2025-10-05T00:00:00"/>
        <d v="2025-10-04T00:00:00"/>
        <d v="2025-10-02T00:00:00"/>
        <d v="2025-09-29T00:00:00"/>
        <d v="2025-09-25T00:00:00"/>
        <d v="2025-09-23T00:00:00"/>
        <d v="2025-09-22T00:00:00"/>
        <d v="2025-09-19T00:00:00"/>
        <d v="2025-09-12T00:00:00"/>
        <d v="2025-09-10T00:00:00"/>
        <d v="2025-09-09T00:00:00"/>
        <d v="2025-09-08T00:00:00"/>
        <d v="2025-08-27T00:00:00"/>
        <d v="2025-08-25T00:00:00"/>
        <d v="2025-08-24T00:00:00"/>
        <d v="2025-08-22T00:00:00"/>
        <d v="2025-08-19T00:00:00"/>
        <d v="2025-08-14T00:00:00"/>
        <d v="2025-08-12T00:00:00"/>
        <d v="2025-08-06T00:00:00"/>
        <d v="2025-08-03T00:00:00"/>
        <d v="2025-07-24T00:00:00"/>
        <d v="2025-07-22T00:00:00"/>
        <d v="2025-07-19T00:00:00"/>
        <d v="2025-07-11T00:00:00"/>
        <d v="2025-07-04T00:00:00"/>
        <d v="2025-07-03T00:00:00"/>
        <d v="2025-06-28T00:00:00"/>
        <d v="2025-06-25T00:00:00"/>
        <d v="2025-06-21T00:00:00"/>
        <d v="2025-06-11T00:00:00"/>
        <d v="2025-06-06T00:00:00"/>
        <d v="2025-06-04T00:00:00"/>
        <d v="2025-05-30T00:00:00"/>
        <d v="2025-05-23T00:00:00"/>
        <d v="2025-05-22T00:00:00"/>
        <d v="2025-05-14T00:00:00"/>
        <d v="2025-05-08T00:00:00"/>
        <d v="2025-05-01T00:00:00"/>
        <d v="2025-04-27T00:00:00"/>
        <d v="2025-04-25T00:00:00"/>
        <d v="2025-04-24T00:00:00"/>
        <d v="2025-04-22T00:00:00"/>
        <d v="2025-04-18T00:00:00"/>
        <d v="2025-04-16T00:00:00"/>
        <d v="2025-04-13T00:00:00"/>
        <d v="2025-04-11T00:00:00"/>
        <d v="2025-04-08T00:00:00"/>
        <d v="2025-04-05T00:00:00"/>
        <d v="2025-04-03T00:00:00"/>
        <d v="2025-04-02T00:00:00"/>
        <d v="2025-03-31T00:00:00"/>
        <d v="2025-03-27T00:00:00"/>
        <d v="2025-03-26T00:00:00"/>
        <d v="2025-03-24T00:00:00"/>
        <d v="2025-03-22T00:00:00"/>
        <d v="2025-03-19T00:00:00"/>
        <d v="2025-03-14T00:00:00"/>
        <d v="2025-03-12T00:00:00"/>
        <d v="2025-03-10T00:00:00"/>
        <d v="2025-03-09T00:00:00"/>
        <d v="2025-03-07T00:00:00"/>
        <d v="2025-02-26T00:00:00"/>
        <d v="2025-02-21T00:00:00"/>
        <d v="2025-02-17T00:00:00"/>
        <d v="2025-02-16T00:00:00"/>
        <d v="2025-02-15T00:00:00"/>
        <d v="2025-02-14T00:00:00"/>
        <d v="2025-02-13T00:00:00"/>
        <d v="2025-02-03T00:00:00"/>
        <d v="2025-02-01T00:00:00"/>
        <d v="2025-01-27T00:00:00"/>
        <d v="2025-01-25T00:00:00"/>
        <d v="2025-01-15T00:00:00"/>
        <d v="2025-01-13T00:00:00"/>
        <d v="2025-01-12T00:00:00"/>
        <d v="2025-01-06T00:00:00"/>
        <d v="2025-01-05T00:00:00"/>
        <d v="2025-01-03T00:00:00"/>
        <d v="2025-08-08T00:00:00"/>
        <d v="2025-07-27T00:00:00"/>
        <d v="2025-07-08T00:00:00"/>
        <d v="2025-05-31T00:00:00"/>
        <d v="2025-03-23T00:00:00"/>
        <d v="2025-07-31T00:00:00"/>
        <d v="2025-08-15T00:00:00"/>
        <d v="2025-01-24T00:00:00"/>
        <d v="2025-02-24T00:00:00"/>
        <d v="2025-05-05T00:00:00"/>
        <d v="2025-11-15T00:00:00"/>
        <d v="2025-08-09T00:00:00"/>
        <d v="2025-03-28T00:00:00"/>
        <d v="2025-03-18T00:00:00"/>
        <d v="2025-08-07T00:00:00"/>
        <d v="2025-02-07T00:00:00"/>
        <d v="2025-11-09T00:00:00"/>
        <d v="2025-06-02T00:00:00"/>
        <d v="2025-10-18T00:00:00"/>
        <d v="2025-06-10T00:00:00"/>
        <d v="2025-04-04T00:00:00"/>
        <d v="2025-09-02T00:00:00"/>
        <d v="2025-11-27T00:00:00"/>
        <d v="2025-01-17T00:00:00"/>
        <d v="2025-08-31T00:00:00"/>
        <d v="2025-01-30T00:00:00"/>
        <d v="2025-02-06T00:00:00"/>
        <d v="2025-04-09T00:00:00"/>
        <d v="2025-10-15T00:00:00"/>
        <d v="2025-03-08T00:00:00"/>
        <d v="2025-09-05T00:00:00"/>
        <d v="2025-05-13T00:00:00"/>
        <d v="2025-08-18T00:00:00"/>
        <d v="2025-09-26T00:00:00"/>
        <d v="2025-08-16T00:00:00"/>
        <d v="2025-09-21T00:00:00"/>
        <d v="2025-08-17T00:00:00"/>
        <d v="2025-05-10T00:00:00"/>
        <d v="2025-02-20T00:00:00"/>
        <d v="2025-07-29T00:00:00"/>
        <d v="2025-07-01T00:00:00"/>
        <d v="2025-11-03T00:00:00"/>
        <d v="2025-10-27T00:00:00"/>
        <d v="2025-10-01T00:00:00"/>
        <d v="2025-04-21T00:00:00"/>
        <d v="2025-04-01T00:00:00"/>
        <d v="2025-01-08T00:00:00"/>
        <d v="2025-10-28T00:00:00"/>
        <d v="2025-03-02T00:00:00"/>
        <d v="2025-08-05T00:00:00"/>
        <d v="2025-10-30T00:00:00"/>
        <d v="2025-01-10T00:00:00"/>
        <d v="2025-06-27T00:00:00"/>
        <d v="2025-05-17T00:00:00"/>
        <d v="2025-01-22T00:00:00"/>
        <d v="2025-05-21T00:00:00"/>
        <d v="2025-02-25T00:00:00"/>
        <d v="2025-02-23T00:00:00"/>
        <d v="2025-03-13T00:00:00"/>
        <d v="2025-09-17T00:00:00"/>
        <d v="2025-02-27T00:00:00"/>
        <d v="2025-03-30T00:00:00"/>
        <d v="2025-09-30T00:00:00"/>
        <d v="2025-03-16T00:00:00"/>
        <d v="2025-06-03T00:00:00"/>
        <d v="2025-11-14T00:00:00"/>
        <d v="2025-05-29T00:00:00"/>
        <d v="2025-02-11T00:00:00"/>
        <d v="2025-02-08T00:00:00"/>
        <d v="2025-01-14T00:00:00"/>
        <d v="2025-06-14T00:00:00"/>
        <d v="2025-06-05T00:00:00"/>
        <d v="2025-02-12T00:00:00"/>
        <d v="2025-04-14T00:00:00"/>
        <d v="2025-09-04T00:00:00"/>
        <d v="2025-10-29T00:00:00"/>
        <d v="2025-07-30T00:00:00"/>
        <d v="2025-09-01T00:00:00"/>
        <d v="2025-02-04T00:00:00"/>
        <d v="2025-03-17T00:00:00"/>
        <d v="2025-04-06T00:00:00"/>
        <d v="2025-01-20T00:00:00"/>
        <d v="2025-08-13T00:00:00"/>
        <d v="2025-06-22T00:00:00"/>
        <d v="2025-05-20T00:00:00"/>
        <d v="2025-10-09T00:00:00"/>
        <d v="2025-01-16T00:00:00"/>
        <d v="2025-05-28T00:00:00"/>
        <d v="2025-10-12T00:00:00"/>
        <d v="2025-11-25T00:00:00"/>
        <d v="2025-09-16T00:00:00"/>
        <d v="2025-11-11T00:00:00"/>
        <d v="2025-01-28T00:00:00"/>
        <d v="2025-07-21T00:00:00"/>
        <d v="2025-10-26T00:00:00"/>
        <d v="2025-07-17T00:00:00"/>
        <d v="2025-08-20T00:00:00"/>
        <d v="2025-05-09T00:00:00"/>
        <d v="2025-08-30T00:00:00"/>
        <d v="2025-02-02T00:00:00"/>
        <d v="2025-07-18T00:00:00"/>
        <d v="2025-10-23T00:00:00"/>
        <d v="2025-09-27T00:00:00"/>
        <d v="2025-11-06T00:00:00"/>
        <d v="2025-08-04T00:00:00"/>
        <d v="2025-05-04T00:00:00"/>
        <d v="2025-03-05T00:00:00"/>
        <d v="2025-07-15T00:00:00"/>
        <d v="2025-07-14T00:00:00"/>
        <d v="2025-02-05T00:00:00"/>
        <d v="2025-06-12T00:00:00"/>
        <d v="2025-01-18T00:00:00"/>
        <d v="2025-01-21T00:00:00"/>
        <d v="2025-06-17T00:00:00"/>
        <d v="2025-03-06T00:00:00"/>
        <d v="2025-02-10T00:00:00"/>
        <d v="2025-05-11T00:00:00"/>
        <d v="2025-11-05T00:00:00"/>
        <d v="2025-08-26T00:00:00"/>
        <d v="2025-01-23T00:00:00"/>
        <d v="2025-07-12T00:00:00"/>
        <d v="2025-02-28T00:00:00"/>
        <d v="2025-09-28T00:00:00"/>
        <d v="2025-01-11T00:00:00"/>
        <d v="2025-03-03T00:00:00"/>
        <d v="2025-07-09T00:00:00"/>
        <d v="2025-01-19T00:00:00"/>
        <d v="2025-09-06T00:00:00"/>
        <d v="2025-07-10T00:00:00"/>
        <d v="2025-01-04T00:00:00"/>
        <d v="2025-11-26T00:00:00"/>
        <d v="2025-06-19T00:00:00"/>
        <d v="2025-04-28T00:00:00"/>
        <d v="2025-04-29T00:00:00"/>
        <d v="2025-05-19T00:00:00"/>
        <d v="2025-07-16T00:00:00"/>
        <d v="2025-07-13T00:00:00"/>
        <d v="2025-05-15T00:00:00"/>
        <d v="2025-05-03T00:00:00"/>
        <d v="2025-09-14T00:00:00"/>
        <d v="2025-03-15T00:00:00"/>
        <d v="2025-04-12T00:00:00"/>
        <d v="2025-05-16T00:00:00"/>
        <d v="2025-06-26T00:00:00"/>
        <d v="2025-02-19T00:00:00"/>
        <d v="2025-08-29T00:00:00"/>
        <d v="2025-01-26T00:00:00"/>
        <d v="2025-06-08T00:00:00"/>
        <d v="2025-08-01T00:00:00"/>
        <d v="2025-07-28T00:00:00"/>
        <d v="2025-08-23T00:00:00"/>
        <d v="2025-04-07T00:00:00"/>
        <d v="2025-02-09T00:00:00"/>
        <d v="2025-07-20T00:00:00"/>
        <d v="2025-05-24T00:00:00"/>
        <d v="2025-06-24T00:00:00"/>
        <d v="2025-10-10T00:00:00"/>
        <d v="2025-06-20T00:00:00"/>
        <d v="2025-08-02T00:00:00"/>
        <d v="2025-09-18T00:00:00"/>
        <d v="2025-03-01T00:00:00"/>
        <d v="2025-08-11T00:00:00"/>
        <d v="2025-04-19T00:00:00"/>
        <d v="2025-09-03T00:00:00"/>
        <d v="2025-05-07T00:00:00"/>
        <d v="2025-03-29T00:00:00"/>
        <d v="2025-11-23T00:00:00"/>
        <d v="2025-08-28T00:00:00"/>
        <d v="2025-09-07T00:00:00"/>
      </sharedItems>
      <fieldGroup par="14"/>
    </cacheField>
    <cacheField name="Fecha Devolución" numFmtId="14">
      <sharedItems containsDate="1" containsMixedTypes="1" minDate="2024-12-27T00:00:00" maxDate="2026-01-03T00:00:00"/>
    </cacheField>
    <cacheField name="ID Libro" numFmtId="0">
      <sharedItems/>
    </cacheField>
    <cacheField name="Nombre Usuario" numFmtId="49">
      <sharedItems/>
    </cacheField>
    <cacheField name="Tipo Usuario" numFmtId="49">
      <sharedItems count="6">
        <s v="Otros"/>
        <s v="Estudiante"/>
        <s v="Universidad"/>
        <s v="Adulto"/>
        <s v="Niño"/>
        <s v="Niño " u="1"/>
      </sharedItems>
    </cacheField>
    <cacheField name="Estado Préstamo" numFmtId="49">
      <sharedItems count="3">
        <s v="Devuelto"/>
        <s v="Retrasado"/>
        <s v="Pendiente"/>
      </sharedItems>
    </cacheField>
    <cacheField name="Días Retraso Reportados" numFmtId="1">
      <sharedItems containsMixedTypes="1" containsNumber="1" containsInteger="1" minValue="0" maxValue="25" count="27">
        <n v="1"/>
        <n v="5"/>
        <n v="7"/>
        <n v="0"/>
        <n v="2"/>
        <n v="10"/>
        <n v="3"/>
        <s v="No Asignado"/>
        <s v="0"/>
        <n v="4"/>
        <n v="6"/>
        <n v="8"/>
        <n v="9"/>
        <n v="11"/>
        <n v="12"/>
        <n v="13"/>
        <n v="14"/>
        <n v="15"/>
        <n v="16"/>
        <n v="17"/>
        <n v="18"/>
        <n v="19"/>
        <n v="21"/>
        <n v="22"/>
        <n v="23"/>
        <n v="24"/>
        <n v="25"/>
      </sharedItems>
    </cacheField>
    <cacheField name="Título" numFmtId="0">
      <sharedItems/>
    </cacheField>
    <cacheField name="Autor" numFmtId="0">
      <sharedItems/>
    </cacheField>
    <cacheField name="Categoría" numFmtId="0">
      <sharedItems/>
    </cacheField>
    <cacheField name="Año Publicación" numFmtId="0">
      <sharedItems containsMixedTypes="1" containsNumber="1" containsInteger="1" minValue="1880" maxValue="2023"/>
    </cacheField>
    <cacheField name="Estantería" numFmtId="0">
      <sharedItems/>
    </cacheField>
    <cacheField name="Estado" numFmtId="0">
      <sharedItems count="3">
        <s v="Activo"/>
        <s v="Retirado"/>
        <s v="Libro No Existe"/>
      </sharedItems>
    </cacheField>
    <cacheField name="Trimestres (Fecha Préstamo)" numFmtId="0" databaseField="0">
      <fieldGroup base="1">
        <rangePr groupBy="quarters" startDate="2025-01-03T00:00:00" endDate="2025-11-28T00:00:00"/>
        <groupItems count="6">
          <s v="&lt;3/01/2025"/>
          <s v="Trim.1"/>
          <s v="Trim.2"/>
          <s v="Trim.3"/>
          <s v="Trim.4"/>
          <s v="&gt;28/11/2025"/>
        </groupItems>
      </fieldGroup>
    </cacheField>
  </cacheFields>
  <extLst>
    <ext xmlns:x14="http://schemas.microsoft.com/office/spreadsheetml/2009/9/main" uri="{725AE2AE-9491-48be-B2B4-4EB974FC3084}">
      <x14:pivotCacheDefinition pivotCacheId="75761846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eison Silva" refreshedDate="46204.736680787035" createdVersion="8" refreshedVersion="8" minRefreshableVersion="3" recordCount="167" xr:uid="{0348A1C8-F760-4932-8788-4A12E045F54B}">
  <cacheSource type="worksheet">
    <worksheetSource name="Tabla1" r:id="rId2"/>
  </cacheSource>
  <cacheFields count="10">
    <cacheField name="No Aportes" numFmtId="0">
      <sharedItems containsSemiMixedTypes="0" containsString="0" containsNumber="1" containsInteger="1" minValue="10374" maxValue="11077"/>
    </cacheField>
    <cacheField name="Razon Social" numFmtId="0">
      <sharedItems/>
    </cacheField>
    <cacheField name="País" numFmtId="0">
      <sharedItems count="20">
        <s v="Estados Unidos"/>
        <s v="Venezuela"/>
        <s v="Alemania"/>
        <s v="Canadá"/>
        <s v="Suecia"/>
        <s v="Francia"/>
        <s v="Reino Unido"/>
        <s v="España"/>
        <s v="México"/>
        <s v="Brasil"/>
        <s v="Finlandia"/>
        <s v="Austria"/>
        <s v="Argentina"/>
        <s v="Bélgica"/>
        <s v="Polonia"/>
        <s v="Italia"/>
        <s v="Suiza"/>
        <s v="Portugal"/>
        <s v="Noruega"/>
        <s v="Dinamarca"/>
      </sharedItems>
    </cacheField>
    <cacheField name="Contacto " numFmtId="0">
      <sharedItems count="5">
        <s v="Camilo"/>
        <s v="Gladys"/>
        <s v="Wilson"/>
        <s v="Ingrid"/>
        <s v="Marcela"/>
      </sharedItems>
    </cacheField>
    <cacheField name="Fp" numFmtId="0">
      <sharedItems count="2">
        <s v="cheque"/>
        <s v="éfectivo"/>
      </sharedItems>
    </cacheField>
    <cacheField name="Compañía" numFmtId="0">
      <sharedItems/>
    </cacheField>
    <cacheField name="Fecha" numFmtId="14">
      <sharedItems containsSemiMixedTypes="0" containsNonDate="0" containsDate="1" containsString="0" minDate="2013-01-05T00:00:00" maxDate="2014-06-06T00:00:00" count="142">
        <d v="2013-01-06T00:00:00"/>
        <d v="2013-01-12T00:00:00"/>
        <d v="2013-01-23T00:00:00"/>
        <d v="2013-02-10T00:00:00"/>
        <d v="2013-03-03T00:00:00"/>
        <d v="2013-03-06T00:00:00"/>
        <d v="2013-03-09T00:00:00"/>
        <d v="2013-03-15T00:00:00"/>
        <d v="2013-03-21T00:00:00"/>
        <d v="2013-04-07T00:00:00"/>
        <d v="2013-04-24T00:00:00"/>
        <d v="2013-05-04T00:00:00"/>
        <d v="2013-05-15T00:00:00"/>
        <d v="2013-05-25T00:00:00"/>
        <d v="2013-06-26T00:00:00"/>
        <d v="2013-07-14T00:00:00"/>
        <d v="2013-07-24T00:00:00"/>
        <d v="2013-07-28T00:00:00"/>
        <d v="2013-08-09T00:00:00"/>
        <d v="2013-09-25T00:00:00"/>
        <d v="2013-10-10T00:00:00"/>
        <d v="2013-10-26T00:00:00"/>
        <d v="2013-11-09T00:00:00"/>
        <d v="2013-12-13T00:00:00"/>
        <d v="2013-12-29T00:00:00"/>
        <d v="2014-01-03T00:00:00"/>
        <d v="2014-01-04T00:00:00"/>
        <d v="2014-01-24T00:00:00"/>
        <d v="2014-01-31T00:00:00"/>
        <d v="2014-02-07T00:00:00"/>
        <d v="2014-02-19T00:00:00"/>
        <d v="2014-02-28T00:00:00"/>
        <d v="2014-03-12T00:00:00"/>
        <d v="2014-03-26T00:00:00"/>
        <d v="2014-04-08T00:00:00"/>
        <d v="2014-04-09T00:00:00"/>
        <d v="2014-04-12T00:00:00"/>
        <d v="2014-04-24T00:00:00"/>
        <d v="2014-05-06T00:00:00"/>
        <d v="2014-05-07T00:00:00"/>
        <d v="2014-05-29T00:00:00"/>
        <d v="2013-02-27T00:00:00"/>
        <d v="2013-03-02T00:00:00"/>
        <d v="2013-03-20T00:00:00"/>
        <d v="2013-03-24T00:00:00"/>
        <d v="2013-03-30T00:00:00"/>
        <d v="2013-05-03T00:00:00"/>
        <d v="2013-07-11T00:00:00"/>
        <d v="2013-07-20T00:00:00"/>
        <d v="2013-07-25T00:00:00"/>
        <d v="2013-08-07T00:00:00"/>
        <d v="2013-08-23T00:00:00"/>
        <d v="2013-08-29T00:00:00"/>
        <d v="2013-08-31T00:00:00"/>
        <d v="2013-09-05T00:00:00"/>
        <d v="2013-09-12T00:00:00"/>
        <d v="2013-09-27T00:00:00"/>
        <d v="2013-10-02T00:00:00"/>
        <d v="2013-10-19T00:00:00"/>
        <d v="2013-10-30T00:00:00"/>
        <d v="2013-11-16T00:00:00"/>
        <d v="2013-11-24T00:00:00"/>
        <d v="2013-12-01T00:00:00"/>
        <d v="2013-12-15T00:00:00"/>
        <d v="2013-12-27T00:00:00"/>
        <d v="2014-01-05T00:00:00"/>
        <d v="2014-02-21T00:00:00"/>
        <d v="2014-03-01T00:00:00"/>
        <d v="2014-03-04T00:00:00"/>
        <d v="2014-03-08T00:00:00"/>
        <d v="2014-03-13T00:00:00"/>
        <d v="2014-03-22T00:00:00"/>
        <d v="2014-03-27T00:00:00"/>
        <d v="2014-03-28T00:00:00"/>
        <d v="2014-04-01T00:00:00"/>
        <d v="2014-04-02T00:00:00"/>
        <d v="2014-04-03T00:00:00"/>
        <d v="2014-04-05T00:00:00"/>
        <d v="2014-04-10T00:00:00"/>
        <d v="2014-04-23T00:00:00"/>
        <d v="2014-05-02T00:00:00"/>
        <d v="2014-05-13T00:00:00"/>
        <d v="2014-05-22T00:00:00"/>
        <d v="2014-05-30T00:00:00"/>
        <d v="2014-06-05T00:00:00"/>
        <d v="2013-01-10T00:00:00"/>
        <d v="2013-04-04T00:00:00"/>
        <d v="2013-04-17T00:00:00"/>
        <d v="2013-09-28T00:00:00"/>
        <d v="2013-10-20T00:00:00"/>
        <d v="2013-11-22T00:00:00"/>
        <d v="2014-01-02T00:00:00"/>
        <d v="2014-03-06T00:00:00"/>
        <d v="2013-02-14T00:00:00"/>
        <d v="2013-04-11T00:00:00"/>
        <d v="2013-04-18T00:00:00"/>
        <d v="2013-07-31T00:00:00"/>
        <d v="2013-08-30T00:00:00"/>
        <d v="2013-10-23T00:00:00"/>
        <d v="2013-12-08T00:00:00"/>
        <d v="2013-12-12T00:00:00"/>
        <d v="2013-12-25T00:00:00"/>
        <d v="2014-02-01T00:00:00"/>
        <d v="2014-02-05T00:00:00"/>
        <d v="2014-02-14T00:00:00"/>
        <d v="2014-03-29T00:00:00"/>
        <d v="2014-05-09T00:00:00"/>
        <d v="2014-05-10T00:00:00"/>
        <d v="2014-05-14T00:00:00"/>
        <d v="2014-05-20T00:00:00"/>
        <d v="2014-05-27T00:00:00"/>
        <d v="2014-06-04T00:00:00"/>
        <d v="2013-01-05T00:00:00"/>
        <d v="2013-01-09T00:00:00"/>
        <d v="2013-01-17T00:00:00"/>
        <d v="2013-01-25T00:00:00"/>
        <d v="2013-04-13T00:00:00"/>
        <d v="2013-04-21T00:00:00"/>
        <d v="2013-04-26T00:00:00"/>
        <d v="2013-05-17T00:00:00"/>
        <d v="2013-06-02T00:00:00"/>
        <d v="2013-06-20T00:00:00"/>
        <d v="2013-07-26T00:00:00"/>
        <d v="2013-08-14T00:00:00"/>
        <d v="2013-09-13T00:00:00"/>
        <d v="2013-10-04T00:00:00"/>
        <d v="2013-10-11T00:00:00"/>
        <d v="2013-10-12T00:00:00"/>
        <d v="2013-11-01T00:00:00"/>
        <d v="2013-12-18T00:00:00"/>
        <d v="2013-12-20T00:00:00"/>
        <d v="2014-01-18T00:00:00"/>
        <d v="2014-01-22T00:00:00"/>
        <d v="2014-01-23T00:00:00"/>
        <d v="2014-02-15T00:00:00"/>
        <d v="2014-02-20T00:00:00"/>
        <d v="2014-04-11T00:00:00"/>
        <d v="2014-04-15T00:00:00"/>
        <d v="2014-04-22T00:00:00"/>
        <d v="2014-05-01T00:00:00"/>
        <d v="2014-05-21T00:00:00"/>
        <d v="2014-06-03T00:00:00"/>
      </sharedItems>
    </cacheField>
    <cacheField name="Aporte" numFmtId="44">
      <sharedItems containsSemiMixedTypes="0" containsString="0" containsNumber="1" minValue="71.680000000000007" maxValue="3619.2256000000002"/>
    </cacheField>
    <cacheField name="Bono" numFmtId="164">
      <sharedItems containsSemiMixedTypes="0" containsString="0" containsNumber="1" minValue="1.7203200000000001" maxValue="130.2921216"/>
    </cacheField>
    <cacheField name="Total" numFmtId="164">
      <sharedItems containsSemiMixedTypes="0" containsString="0" containsNumber="1" minValue="73.400319999999994" maxValue="3749.5177216000002"/>
    </cacheField>
  </cacheFields>
  <extLst>
    <ext xmlns:x14="http://schemas.microsoft.com/office/spreadsheetml/2009/9/main" uri="{725AE2AE-9491-48be-B2B4-4EB974FC3084}">
      <x14:pivotCacheDefinition pivotCacheId="18013057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s v="Pr2098"/>
    <x v="0"/>
    <s v="No Asignado"/>
    <s v="Lb1042"/>
    <s v="Jorge Ibáñez"/>
    <x v="0"/>
    <x v="0"/>
    <x v="0"/>
    <s v="El Aleph"/>
    <s v="Jorge Luis Borges"/>
    <s v="Cuentos / Fantasía Metafísica"/>
    <n v="1941"/>
    <s v="Est-1"/>
    <x v="0"/>
  </r>
  <r>
    <s v="Pr2558"/>
    <x v="1"/>
    <d v="2025-12-12T00:00:00"/>
    <s v="Lb1098"/>
    <s v=" Valentina Mora "/>
    <x v="0"/>
    <x v="1"/>
    <x v="1"/>
    <s v="Ficciones"/>
    <s v="Jorge Luis Borges"/>
    <s v="Cuentos / Fantasía Metafísica"/>
    <n v="1990"/>
    <s v="A-1"/>
    <x v="1"/>
  </r>
  <r>
    <s v="Pr2009"/>
    <x v="2"/>
    <s v="No Asignado"/>
    <s v="Lb1058"/>
    <s v="Noelia Martín"/>
    <x v="1"/>
    <x v="0"/>
    <x v="0"/>
    <s v="Crónica De Una Muerte Anunciada"/>
    <s v="Gabriel García Márquez"/>
    <s v="Novela"/>
    <n v="1929"/>
    <s v="Est-1"/>
    <x v="0"/>
  </r>
  <r>
    <s v="Pr2233"/>
    <x v="3"/>
    <s v="No Asignado"/>
    <s v="Lb1177"/>
    <s v="Andrés Gómez"/>
    <x v="0"/>
    <x v="1"/>
    <x v="2"/>
    <s v="Matadero Cinco"/>
    <s v="Kurt Vonnegut"/>
    <s v="Ciencia Ficción"/>
    <n v="1984"/>
    <s v="A-1"/>
    <x v="1"/>
  </r>
  <r>
    <s v="Pr2255"/>
    <x v="4"/>
    <s v="No Asignado"/>
    <s v="Lb1059"/>
    <s v="Jorge Ibáñez"/>
    <x v="2"/>
    <x v="0"/>
    <x v="0"/>
    <s v="La Ciudad Y Los Perros"/>
    <s v="Mario Vargas Llosa"/>
    <s v="Novela"/>
    <n v="1891"/>
    <s v="Est-1"/>
    <x v="1"/>
  </r>
  <r>
    <s v="Pr2579"/>
    <x v="5"/>
    <s v="No Asignado"/>
    <s v="Lb1160"/>
    <s v="Camila Álvarez"/>
    <x v="2"/>
    <x v="0"/>
    <x v="0"/>
    <s v="Matar A Un Ruiseñor"/>
    <s v="Harper Lee"/>
    <s v="Novela"/>
    <n v="1967"/>
    <s v="C-3"/>
    <x v="0"/>
  </r>
  <r>
    <s v="Pr2222"/>
    <x v="6"/>
    <d v="2025-12-06T00:00:00"/>
    <s v="Lb1016"/>
    <s v="Carlos Ruiz"/>
    <x v="1"/>
    <x v="1"/>
    <x v="1"/>
    <s v="La Tregua"/>
    <s v="Mario Benedetti"/>
    <s v="Novela"/>
    <n v="2004"/>
    <s v="Est-1"/>
    <x v="1"/>
  </r>
  <r>
    <s v="Pr2415"/>
    <x v="7"/>
    <s v="No Asignado"/>
    <s v="Lb1007"/>
    <s v="Diego Gómez"/>
    <x v="3"/>
    <x v="0"/>
    <x v="0"/>
    <s v="Ficciones"/>
    <s v="Jorge Luis Borges"/>
    <s v="Cuentos / Fantasía Metafísica"/>
    <n v="1938"/>
    <s v="A-1"/>
    <x v="1"/>
  </r>
  <r>
    <s v="Pr2290"/>
    <x v="8"/>
    <s v="No Asignado"/>
    <s v="Lb1070"/>
    <s v="Luisa Fernández"/>
    <x v="3"/>
    <x v="0"/>
    <x v="0"/>
    <s v="La Iliada"/>
    <s v="Homero"/>
    <s v="Clásicos"/>
    <n v="1993"/>
    <s v="A-1"/>
    <x v="1"/>
  </r>
  <r>
    <s v="Pr2045"/>
    <x v="9"/>
    <s v="No Asignado"/>
    <s v="Lb1096"/>
    <s v="Andrés Díaz"/>
    <x v="3"/>
    <x v="1"/>
    <x v="2"/>
    <s v="Orgullo Y Prejuicio"/>
    <s v="Jane Austen"/>
    <s v="Novela"/>
    <n v="2013"/>
    <s v="Est-1"/>
    <x v="0"/>
  </r>
  <r>
    <s v="Pr2099"/>
    <x v="10"/>
    <s v="No Asignado"/>
    <s v="Lb1151"/>
    <s v="Ana Gómez"/>
    <x v="3"/>
    <x v="0"/>
    <x v="0"/>
    <s v="El Principito"/>
    <s v="Antoine De Saint-Exupéry"/>
    <s v="Literatura Infantil / Fábula Filosófica"/>
    <n v="1980"/>
    <s v="Est-1"/>
    <x v="1"/>
  </r>
  <r>
    <s v="Pr2243"/>
    <x v="11"/>
    <s v="No Asignado"/>
    <s v="Lb1096"/>
    <s v="Diego Gómez"/>
    <x v="3"/>
    <x v="0"/>
    <x v="3"/>
    <s v="Orgullo Y Prejuicio"/>
    <s v="Jane Austen"/>
    <s v="Novela"/>
    <n v="2013"/>
    <s v="Est-1"/>
    <x v="0"/>
  </r>
  <r>
    <s v="Pr2323"/>
    <x v="12"/>
    <s v="No Asignado"/>
    <s v="Lb1020"/>
    <s v="Noelia Martín"/>
    <x v="2"/>
    <x v="1"/>
    <x v="2"/>
    <s v="Rebelión En La Granja"/>
    <s v="George Orwell"/>
    <s v="Ciencia Ficción"/>
    <n v="1996"/>
    <s v="C-3"/>
    <x v="1"/>
  </r>
  <r>
    <s v="Pr2332"/>
    <x v="13"/>
    <d v="2025-11-10T00:00:00"/>
    <s v="Lb1199"/>
    <s v="Luisa Fernández"/>
    <x v="0"/>
    <x v="1"/>
    <x v="4"/>
    <s v="La Iliada"/>
    <s v="Homero"/>
    <s v="Clásicos"/>
    <n v="1968"/>
    <s v="A-1"/>
    <x v="0"/>
  </r>
  <r>
    <s v="Pr2021"/>
    <x v="14"/>
    <s v="No Asignado"/>
    <s v="Lb1099"/>
    <s v="Andrés Díaz"/>
    <x v="2"/>
    <x v="1"/>
    <x v="2"/>
    <s v="Matadero Cinco"/>
    <s v="Kurt Vonnegut"/>
    <s v="Ciencia Ficción"/>
    <n v="1989"/>
    <s v="B-2"/>
    <x v="1"/>
  </r>
  <r>
    <s v="Pr2324"/>
    <x v="14"/>
    <d v="2025-11-07T00:00:00"/>
    <s v="Lb1148"/>
    <s v="Laura Ruiz"/>
    <x v="3"/>
    <x v="1"/>
    <x v="0"/>
    <s v="Rebelión En La Granja"/>
    <s v="George Orwell"/>
    <s v="Ciencia Ficción"/>
    <n v="1986"/>
    <s v="Est-1"/>
    <x v="1"/>
  </r>
  <r>
    <s v="Pr2554"/>
    <x v="15"/>
    <s v="No Asignado"/>
    <s v="Lb1139"/>
    <s v="Laura Ruiz"/>
    <x v="3"/>
    <x v="0"/>
    <x v="0"/>
    <s v="La Casa De Los Espíritus"/>
    <s v="Isabel Allende"/>
    <s v="Novela"/>
    <n v="2023"/>
    <s v="B-2"/>
    <x v="1"/>
  </r>
  <r>
    <s v="Pr2582"/>
    <x v="16"/>
    <s v="No Asignado"/>
    <s v="Lb1003"/>
    <s v="Felipe Ramírez"/>
    <x v="3"/>
    <x v="0"/>
    <x v="0"/>
    <s v="Sobre La Felicidad"/>
    <s v="Lucio Anneo Séneca"/>
    <s v="Filosofía Y Pensamiento"/>
    <n v="1903"/>
    <s v="A-1"/>
    <x v="0"/>
  </r>
  <r>
    <s v="Pr2174"/>
    <x v="17"/>
    <s v="No Asignado"/>
    <s v="Lb1014"/>
    <s v="Laura Ruiz"/>
    <x v="1"/>
    <x v="1"/>
    <x v="2"/>
    <s v="Rayuela"/>
    <s v="Julio Cortázar"/>
    <s v="Novela"/>
    <n v="2018"/>
    <s v="B-2"/>
    <x v="1"/>
  </r>
  <r>
    <s v="Pr2292"/>
    <x v="18"/>
    <s v="No Asignado"/>
    <s v="Lb1154"/>
    <s v="Ana Gómez"/>
    <x v="2"/>
    <x v="1"/>
    <x v="2"/>
    <s v="El Código Da Vinci"/>
    <s v="Dan Brown"/>
    <s v="Misterio"/>
    <n v="1966"/>
    <s v="C-3"/>
    <x v="1"/>
  </r>
  <r>
    <s v="Pr2360"/>
    <x v="18"/>
    <d v="2025-11-03T00:00:00"/>
    <s v="Lb1160"/>
    <s v="Sofía Torres"/>
    <x v="1"/>
    <x v="1"/>
    <x v="1"/>
    <s v="Matar A Un Ruiseñor"/>
    <s v="Harper Lee"/>
    <s v="Novela"/>
    <n v="1967"/>
    <s v="C-3"/>
    <x v="0"/>
  </r>
  <r>
    <s v="Pr2151"/>
    <x v="19"/>
    <s v="No Asignado"/>
    <s v="Lb1194"/>
    <s v="Camila Álvarez"/>
    <x v="3"/>
    <x v="0"/>
    <x v="3"/>
    <s v="Cien Años De Soledad"/>
    <s v="Gabriel García Márquez"/>
    <s v="Novela"/>
    <n v="2014"/>
    <s v="B-2"/>
    <x v="0"/>
  </r>
  <r>
    <s v="Pr2503"/>
    <x v="19"/>
    <s v="No Asignado"/>
    <s v="Lb1008"/>
    <s v=" Valentina Mora "/>
    <x v="2"/>
    <x v="0"/>
    <x v="0"/>
    <s v="Ficciones"/>
    <s v="Jorge Luis Borges"/>
    <s v="Cuentos / Fantasía Metafísica"/>
    <n v="1997"/>
    <s v="B-2"/>
    <x v="0"/>
  </r>
  <r>
    <s v="Pr2527"/>
    <x v="19"/>
    <s v="No Asignado"/>
    <s v="Lb1076"/>
    <s v="Carolina Rojas"/>
    <x v="1"/>
    <x v="1"/>
    <x v="2"/>
    <s v="La Tregua"/>
    <s v="Mario Benedetti"/>
    <s v="Novela"/>
    <n v="1964"/>
    <s v="A-1"/>
    <x v="1"/>
  </r>
  <r>
    <s v="Pr2172"/>
    <x v="20"/>
    <s v="No Asignado"/>
    <s v="Lb1092"/>
    <s v="Ana Gómez"/>
    <x v="3"/>
    <x v="0"/>
    <x v="0"/>
    <s v="La Iliada"/>
    <s v="Homero"/>
    <s v="Clásicos"/>
    <n v="1996"/>
    <s v="B-2"/>
    <x v="0"/>
  </r>
  <r>
    <s v="Pr2280"/>
    <x v="21"/>
    <s v="No Asignado"/>
    <s v="Lb1153"/>
    <s v="Jorge Ibáñez"/>
    <x v="3"/>
    <x v="1"/>
    <x v="2"/>
    <s v="El Aleph"/>
    <s v="Jorge Luis Borges"/>
    <s v="Cuentos / Fantasía Metafísica"/>
    <n v="1953"/>
    <s v="C-3"/>
    <x v="0"/>
  </r>
  <r>
    <s v="Pr2566"/>
    <x v="22"/>
    <s v="No Asignado"/>
    <s v="Lb1070"/>
    <s v="Carlos Ruiz"/>
    <x v="3"/>
    <x v="1"/>
    <x v="2"/>
    <s v="La Iliada"/>
    <s v="Homero"/>
    <s v="Clásicos"/>
    <n v="1993"/>
    <s v="A-1"/>
    <x v="1"/>
  </r>
  <r>
    <s v="Pr2018"/>
    <x v="23"/>
    <s v="No Asignado"/>
    <s v="Lb1005"/>
    <s v="Valentina Mora"/>
    <x v="3"/>
    <x v="0"/>
    <x v="0"/>
    <s v="Hamlet"/>
    <s v="William Shakespeare"/>
    <s v="Clásicos"/>
    <n v="1905"/>
    <s v="B-2"/>
    <x v="0"/>
  </r>
  <r>
    <s v="Pr2142"/>
    <x v="23"/>
    <d v="2025-10-27T00:00:00"/>
    <s v="Lb1017"/>
    <s v="Luisa Fernández"/>
    <x v="4"/>
    <x v="1"/>
    <x v="5"/>
    <s v="Crónica De Una Muerte Anunciada"/>
    <s v="Gabriel García Márquez"/>
    <s v="Novela"/>
    <n v="1999"/>
    <s v="A-1"/>
    <x v="0"/>
  </r>
  <r>
    <s v="Pr2218"/>
    <x v="24"/>
    <s v="No Asignado"/>
    <s v="Lb1120"/>
    <s v="Miguel Ángel"/>
    <x v="4"/>
    <x v="0"/>
    <x v="0"/>
    <s v="Los Detectives Salvajes"/>
    <s v="Roberto Bolaño"/>
    <s v="Novela"/>
    <n v="1919"/>
    <s v="B-2"/>
    <x v="0"/>
  </r>
  <r>
    <s v="Pr2451"/>
    <x v="24"/>
    <s v="No Asignado"/>
    <s v="Lb1162"/>
    <s v="Noelia Martín"/>
    <x v="4"/>
    <x v="1"/>
    <x v="2"/>
    <s v="Matar A Un Ruiseñor"/>
    <s v="Harper Lee"/>
    <s v="Novela"/>
    <n v="1981"/>
    <s v="C-3"/>
    <x v="1"/>
  </r>
  <r>
    <s v="Pr2368"/>
    <x v="25"/>
    <s v="No Asignado"/>
    <s v="Lb1038"/>
    <s v="Ana Gómez"/>
    <x v="2"/>
    <x v="1"/>
    <x v="2"/>
    <s v="La Iliada"/>
    <s v="Homero"/>
    <s v="Clásicos"/>
    <n v="1940"/>
    <s v="B-2"/>
    <x v="1"/>
  </r>
  <r>
    <s v="Pr2040"/>
    <x v="26"/>
    <d v="2025-10-13T00:00:00"/>
    <s v="Lb1089"/>
    <s v="Juan Pérez"/>
    <x v="0"/>
    <x v="1"/>
    <x v="1"/>
    <s v="Macbeth"/>
    <s v="William Shakespeare"/>
    <s v="Clásicos"/>
    <n v="1891"/>
    <s v="B-2"/>
    <x v="0"/>
  </r>
  <r>
    <s v="Pr2495"/>
    <x v="27"/>
    <d v="2025-10-10T00:00:00"/>
    <s v="Lb1088"/>
    <s v="Carlos Ruiz"/>
    <x v="2"/>
    <x v="1"/>
    <x v="6"/>
    <s v="Ficciones"/>
    <s v="Jorge Luis Borges"/>
    <s v="Cuentos / Fantasía Metafísica"/>
    <n v="1939"/>
    <s v="A-1"/>
    <x v="0"/>
  </r>
  <r>
    <s v="Pr2259"/>
    <x v="28"/>
    <s v="No Asignado"/>
    <s v="Lb1152"/>
    <s v="Juan Pérez"/>
    <x v="2"/>
    <x v="1"/>
    <x v="2"/>
    <s v="Hamlet"/>
    <s v="William Shakespeare"/>
    <s v="Clásicos"/>
    <n v="2017"/>
    <s v="A-1"/>
    <x v="0"/>
  </r>
  <r>
    <s v="Pr2220"/>
    <x v="29"/>
    <d v="2025-09-28T00:00:00"/>
    <s v="Lb1178"/>
    <s v="Noelia Martín"/>
    <x v="4"/>
    <x v="1"/>
    <x v="0"/>
    <s v="Los Detectives Salvajes"/>
    <s v="Roberto Bolaño"/>
    <s v="Novela"/>
    <n v="1914"/>
    <s v="C-3"/>
    <x v="1"/>
  </r>
  <r>
    <s v="Pr2565"/>
    <x v="29"/>
    <d v="2025-10-02T00:00:00"/>
    <s v="Lb1013"/>
    <s v="Felipe Ramírez"/>
    <x v="1"/>
    <x v="1"/>
    <x v="1"/>
    <s v="La Ciudad Y Los Perros"/>
    <s v="Mario Vargas Llosa"/>
    <s v="Novela"/>
    <n v="1901"/>
    <s v="Est-1"/>
    <x v="1"/>
  </r>
  <r>
    <s v="Pr2376"/>
    <x v="30"/>
    <s v="No Asignado"/>
    <s v="Lb1185"/>
    <s v="Jorge Ibáñez"/>
    <x v="0"/>
    <x v="0"/>
    <x v="0"/>
    <s v="Breve Historia Del Tiempo"/>
    <s v="Stephen Hawking"/>
    <s v="Divulgación Científica / Cosmología"/>
    <n v="1945"/>
    <s v="C-3"/>
    <x v="1"/>
  </r>
  <r>
    <s v="Pr2313"/>
    <x v="31"/>
    <s v="No Asignado"/>
    <s v="Lb1063"/>
    <s v="Pablo López"/>
    <x v="2"/>
    <x v="0"/>
    <x v="3"/>
    <s v="La Odisea"/>
    <s v="Homero"/>
    <s v="Clásicos"/>
    <n v="1995"/>
    <s v="Est-1"/>
    <x v="0"/>
  </r>
  <r>
    <s v="Pr2093"/>
    <x v="32"/>
    <d v="2025-09-26T00:00:00"/>
    <s v="Lb1195"/>
    <s v="Andrés Gómez"/>
    <x v="3"/>
    <x v="1"/>
    <x v="6"/>
    <s v="El Código Da Vinci"/>
    <s v="Dan Brown"/>
    <s v="Misterio"/>
    <n v="1937"/>
    <s v="A-1"/>
    <x v="0"/>
  </r>
  <r>
    <s v="Pr2335"/>
    <x v="33"/>
    <s v="No Asignado"/>
    <s v="Lb1185"/>
    <s v="Jorge Ibáñez"/>
    <x v="2"/>
    <x v="0"/>
    <x v="3"/>
    <s v="Breve Historia Del Tiempo"/>
    <s v="Stephen Hawking"/>
    <s v="Divulgación Científica / Cosmología"/>
    <n v="1945"/>
    <s v="C-3"/>
    <x v="1"/>
  </r>
  <r>
    <s v="Pr2433"/>
    <x v="34"/>
    <s v="No Asignado"/>
    <s v="Lb1020"/>
    <s v="Carlos Ruiz"/>
    <x v="3"/>
    <x v="1"/>
    <x v="1"/>
    <s v="Rebelión En La Granja"/>
    <s v="George Orwell"/>
    <s v="Ciencia Ficción"/>
    <n v="1996"/>
    <s v="C-3"/>
    <x v="1"/>
  </r>
  <r>
    <s v="Pr2230"/>
    <x v="35"/>
    <d v="2025-09-18T00:00:00"/>
    <s v="Lb1055"/>
    <s v="Andrés Gómez"/>
    <x v="3"/>
    <x v="1"/>
    <x v="5"/>
    <s v="La Sombra Del Viento"/>
    <s v="Carlos Ruiz Zafón"/>
    <s v="Misterio"/>
    <n v="2022"/>
    <s v="Est-1"/>
    <x v="0"/>
  </r>
  <r>
    <s v="Pr2126"/>
    <x v="36"/>
    <s v="No Asignado"/>
    <s v="Lb1015"/>
    <s v="Diego Gómez"/>
    <x v="1"/>
    <x v="1"/>
    <x v="2"/>
    <s v="La Iliada"/>
    <s v="Homero"/>
    <s v="Clásicos"/>
    <n v="2021"/>
    <s v="Est-1"/>
    <x v="0"/>
  </r>
  <r>
    <s v="Pr2551"/>
    <x v="36"/>
    <s v="No Asignado"/>
    <s v="Lb1037"/>
    <s v="Andrés Gómez"/>
    <x v="3"/>
    <x v="1"/>
    <x v="1"/>
    <s v="Pedro Páramo"/>
    <s v="Juan Rulfo"/>
    <s v="Novela"/>
    <n v="1934"/>
    <s v="Est-1"/>
    <x v="1"/>
  </r>
  <r>
    <s v="Pr2572"/>
    <x v="36"/>
    <s v="No Asignado"/>
    <s v="Lb1091"/>
    <s v="Juan Pérez"/>
    <x v="4"/>
    <x v="1"/>
    <x v="1"/>
    <s v="Matadero Cinco"/>
    <s v="Kurt Vonnegut"/>
    <s v="Ciencia Ficción"/>
    <n v="1993"/>
    <s v="B-2"/>
    <x v="0"/>
  </r>
  <r>
    <s v="Pr2434"/>
    <x v="37"/>
    <d v="2025-09-08T00:00:00"/>
    <s v="Lb1032"/>
    <s v="Andrés Díaz"/>
    <x v="3"/>
    <x v="1"/>
    <x v="1"/>
    <s v="Los Detectives Salvajes"/>
    <s v="Roberto Bolaño"/>
    <s v="Novela"/>
    <n v="1897"/>
    <s v="B-2"/>
    <x v="1"/>
  </r>
  <r>
    <s v="Pr2279"/>
    <x v="38"/>
    <d v="2025-08-31T00:00:00"/>
    <s v="Lb1071"/>
    <s v="María López"/>
    <x v="4"/>
    <x v="1"/>
    <x v="4"/>
    <s v="Pedro Páramo"/>
    <s v="Juan Rulfo"/>
    <s v="Novela"/>
    <n v="1920"/>
    <s v="No Asignado"/>
    <x v="1"/>
  </r>
  <r>
    <s v="Pr2304"/>
    <x v="38"/>
    <s v="No Asignado"/>
    <s v="Lb1189"/>
    <s v="Miguel Ángel"/>
    <x v="4"/>
    <x v="0"/>
    <x v="0"/>
    <s v="Sobre La Felicidad"/>
    <s v="Lucio Anneo Séneca"/>
    <s v="Filosofía Y Pensamiento"/>
    <n v="1917"/>
    <s v="B-2"/>
    <x v="1"/>
  </r>
  <r>
    <s v="Pr2442"/>
    <x v="39"/>
    <d v="2025-08-29T00:00:00"/>
    <s v="Lb1193"/>
    <s v="Miguel Ángel"/>
    <x v="3"/>
    <x v="1"/>
    <x v="4"/>
    <s v="Macbeth"/>
    <s v="William Shakespeare"/>
    <s v="Clásicos"/>
    <n v="1883"/>
    <s v="Est-1"/>
    <x v="0"/>
  </r>
  <r>
    <s v="Pr2146"/>
    <x v="40"/>
    <s v="No Asignado"/>
    <s v="Lb1187"/>
    <s v="Noelia Martín"/>
    <x v="2"/>
    <x v="0"/>
    <x v="0"/>
    <s v="Rebelión En La Granja"/>
    <s v="George Orwell"/>
    <s v="Ciencia Ficción"/>
    <n v="1910"/>
    <s v="Est-1"/>
    <x v="1"/>
  </r>
  <r>
    <s v="Pr2589"/>
    <x v="40"/>
    <s v="No Asignado"/>
    <s v="Lb1186"/>
    <s v="Valentina Mora"/>
    <x v="0"/>
    <x v="1"/>
    <x v="2"/>
    <s v="Los Detectives Salvajes"/>
    <s v="Roberto Bolaño"/>
    <s v="Novela"/>
    <n v="1898"/>
    <s v="Est-1"/>
    <x v="1"/>
  </r>
  <r>
    <s v="Pr2328"/>
    <x v="41"/>
    <s v="No Asignado"/>
    <s v="Lb1047"/>
    <s v="Carolina Rojas"/>
    <x v="4"/>
    <x v="0"/>
    <x v="3"/>
    <s v="El Amor En Los Tiempos Del Cólera"/>
    <s v="Gabriel García Márquez"/>
    <s v="Novela"/>
    <n v="1963"/>
    <s v="C-3"/>
    <x v="1"/>
  </r>
  <r>
    <s v="Pr2231"/>
    <x v="42"/>
    <d v="2025-08-09T00:00:00"/>
    <s v="Lb1067"/>
    <s v="Luisa Fernández"/>
    <x v="4"/>
    <x v="1"/>
    <x v="0"/>
    <s v="La Iliada"/>
    <s v="Homero"/>
    <s v="Clásicos"/>
    <n v="1924"/>
    <s v="Est-1"/>
    <x v="0"/>
  </r>
  <r>
    <s v="Pr2535"/>
    <x v="43"/>
    <s v="No Asignado"/>
    <s v="Lb1117"/>
    <s v=" Miguel Ángel "/>
    <x v="3"/>
    <x v="0"/>
    <x v="0"/>
    <s v="1984"/>
    <s v="George Orwell"/>
    <s v="Ciencia Ficción"/>
    <n v="1893"/>
    <s v="C-3"/>
    <x v="0"/>
  </r>
  <r>
    <s v="Pr2536"/>
    <x v="44"/>
    <s v="No Asignado"/>
    <s v="Lb1150"/>
    <s v="Valentina Mora"/>
    <x v="4"/>
    <x v="0"/>
    <x v="3"/>
    <s v="1984"/>
    <s v="George Orwell"/>
    <s v="Ciencia Ficción"/>
    <n v="1920"/>
    <s v="C-3"/>
    <x v="0"/>
  </r>
  <r>
    <s v="Pr2556"/>
    <x v="45"/>
    <s v="No Asignado"/>
    <s v="Lb1017"/>
    <s v="Carolina Rojas"/>
    <x v="0"/>
    <x v="1"/>
    <x v="2"/>
    <s v="Crónica De Una Muerte Anunciada"/>
    <s v="Gabriel García Márquez"/>
    <s v="Novela"/>
    <n v="1999"/>
    <s v="A-1"/>
    <x v="0"/>
  </r>
  <r>
    <s v="Pr2117"/>
    <x v="46"/>
    <s v="No Asignado"/>
    <s v="Lb1031"/>
    <s v="María López"/>
    <x v="3"/>
    <x v="1"/>
    <x v="2"/>
    <s v="Breve Historia Del Tiempo"/>
    <s v="Stephen Hawking"/>
    <s v="Divulgación Científica / Cosmología"/>
    <n v="1889"/>
    <s v="Est-1"/>
    <x v="1"/>
  </r>
  <r>
    <s v="Pr2110"/>
    <x v="47"/>
    <s v="No Asignado"/>
    <s v="Lb1177"/>
    <s v="Camila Álvarez"/>
    <x v="2"/>
    <x v="0"/>
    <x v="3"/>
    <s v="Matadero Cinco"/>
    <s v="Kurt Vonnegut"/>
    <s v="Ciencia Ficción"/>
    <n v="1984"/>
    <s v="A-1"/>
    <x v="1"/>
  </r>
  <r>
    <s v="Pr2285"/>
    <x v="48"/>
    <d v="2025-07-18T00:00:00"/>
    <s v="Lb1193"/>
    <s v="María López"/>
    <x v="3"/>
    <x v="1"/>
    <x v="1"/>
    <s v="Macbeth"/>
    <s v="William Shakespeare"/>
    <s v="Clásicos"/>
    <n v="1883"/>
    <s v="Est-1"/>
    <x v="0"/>
  </r>
  <r>
    <s v="Pr2287"/>
    <x v="49"/>
    <d v="2025-07-20T00:00:00"/>
    <s v="Lb1084"/>
    <s v="Carlos Ruiz"/>
    <x v="1"/>
    <x v="1"/>
    <x v="5"/>
    <s v="El Código Da Vinci"/>
    <s v="Dan Brown"/>
    <s v="Misterio"/>
    <n v="1944"/>
    <s v="A-1"/>
    <x v="0"/>
  </r>
  <r>
    <s v="Pr2102"/>
    <x v="50"/>
    <d v="2025-07-16T00:00:00"/>
    <s v="Lb1037"/>
    <s v="Jorge Ibáñez"/>
    <x v="3"/>
    <x v="1"/>
    <x v="5"/>
    <s v="Pedro Páramo"/>
    <s v="Juan Rulfo"/>
    <s v="Novela"/>
    <n v="1934"/>
    <s v="Est-1"/>
    <x v="1"/>
  </r>
  <r>
    <s v="Pr2195"/>
    <x v="50"/>
    <s v="No Asignado"/>
    <s v="Lb1142"/>
    <s v="Valentina Mora"/>
    <x v="3"/>
    <x v="0"/>
    <x v="3"/>
    <s v="Breve Historia Del Tiempo"/>
    <s v="Stephen Hawking"/>
    <s v="Divulgación Científica / Cosmología"/>
    <n v="2021"/>
    <s v="Est-1"/>
    <x v="0"/>
  </r>
  <r>
    <s v="Pr2105"/>
    <x v="51"/>
    <s v="No Asignado"/>
    <s v="Lb1126"/>
    <s v="Luisa Fernández"/>
    <x v="3"/>
    <x v="0"/>
    <x v="0"/>
    <s v="Crónica De Una Muerte Anunciada"/>
    <s v="Gabriel García Márquez"/>
    <s v="Novela"/>
    <n v="1965"/>
    <s v="A-1"/>
    <x v="0"/>
  </r>
  <r>
    <s v="Pr2155"/>
    <x v="51"/>
    <s v="No Asignado"/>
    <s v="Lb1133"/>
    <s v="Pedro Sánchez"/>
    <x v="3"/>
    <x v="1"/>
    <x v="2"/>
    <s v="Don Quijote De La Mancha"/>
    <s v="Miguel De Cervantes"/>
    <s v="Novela"/>
    <n v="1944"/>
    <s v="B-2"/>
    <x v="0"/>
  </r>
  <r>
    <s v="Pr2274"/>
    <x v="51"/>
    <s v="No Asignado"/>
    <s v="Lb1106"/>
    <s v="Pedro Sánchez"/>
    <x v="3"/>
    <x v="0"/>
    <x v="3"/>
    <s v="Ficciones"/>
    <s v="Jorge Luis Borges"/>
    <s v="Cuentos / Fantasía Metafísica"/>
    <n v="1990"/>
    <s v="B-2"/>
    <x v="1"/>
  </r>
  <r>
    <s v="Pr2441"/>
    <x v="51"/>
    <d v="2025-07-01T00:00:00"/>
    <s v="Lb1108"/>
    <s v="Pablo López"/>
    <x v="3"/>
    <x v="1"/>
    <x v="1"/>
    <s v="La Casa De Los Espíritus"/>
    <s v="Isabel Allende"/>
    <s v="Novela"/>
    <n v="1938"/>
    <s v="Est-1"/>
    <x v="0"/>
  </r>
  <r>
    <s v="Pr2388"/>
    <x v="52"/>
    <s v="No Asignado"/>
    <s v="Lb1059"/>
    <s v="Juan Pérez"/>
    <x v="4"/>
    <x v="0"/>
    <x v="0"/>
    <s v="La Ciudad Y Los Perros"/>
    <s v="Mario Vargas Llosa"/>
    <s v="Novela"/>
    <n v="1891"/>
    <s v="Est-1"/>
    <x v="1"/>
  </r>
  <r>
    <s v="Pr2004"/>
    <x v="53"/>
    <s v="No Asignado"/>
    <s v="Lb1111"/>
    <s v="Valentina Mora"/>
    <x v="4"/>
    <x v="1"/>
    <x v="2"/>
    <s v="Matadero Cinco"/>
    <s v="Kurt Vonnegut"/>
    <s v="Ciencia Ficción"/>
    <n v="1923"/>
    <s v="Est-1"/>
    <x v="1"/>
  </r>
  <r>
    <s v="Pr2052"/>
    <x v="54"/>
    <s v="No Asignado"/>
    <s v="Lb1002"/>
    <s v="Diego Gómez"/>
    <x v="0"/>
    <x v="0"/>
    <x v="3"/>
    <s v="El Amor En Los Tiempos Del Cólera"/>
    <s v="Gabriel García Márquez"/>
    <s v="Novela"/>
    <n v="1936"/>
    <s v="Est-1"/>
    <x v="0"/>
  </r>
  <r>
    <s v="Pr2372"/>
    <x v="55"/>
    <d v="2025-06-08T00:00:00"/>
    <s v="Lb1107"/>
    <s v="Carolina Rojas"/>
    <x v="4"/>
    <x v="1"/>
    <x v="0"/>
    <s v="Orgullo Y Prejuicio"/>
    <s v="Jane Austen"/>
    <s v="Novela"/>
    <n v="1934"/>
    <s v="A-1"/>
    <x v="0"/>
  </r>
  <r>
    <s v="Pr2039"/>
    <x v="56"/>
    <s v="No Asignado"/>
    <s v="Lb1195"/>
    <s v="Jorge Ibáñez"/>
    <x v="3"/>
    <x v="0"/>
    <x v="3"/>
    <s v="El Código Da Vinci"/>
    <s v="Dan Brown"/>
    <s v="Misterio"/>
    <n v="1937"/>
    <s v="A-1"/>
    <x v="0"/>
  </r>
  <r>
    <s v="Pr2407"/>
    <x v="57"/>
    <s v="No Asignado"/>
    <s v="Lb1121"/>
    <s v="Felipe Ramírez"/>
    <x v="3"/>
    <x v="0"/>
    <x v="1"/>
    <s v="Orgullo Y Prejuicio"/>
    <s v="Jane Austen"/>
    <s v="Novela"/>
    <n v="1976"/>
    <s v="A-1"/>
    <x v="1"/>
  </r>
  <r>
    <s v="Pr2011"/>
    <x v="58"/>
    <s v="No Asignado"/>
    <s v="Lb1058"/>
    <s v="Juan Pérez"/>
    <x v="2"/>
    <x v="1"/>
    <x v="2"/>
    <s v="Crónica De Una Muerte Anunciada"/>
    <s v="Gabriel García Márquez"/>
    <s v="Novela"/>
    <n v="1929"/>
    <s v="Est-1"/>
    <x v="0"/>
  </r>
  <r>
    <s v="Pr2509"/>
    <x v="59"/>
    <d v="2025-05-18T00:00:00"/>
    <s v="Lb1169"/>
    <s v="Andrés Gómez"/>
    <x v="3"/>
    <x v="1"/>
    <x v="4"/>
    <s v="La Sombra Del Viento"/>
    <s v="Carlos Ruiz Zafón"/>
    <s v="Misterio"/>
    <n v="1929"/>
    <s v="Est-1"/>
    <x v="1"/>
  </r>
  <r>
    <s v="Pr2369"/>
    <x v="60"/>
    <s v="No Asignado"/>
    <s v="Lb1037"/>
    <s v="Noelia Martín"/>
    <x v="4"/>
    <x v="0"/>
    <x v="1"/>
    <s v="Pedro Páramo"/>
    <s v="Juan Rulfo"/>
    <s v="Novela"/>
    <n v="1934"/>
    <s v="Est-1"/>
    <x v="1"/>
  </r>
  <r>
    <s v="Pr2515"/>
    <x v="60"/>
    <s v="No Asignado"/>
    <s v="Lb1196"/>
    <s v="Andrés Gómez"/>
    <x v="1"/>
    <x v="1"/>
    <x v="6"/>
    <s v="El Amor En Los Tiempos Del Cólera"/>
    <s v="Gabriel García Márquez"/>
    <s v="Novela"/>
    <n v="1991"/>
    <s v="C-3"/>
    <x v="0"/>
  </r>
  <r>
    <s v="Pr2413"/>
    <x v="61"/>
    <s v="No Asignado"/>
    <s v="Lb1114"/>
    <s v="Valentina Mora"/>
    <x v="2"/>
    <x v="0"/>
    <x v="1"/>
    <s v="Rebelión En La Granja"/>
    <s v="George Orwell"/>
    <s v="Ciencia Ficción"/>
    <n v="1995"/>
    <s v="A-1"/>
    <x v="0"/>
  </r>
  <r>
    <s v="Pr2229"/>
    <x v="62"/>
    <d v="2025-05-10T00:00:00"/>
    <s v="Lb1180"/>
    <s v="Valentina Mora"/>
    <x v="2"/>
    <x v="1"/>
    <x v="0"/>
    <s v="Crónica De Una Muerte Anunciada"/>
    <s v="Gabriel García Márquez"/>
    <s v="Novela"/>
    <n v="1987"/>
    <s v="A-1"/>
    <x v="0"/>
  </r>
  <r>
    <s v="Pr2213"/>
    <x v="63"/>
    <s v="No Asignado"/>
    <s v="Lb1022"/>
    <s v="Ana Gómez"/>
    <x v="4"/>
    <x v="0"/>
    <x v="1"/>
    <s v="Don Quijote De La Mancha"/>
    <s v="Miguel De Cervantes"/>
    <s v="Novela"/>
    <n v="1910"/>
    <s v="B-2"/>
    <x v="0"/>
  </r>
  <r>
    <s v="Pr2401"/>
    <x v="63"/>
    <d v="2025-05-17T00:00:00"/>
    <s v="Lb1010"/>
    <s v="Diego Gómez"/>
    <x v="3"/>
    <x v="1"/>
    <x v="5"/>
    <s v="La Odisea"/>
    <s v="Homero"/>
    <s v="Clásicos"/>
    <n v="2021"/>
    <s v="A-1"/>
    <x v="0"/>
  </r>
  <r>
    <s v="Pr2133"/>
    <x v="64"/>
    <s v="No Asignado"/>
    <s v="Lb1046"/>
    <s v="Sofía Torres"/>
    <x v="2"/>
    <x v="1"/>
    <x v="6"/>
    <s v="Cien Años De Soledad"/>
    <s v="Gabriel García Márquez"/>
    <s v="Novela"/>
    <n v="2016"/>
    <s v="C-3"/>
    <x v="0"/>
  </r>
  <r>
    <s v="Pr2437"/>
    <x v="64"/>
    <s v="No Asignado"/>
    <s v="Lb1072"/>
    <s v="Felipe Ramírez"/>
    <x v="1"/>
    <x v="1"/>
    <x v="6"/>
    <s v="El Amor En Los Tiempos Del Cólera"/>
    <s v="Gabriel García Márquez"/>
    <s v="Novela"/>
    <n v="1954"/>
    <s v="B-2"/>
    <x v="1"/>
  </r>
  <r>
    <s v="Pr2054"/>
    <x v="65"/>
    <d v="2025-05-02T00:00:00"/>
    <s v="Lb1087"/>
    <s v="Juan Pérez"/>
    <x v="3"/>
    <x v="1"/>
    <x v="0"/>
    <s v="El Amor En Los Tiempos Del Cólera"/>
    <s v="Gabriel García Márquez"/>
    <s v="Novela"/>
    <n v="2022"/>
    <s v="A-1"/>
    <x v="0"/>
  </r>
  <r>
    <s v="Pr2173"/>
    <x v="65"/>
    <s v="No Asignado"/>
    <s v="Lb1006"/>
    <s v="Sofía Torres"/>
    <x v="3"/>
    <x v="0"/>
    <x v="1"/>
    <s v="La Sombra Del Viento"/>
    <s v="Carlos Ruiz Zafón"/>
    <s v="Misterio"/>
    <n v="1923"/>
    <s v="B-2"/>
    <x v="1"/>
  </r>
  <r>
    <s v="Pr2186"/>
    <x v="66"/>
    <s v="No Asignado"/>
    <s v="Lb1182"/>
    <s v="Pedro Sánchez"/>
    <x v="3"/>
    <x v="1"/>
    <x v="6"/>
    <s v="Crónica De Una Muerte Anunciada"/>
    <s v="Gabriel García Márquez"/>
    <s v="Novela"/>
    <n v="1957"/>
    <s v="Est-1"/>
    <x v="0"/>
  </r>
  <r>
    <s v="Pr2557"/>
    <x v="66"/>
    <s v="No Asignado"/>
    <s v="Lb1172"/>
    <s v="Valentina Mora"/>
    <x v="1"/>
    <x v="1"/>
    <x v="1"/>
    <s v="El Túnel"/>
    <s v="Ernesto Sabato"/>
    <s v="Novela"/>
    <n v="1936"/>
    <s v="A-1"/>
    <x v="1"/>
  </r>
  <r>
    <s v="Pr2490"/>
    <x v="67"/>
    <s v="No Asignado"/>
    <s v="Lb1127"/>
    <s v="María López"/>
    <x v="3"/>
    <x v="1"/>
    <x v="6"/>
    <s v="El Código Da Vinci"/>
    <s v="Dan Brown"/>
    <s v="Misterio"/>
    <n v="1935"/>
    <s v="A-1"/>
    <x v="1"/>
  </r>
  <r>
    <s v="Pr2319"/>
    <x v="68"/>
    <d v="2025-04-28T00:00:00"/>
    <s v="Lb1183"/>
    <s v="Andrés Gómez"/>
    <x v="4"/>
    <x v="1"/>
    <x v="1"/>
    <s v="Ficciones"/>
    <s v="Jorge Luis Borges"/>
    <s v="Cuentos / Fantasía Metafísica"/>
    <n v="2022"/>
    <s v="A-1"/>
    <x v="1"/>
  </r>
  <r>
    <s v="Pr2191"/>
    <x v="69"/>
    <s v="No Asignado"/>
    <s v="Lb1031"/>
    <s v="Miguel Ángel"/>
    <x v="1"/>
    <x v="1"/>
    <x v="6"/>
    <s v="Breve Historia Del Tiempo"/>
    <s v="Stephen Hawking"/>
    <s v="Divulgación Científica / Cosmología"/>
    <n v="1889"/>
    <s v="Est-1"/>
    <x v="1"/>
  </r>
  <r>
    <s v="Pr2268"/>
    <x v="70"/>
    <s v="No Asignado"/>
    <s v="Lb1155"/>
    <s v=" Laura Ruiz "/>
    <x v="4"/>
    <x v="0"/>
    <x v="3"/>
    <s v="Macbeth"/>
    <s v="William Shakespeare"/>
    <s v="Clásicos"/>
    <n v="1996"/>
    <s v="Est-1"/>
    <x v="1"/>
  </r>
  <r>
    <s v="Pr2185"/>
    <x v="71"/>
    <d v="2025-04-22T00:00:00"/>
    <s v="Lb1044"/>
    <s v="Valentina Mora"/>
    <x v="0"/>
    <x v="1"/>
    <x v="1"/>
    <s v="Matadero Cinco"/>
    <s v="Kurt Vonnegut"/>
    <s v="Ciencia Ficción"/>
    <n v="1977"/>
    <s v="A-1"/>
    <x v="0"/>
  </r>
  <r>
    <s v="Pr2525"/>
    <x v="72"/>
    <d v="2025-04-20T00:00:00"/>
    <s v="Lb1179"/>
    <s v="Noelia Martín"/>
    <x v="2"/>
    <x v="1"/>
    <x v="1"/>
    <s v="Orgullo Y Prejuicio"/>
    <s v="Jane Austen"/>
    <s v="Novela"/>
    <n v="2019"/>
    <s v="Est-1"/>
    <x v="1"/>
  </r>
  <r>
    <s v="Pr2166"/>
    <x v="73"/>
    <d v="2025-04-13T00:00:00"/>
    <s v="Lb1095"/>
    <s v="Andrés Gómez"/>
    <x v="3"/>
    <x v="1"/>
    <x v="4"/>
    <s v="Breve Historia Del Tiempo"/>
    <s v="Stephen Hawking"/>
    <s v="Divulgación Científica / Cosmología"/>
    <n v="1909"/>
    <s v="A-1"/>
    <x v="0"/>
  </r>
  <r>
    <s v="Pr2384"/>
    <x v="74"/>
    <d v="2025-04-15T00:00:00"/>
    <s v="Lb1147"/>
    <s v="Pablo López"/>
    <x v="1"/>
    <x v="1"/>
    <x v="1"/>
    <s v="El Amor En Los Tiempos Del Cólera"/>
    <s v="Gabriel García Márquez"/>
    <s v="Novela"/>
    <n v="1887"/>
    <s v="Est-1"/>
    <x v="0"/>
  </r>
  <r>
    <s v="Pr2140"/>
    <x v="75"/>
    <d v="2025-04-13T00:00:00"/>
    <s v="Lb1003"/>
    <s v="Sofía Torres"/>
    <x v="3"/>
    <x v="1"/>
    <x v="1"/>
    <s v="Sobre La Felicidad"/>
    <s v="Lucio Anneo Séneca"/>
    <s v="Filosofía Y Pensamiento"/>
    <n v="1903"/>
    <s v="A-1"/>
    <x v="0"/>
  </r>
  <r>
    <s v="Pr2198"/>
    <x v="75"/>
    <s v="No Asignado"/>
    <s v="Lb1107"/>
    <s v="Valentina Mora"/>
    <x v="1"/>
    <x v="1"/>
    <x v="6"/>
    <s v="Orgullo Y Prejuicio"/>
    <s v="Jane Austen"/>
    <s v="Novela"/>
    <n v="1934"/>
    <s v="A-1"/>
    <x v="0"/>
  </r>
  <r>
    <s v="Pr2463"/>
    <x v="76"/>
    <s v="No Asignado"/>
    <s v="Lb1018"/>
    <s v="Noelia Martín"/>
    <x v="3"/>
    <x v="0"/>
    <x v="1"/>
    <s v="Don Quijote De La Mancha"/>
    <s v="Miguel De Cervantes"/>
    <s v="Novela"/>
    <n v="1926"/>
    <s v="Est-1"/>
    <x v="0"/>
  </r>
  <r>
    <s v="Pr2209"/>
    <x v="77"/>
    <s v="No Asignado"/>
    <s v="Lb1051"/>
    <s v="Pablo López"/>
    <x v="3"/>
    <x v="1"/>
    <x v="6"/>
    <s v="El Túnel"/>
    <s v="Ernesto Sabato"/>
    <s v="Novela"/>
    <n v="1957"/>
    <s v="Est-1"/>
    <x v="0"/>
  </r>
  <r>
    <s v="Pr2014"/>
    <x v="78"/>
    <d v="2025-04-01T00:00:00"/>
    <s v="Lb1117"/>
    <s v="Carolina Rojas"/>
    <x v="1"/>
    <x v="1"/>
    <x v="6"/>
    <s v="1984"/>
    <s v="George Orwell"/>
    <s v="Ciencia Ficción"/>
    <n v="1893"/>
    <s v="C-3"/>
    <x v="0"/>
  </r>
  <r>
    <s v="Pr2540"/>
    <x v="79"/>
    <s v="No Asignado"/>
    <s v="Lb1159"/>
    <s v="Laura Ruiz"/>
    <x v="1"/>
    <x v="1"/>
    <x v="6"/>
    <s v="El Principito"/>
    <s v="Antoine De Saint-Exupéry"/>
    <s v="Literatura Infantil / Fábula Filosófica"/>
    <n v="2000"/>
    <s v="A-1"/>
    <x v="1"/>
  </r>
  <r>
    <s v="Pr2020"/>
    <x v="80"/>
    <s v="No Asignado"/>
    <s v="Lb1121"/>
    <s v="Miguel Ángel"/>
    <x v="2"/>
    <x v="1"/>
    <x v="6"/>
    <s v="Orgullo Y Prejuicio"/>
    <s v="Jane Austen"/>
    <s v="Novela"/>
    <n v="1976"/>
    <s v="A-1"/>
    <x v="1"/>
  </r>
  <r>
    <s v="Pr2247"/>
    <x v="81"/>
    <s v="No Asignado"/>
    <s v="Lb1100"/>
    <s v="Laura Ruiz"/>
    <x v="4"/>
    <x v="1"/>
    <x v="6"/>
    <s v="La Iliada"/>
    <s v="Homero"/>
    <s v="Clásicos"/>
    <n v="1913"/>
    <s v="A-1"/>
    <x v="0"/>
  </r>
  <r>
    <s v="Pr2486"/>
    <x v="82"/>
    <s v="No Asignado"/>
    <s v="Lb1194"/>
    <s v="Pedro Sánchez"/>
    <x v="3"/>
    <x v="0"/>
    <x v="3"/>
    <s v="Cien Años De Soledad"/>
    <s v="Gabriel García Márquez"/>
    <s v="Novela"/>
    <n v="2014"/>
    <s v="B-2"/>
    <x v="0"/>
  </r>
  <r>
    <s v="Pr2504"/>
    <x v="83"/>
    <s v="No Asignado"/>
    <s v="Lb1101"/>
    <s v="Miguel Ángel"/>
    <x v="4"/>
    <x v="0"/>
    <x v="1"/>
    <s v="La Iliada"/>
    <s v="Homero"/>
    <s v="Clásicos"/>
    <n v="1893"/>
    <s v="Est-1"/>
    <x v="0"/>
  </r>
  <r>
    <s v="Pr2038"/>
    <x v="84"/>
    <s v="No Asignado"/>
    <s v="Lb1071"/>
    <s v="Miguel Ángel"/>
    <x v="2"/>
    <x v="0"/>
    <x v="3"/>
    <s v="Pedro Páramo"/>
    <s v="Juan Rulfo"/>
    <s v="Novela"/>
    <n v="1920"/>
    <s v="No Asignado"/>
    <x v="1"/>
  </r>
  <r>
    <s v="Pr2559"/>
    <x v="84"/>
    <s v="No Asignado"/>
    <s v="Lb1045"/>
    <s v="Andrés Gómez"/>
    <x v="0"/>
    <x v="0"/>
    <x v="1"/>
    <s v="Sobre La Felicidad"/>
    <s v="Lucio Anneo Séneca"/>
    <s v="Filosofía Y Pensamiento"/>
    <n v="1936"/>
    <s v="B-2"/>
    <x v="1"/>
  </r>
  <r>
    <s v="Pr2456"/>
    <x v="85"/>
    <d v="2025-03-06T00:00:00"/>
    <s v="Lb1073"/>
    <s v="Andrés Díaz"/>
    <x v="4"/>
    <x v="1"/>
    <x v="4"/>
    <s v="Rebelión En La Granja"/>
    <s v="George Orwell"/>
    <s v="Ciencia Ficción"/>
    <n v="1897"/>
    <s v="C-3"/>
    <x v="0"/>
  </r>
  <r>
    <s v="Pr2400"/>
    <x v="86"/>
    <s v="No Asignado"/>
    <s v="Lb1122"/>
    <s v="Luisa Fernández"/>
    <x v="0"/>
    <x v="0"/>
    <x v="1"/>
    <s v="El Aleph"/>
    <s v="Jorge Luis Borges"/>
    <s v="Cuentos / Fantasía Metafísica"/>
    <n v="1994"/>
    <s v="Est-1"/>
    <x v="1"/>
  </r>
  <r>
    <s v="Pr2411"/>
    <x v="87"/>
    <s v="No Asignado"/>
    <s v="Lb1103"/>
    <s v="Andrés Díaz"/>
    <x v="3"/>
    <x v="1"/>
    <x v="6"/>
    <s v="Matar A Un Ruiseñor"/>
    <s v="Harper Lee"/>
    <s v="Novela"/>
    <n v="1887"/>
    <s v="B-2"/>
    <x v="0"/>
  </r>
  <r>
    <s v="Pr2412"/>
    <x v="87"/>
    <d v="2025-03-03T00:00:00"/>
    <s v="Lb1153"/>
    <s v="Ana Gómez"/>
    <x v="1"/>
    <x v="1"/>
    <x v="0"/>
    <s v="El Aleph"/>
    <s v="Jorge Luis Borges"/>
    <s v="Cuentos / Fantasía Metafísica"/>
    <n v="1953"/>
    <s v="C-3"/>
    <x v="0"/>
  </r>
  <r>
    <s v="Pr2444"/>
    <x v="88"/>
    <d v="2025-03-03T00:00:00"/>
    <s v="Lb1043"/>
    <s v="Pablo López"/>
    <x v="1"/>
    <x v="1"/>
    <x v="4"/>
    <s v="Crónica De Una Muerte Anunciada"/>
    <s v="Gabriel García Márquez"/>
    <s v="Novela"/>
    <n v="1934"/>
    <s v="C-3"/>
    <x v="1"/>
  </r>
  <r>
    <s v="Pr2410"/>
    <x v="89"/>
    <s v="No Asignado"/>
    <s v="Lb1149"/>
    <s v="Andrés Gómez"/>
    <x v="4"/>
    <x v="0"/>
    <x v="3"/>
    <s v="La Casa De Los Espíritus"/>
    <s v="Isabel Allende"/>
    <s v="Novela"/>
    <n v="1907"/>
    <s v="B-2"/>
    <x v="0"/>
  </r>
  <r>
    <s v="Pr2516"/>
    <x v="89"/>
    <s v="No Asignado"/>
    <s v="Lb1042"/>
    <s v="Noelia Martín"/>
    <x v="4"/>
    <x v="0"/>
    <x v="1"/>
    <s v="El Aleph"/>
    <s v="Jorge Luis Borges"/>
    <s v="Cuentos / Fantasía Metafísica"/>
    <n v="1941"/>
    <s v="Est-1"/>
    <x v="0"/>
  </r>
  <r>
    <s v="Pr2109"/>
    <x v="90"/>
    <s v="No Asignado"/>
    <s v="Lb1186"/>
    <s v="Carolina Rojas"/>
    <x v="2"/>
    <x v="1"/>
    <x v="6"/>
    <s v="Los Detectives Salvajes"/>
    <s v="Roberto Bolaño"/>
    <s v="Novela"/>
    <n v="1898"/>
    <s v="Est-1"/>
    <x v="1"/>
  </r>
  <r>
    <s v="Pr2136"/>
    <x v="91"/>
    <s v="No Asignado"/>
    <s v="Lb1064"/>
    <s v="Juan Pérez"/>
    <x v="4"/>
    <x v="0"/>
    <x v="3"/>
    <s v="Crónica De Una Muerte Anunciada"/>
    <s v="Gabriel García Márquez"/>
    <s v="Novela"/>
    <n v="1930"/>
    <s v="A-1"/>
    <x v="1"/>
  </r>
  <r>
    <s v="Pr2331"/>
    <x v="92"/>
    <d v="2025-02-21T00:00:00"/>
    <s v="Lb1162"/>
    <s v="Pablo López"/>
    <x v="0"/>
    <x v="1"/>
    <x v="5"/>
    <s v="Matar A Un Ruiseñor"/>
    <s v="Harper Lee"/>
    <s v="Novela"/>
    <n v="1981"/>
    <s v="C-3"/>
    <x v="1"/>
  </r>
  <r>
    <s v="Pr2426"/>
    <x v="93"/>
    <s v="No Asignado"/>
    <s v="Lb1089"/>
    <s v="Carlos Ruiz"/>
    <x v="4"/>
    <x v="0"/>
    <x v="1"/>
    <s v="Macbeth"/>
    <s v="William Shakespeare"/>
    <s v="Clásicos"/>
    <n v="1891"/>
    <s v="B-2"/>
    <x v="0"/>
  </r>
  <r>
    <s v="Pr2094"/>
    <x v="94"/>
    <d v="2025-02-04T00:00:00"/>
    <s v="Lb1039"/>
    <s v="Laura Ruiz"/>
    <x v="0"/>
    <x v="1"/>
    <x v="1"/>
    <s v="Rayuela"/>
    <s v="Julio Cortázar"/>
    <s v="Novela"/>
    <n v="1986"/>
    <s v="Est-1"/>
    <x v="1"/>
  </r>
  <r>
    <s v="Pr2386"/>
    <x v="94"/>
    <s v="No Asignado"/>
    <s v="Lb1078"/>
    <s v="Andrés Gómez"/>
    <x v="3"/>
    <x v="0"/>
    <x v="1"/>
    <s v="La Casa De Los Espíritus"/>
    <s v="Isabel Allende"/>
    <s v="Novela"/>
    <n v="2018"/>
    <s v="Est-1"/>
    <x v="0"/>
  </r>
  <r>
    <s v="Pr2471"/>
    <x v="95"/>
    <s v="No Asignado"/>
    <s v="Lb1009"/>
    <s v="María López"/>
    <x v="3"/>
    <x v="1"/>
    <x v="6"/>
    <s v="El Aleph"/>
    <s v="Jorge Luis Borges"/>
    <s v="Cuentos / Fantasía Metafísica"/>
    <n v="1903"/>
    <s v="A-1"/>
    <x v="1"/>
  </r>
  <r>
    <s v="Pr2111"/>
    <x v="96"/>
    <s v="No Asignado"/>
    <s v="Lb1065"/>
    <s v="Juan Pérez"/>
    <x v="4"/>
    <x v="0"/>
    <x v="1"/>
    <s v="Ficciones"/>
    <s v="Jorge Luis Borges"/>
    <s v="Cuentos / Fantasía Metafísica"/>
    <n v="1953"/>
    <s v="A-1"/>
    <x v="0"/>
  </r>
  <r>
    <s v="Pr2531"/>
    <x v="97"/>
    <s v="No Asignado"/>
    <s v="Lb1024"/>
    <s v="Laura Ruiz"/>
    <x v="4"/>
    <x v="0"/>
    <x v="3"/>
    <s v="1984"/>
    <s v="George Orwell"/>
    <s v="Ciencia Ficción"/>
    <n v="1898"/>
    <s v="B-2"/>
    <x v="1"/>
  </r>
  <r>
    <s v="Pr2143"/>
    <x v="98"/>
    <s v="No Asignado"/>
    <s v="Lb1164"/>
    <s v="Pedro Sánchez"/>
    <x v="3"/>
    <x v="0"/>
    <x v="1"/>
    <s v="Rayuela"/>
    <s v="Julio Cortázar"/>
    <s v="Novela"/>
    <n v="1939"/>
    <s v="A-1"/>
    <x v="1"/>
  </r>
  <r>
    <s v="Pr2108"/>
    <x v="99"/>
    <d v="2025-01-20T00:00:00"/>
    <s v="Lb1053"/>
    <s v="Miguel Ángel"/>
    <x v="4"/>
    <x v="1"/>
    <x v="4"/>
    <s v="La Tregua"/>
    <s v="Mario Benedetti"/>
    <s v="Novela"/>
    <n v="2003"/>
    <s v="C-3"/>
    <x v="0"/>
  </r>
  <r>
    <s v="Pr2047"/>
    <x v="100"/>
    <d v="2025-07-29T00:00:00"/>
    <s v="Lb1031"/>
    <s v="Pablo López"/>
    <x v="1"/>
    <x v="2"/>
    <x v="7"/>
    <s v="Breve Historia Del Tiempo"/>
    <s v="Stephen Hawking"/>
    <s v="Divulgación Científica / Cosmología"/>
    <n v="1889"/>
    <s v="Est-1"/>
    <x v="1"/>
  </r>
  <r>
    <s v="Pr2048"/>
    <x v="76"/>
    <d v="2025-03-12T00:00:00"/>
    <s v="Lb1034"/>
    <s v="María López"/>
    <x v="3"/>
    <x v="0"/>
    <x v="3"/>
    <s v="El Aleph"/>
    <s v="Jorge Luis Borges"/>
    <s v="Cuentos / Fantasía Metafísica"/>
    <n v="1991"/>
    <s v="Est-1"/>
    <x v="1"/>
  </r>
  <r>
    <s v="Pr2100"/>
    <x v="101"/>
    <d v="2025-08-16T00:00:00"/>
    <s v="Lb1180"/>
    <s v="Luisa Fernández"/>
    <x v="4"/>
    <x v="1"/>
    <x v="1"/>
    <s v="Crónica De Una Muerte Anunciada"/>
    <s v="Gabriel García Márquez"/>
    <s v="Novela"/>
    <n v="1987"/>
    <s v="A-1"/>
    <x v="0"/>
  </r>
  <r>
    <s v="Pr2403"/>
    <x v="102"/>
    <d v="2025-08-02T00:00:00"/>
    <s v="Lb1279"/>
    <s v="Juan Pérez"/>
    <x v="0"/>
    <x v="1"/>
    <x v="5"/>
    <s v="Libro No Existe"/>
    <s v="Libro No Existe"/>
    <s v="Libro No Existe"/>
    <s v="Libro No Existe"/>
    <s v="No Existe"/>
    <x v="2"/>
  </r>
  <r>
    <s v="Pr2182"/>
    <x v="103"/>
    <d v="2025-05-22T00:00:00"/>
    <s v="Lb1031"/>
    <s v="Felipe Ramírez"/>
    <x v="1"/>
    <x v="0"/>
    <x v="8"/>
    <s v="Breve Historia Del Tiempo"/>
    <s v="Stephen Hawking"/>
    <s v="Divulgación Científica / Cosmología"/>
    <n v="1889"/>
    <s v="Est-1"/>
    <x v="1"/>
  </r>
  <r>
    <s v="Pr2212"/>
    <x v="104"/>
    <d v="2025-03-14T00:00:00"/>
    <s v="Lb1003"/>
    <s v="Valentina Mora"/>
    <x v="3"/>
    <x v="0"/>
    <x v="1"/>
    <s v="Sobre La Felicidad"/>
    <s v="Lucio Anneo Séneca"/>
    <s v="Filosofía Y Pensamiento"/>
    <n v="1903"/>
    <s v="A-1"/>
    <x v="0"/>
  </r>
  <r>
    <s v="Pr2256"/>
    <x v="103"/>
    <d v="2025-06-17T00:00:00"/>
    <s v="Lb1075"/>
    <s v="Diego Gómez"/>
    <x v="4"/>
    <x v="1"/>
    <x v="4"/>
    <s v="Matar A Un Ruiseñor"/>
    <s v="Harper Lee"/>
    <s v="Novela"/>
    <n v="1939"/>
    <s v="No Asignado"/>
    <x v="1"/>
  </r>
  <r>
    <s v="Pr2272"/>
    <x v="105"/>
    <d v="2025-08-22T00:00:00"/>
    <s v="Lb1128"/>
    <s v=" Luisa Fernández "/>
    <x v="3"/>
    <x v="2"/>
    <x v="7"/>
    <s v="La Ciudad Y Los Perros"/>
    <s v="Mario Vargas Llosa"/>
    <s v="Novela"/>
    <n v="1896"/>
    <s v="Est-1"/>
    <x v="0"/>
  </r>
  <r>
    <s v="Pr2402"/>
    <x v="45"/>
    <d v="2025-08-02T00:00:00"/>
    <s v="Lb1026"/>
    <s v="Pedro Sánchez"/>
    <x v="2"/>
    <x v="2"/>
    <x v="7"/>
    <s v="Rayuela"/>
    <s v="Julio Cortázar"/>
    <s v="Novela"/>
    <n v="1932"/>
    <s v="B-2"/>
    <x v="0"/>
  </r>
  <r>
    <s v="Pr2452"/>
    <x v="106"/>
    <d v="2025-08-06T00:00:00"/>
    <s v="Lb1190"/>
    <s v="Carlos Ruiz"/>
    <x v="2"/>
    <x v="0"/>
    <x v="3"/>
    <s v="Pedro Páramo"/>
    <s v="Juan Rulfo"/>
    <s v="Novela"/>
    <n v="1966"/>
    <s v="Est-1"/>
    <x v="1"/>
  </r>
  <r>
    <s v="Pr2051"/>
    <x v="107"/>
    <d v="2025-02-16T00:00:00"/>
    <s v="Lb1174"/>
    <s v="Jorge Ibáñez"/>
    <x v="3"/>
    <x v="2"/>
    <x v="7"/>
    <s v="Orgullo Y Prejuicio"/>
    <s v="Jane Austen"/>
    <s v="Novela"/>
    <n v="2009"/>
    <s v="Est-1"/>
    <x v="1"/>
  </r>
  <r>
    <s v="Pr2187"/>
    <x v="108"/>
    <d v="2025-03-16T00:00:00"/>
    <s v="Lb1011"/>
    <s v="Felipe Ramírez"/>
    <x v="3"/>
    <x v="2"/>
    <x v="7"/>
    <s v="La Iliada"/>
    <s v="Homero"/>
    <s v="Clásicos"/>
    <n v="1947"/>
    <s v="A-1"/>
    <x v="0"/>
  </r>
  <r>
    <s v="Pr2214"/>
    <x v="109"/>
    <d v="2025-05-21T00:00:00"/>
    <s v="Lb1134"/>
    <s v="Sofía Torres"/>
    <x v="2"/>
    <x v="1"/>
    <x v="0"/>
    <s v="La Odisea"/>
    <s v="Homero"/>
    <s v="Clásicos"/>
    <n v="1978"/>
    <s v="A-1"/>
    <x v="1"/>
  </r>
  <r>
    <s v="Pr2261"/>
    <x v="110"/>
    <d v="2025-11-07T00:00:00"/>
    <s v="Lb1185"/>
    <s v="Felipe Ramírez"/>
    <x v="1"/>
    <x v="0"/>
    <x v="3"/>
    <s v="Breve Historia Del Tiempo"/>
    <s v="Stephen Hawking"/>
    <s v="Divulgación Científica / Cosmología"/>
    <n v="1945"/>
    <s v="C-3"/>
    <x v="1"/>
  </r>
  <r>
    <s v="Pr2383"/>
    <x v="111"/>
    <d v="2025-08-29T00:00:00"/>
    <s v="Lb1065"/>
    <s v=" Camila Álvarez "/>
    <x v="2"/>
    <x v="1"/>
    <x v="1"/>
    <s v="Ficciones"/>
    <s v="Jorge Luis Borges"/>
    <s v="Cuentos / Fantasía Metafísica"/>
    <n v="1953"/>
    <s v="A-1"/>
    <x v="0"/>
  </r>
  <r>
    <s v="Pr2481"/>
    <x v="80"/>
    <d v="2025-03-02T00:00:00"/>
    <s v="Lb905"/>
    <s v="Andrés Díaz"/>
    <x v="1"/>
    <x v="0"/>
    <x v="8"/>
    <s v="Libro No Existe"/>
    <s v="Libro No Existe"/>
    <s v="Libro No Existe"/>
    <s v="Libro No Existe"/>
    <s v="No Existe"/>
    <x v="2"/>
  </r>
  <r>
    <s v="Pr2578"/>
    <x v="112"/>
    <d v="2025-03-20T00:00:00"/>
    <s v="Lb1060"/>
    <s v="Juan Pérez"/>
    <x v="3"/>
    <x v="0"/>
    <x v="3"/>
    <s v="La Odisea"/>
    <s v="Homero"/>
    <s v="Clásicos"/>
    <n v="1893"/>
    <s v="Est-1"/>
    <x v="0"/>
  </r>
  <r>
    <s v="Pr2033"/>
    <x v="76"/>
    <d v="2025-04-11T00:00:00"/>
    <s v="Lb1122"/>
    <s v="Sofía Torres"/>
    <x v="3"/>
    <x v="1"/>
    <x v="1"/>
    <s v="El Aleph"/>
    <s v="Jorge Luis Borges"/>
    <s v="Cuentos / Fantasía Metafísica"/>
    <n v="1994"/>
    <s v="Est-1"/>
    <x v="1"/>
  </r>
  <r>
    <s v="Pr2129"/>
    <x v="68"/>
    <d v="2025-04-01T00:00:00"/>
    <s v="Lb1225"/>
    <s v="Andrés Gómez"/>
    <x v="1"/>
    <x v="2"/>
    <x v="7"/>
    <s v="Libro No Existe"/>
    <s v="Libro No Existe"/>
    <s v="Libro No Existe"/>
    <s v="Libro No Existe"/>
    <s v="No Existe"/>
    <x v="2"/>
  </r>
  <r>
    <s v="Pr2130"/>
    <x v="99"/>
    <d v="2024-12-27T00:00:00"/>
    <s v="Lb1087"/>
    <s v="Pablo López"/>
    <x v="2"/>
    <x v="2"/>
    <x v="7"/>
    <s v="El Amor En Los Tiempos Del Cólera"/>
    <s v="Gabriel García Márquez"/>
    <s v="Novela"/>
    <n v="2022"/>
    <s v="A-1"/>
    <x v="0"/>
  </r>
  <r>
    <s v="Pr2193"/>
    <x v="113"/>
    <d v="2025-04-05T00:00:00"/>
    <s v="Lb1080"/>
    <s v="Carolina Rojas"/>
    <x v="1"/>
    <x v="1"/>
    <x v="6"/>
    <s v="Pedro Páramo"/>
    <s v="Juan Rulfo"/>
    <s v="Novela"/>
    <n v="1924"/>
    <s v="Est-1"/>
    <x v="1"/>
  </r>
  <r>
    <s v="Pr2253"/>
    <x v="114"/>
    <d v="2025-07-31T00:00:00"/>
    <s v="Lb1038"/>
    <s v="Camila Álvarez"/>
    <x v="4"/>
    <x v="0"/>
    <x v="8"/>
    <s v="La Iliada"/>
    <s v="Homero"/>
    <s v="Clásicos"/>
    <n v="1940"/>
    <s v="B-2"/>
    <x v="1"/>
  </r>
  <r>
    <s v="Pr2273"/>
    <x v="113"/>
    <d v="2025-04-07T00:00:00"/>
    <s v="Lb1096"/>
    <s v="Andrés Díaz"/>
    <x v="4"/>
    <x v="1"/>
    <x v="1"/>
    <s v="Orgullo Y Prejuicio"/>
    <s v="Jane Austen"/>
    <s v="Novela"/>
    <n v="2013"/>
    <s v="Est-1"/>
    <x v="0"/>
  </r>
  <r>
    <s v="Pr2312"/>
    <x v="115"/>
    <d v="2025-02-23T00:00:00"/>
    <s v="Lb1077"/>
    <s v="Juan Pérez"/>
    <x v="2"/>
    <x v="1"/>
    <x v="0"/>
    <s v="La Ciudad Y Los Perros"/>
    <s v="Mario Vargas Llosa"/>
    <s v="Novela"/>
    <n v="1947"/>
    <s v="Est-1"/>
    <x v="0"/>
  </r>
  <r>
    <s v="Pr2315"/>
    <x v="0"/>
    <d v="2025-12-14T00:00:00"/>
    <s v="Lb1035"/>
    <s v="Luisa Fernández"/>
    <x v="4"/>
    <x v="1"/>
    <x v="1"/>
    <s v="Los Detectives Salvajes"/>
    <s v="Roberto Bolaño"/>
    <s v="Novela"/>
    <n v="1956"/>
    <s v="B-2"/>
    <x v="0"/>
  </r>
  <r>
    <s v="Pr2019"/>
    <x v="116"/>
    <d v="2025-11-29T00:00:00"/>
    <s v="Lb1007"/>
    <s v="Andrés Díaz"/>
    <x v="3"/>
    <x v="1"/>
    <x v="1"/>
    <s v="Ficciones"/>
    <s v="Jorge Luis Borges"/>
    <s v="Cuentos / Fantasía Metafísica"/>
    <n v="1938"/>
    <s v="A-1"/>
    <x v="1"/>
  </r>
  <r>
    <s v="Pr2141"/>
    <x v="15"/>
    <d v="2025-10-15T00:00:00"/>
    <s v="Lb1175"/>
    <s v="Andrés Díaz"/>
    <x v="2"/>
    <x v="0"/>
    <x v="8"/>
    <s v="La Casa De Los Espíritus"/>
    <s v="Isabel Allende"/>
    <s v="Novela"/>
    <n v="1894"/>
    <s v="A-1"/>
    <x v="1"/>
  </r>
  <r>
    <s v="Pr2330"/>
    <x v="104"/>
    <d v="2025-03-17T00:00:00"/>
    <s v="Lb1016"/>
    <s v="Noelia Martín"/>
    <x v="1"/>
    <x v="0"/>
    <x v="3"/>
    <s v="La Tregua"/>
    <s v="Mario Benedetti"/>
    <s v="Novela"/>
    <n v="2004"/>
    <s v="Est-1"/>
    <x v="1"/>
  </r>
  <r>
    <s v="Pr2458"/>
    <x v="117"/>
    <d v="2025-05-27T00:00:00"/>
    <s v="Lb1159"/>
    <s v="Andrés Gómez"/>
    <x v="4"/>
    <x v="0"/>
    <x v="3"/>
    <s v="El Principito"/>
    <s v="Antoine De Saint-Exupéry"/>
    <s v="Literatura Infantil / Fábula Filosófica"/>
    <n v="2000"/>
    <s v="A-1"/>
    <x v="1"/>
  </r>
  <r>
    <s v="Pr2563"/>
    <x v="2"/>
    <d v="2025-12-15T00:00:00"/>
    <s v="Lb1167"/>
    <s v="Pedro Sánchez"/>
    <x v="4"/>
    <x v="2"/>
    <x v="7"/>
    <s v="Don Quijote De La Mancha"/>
    <s v="Miguel De Cervantes"/>
    <s v="Novela"/>
    <n v="1889"/>
    <s v="B-2"/>
    <x v="0"/>
  </r>
  <r>
    <s v="Pr2595"/>
    <x v="118"/>
    <d v="2025-10-12T00:00:00"/>
    <s v="Lb1135"/>
    <s v="Pedro Sánchez"/>
    <x v="1"/>
    <x v="2"/>
    <x v="7"/>
    <s v="Los Detectives Salvajes"/>
    <s v="Roberto Bolaño"/>
    <s v="Novela"/>
    <n v="1926"/>
    <s v="B-2"/>
    <x v="0"/>
  </r>
  <r>
    <s v="Pr2454"/>
    <x v="119"/>
    <d v="2025-06-30T00:00:00"/>
    <s v="Lb1188"/>
    <s v="Sofía Torres"/>
    <x v="0"/>
    <x v="1"/>
    <x v="1"/>
    <s v="El Túnel"/>
    <s v="Ernesto Sabato"/>
    <s v="Novela"/>
    <n v="1972"/>
    <s v="Est-1"/>
    <x v="1"/>
  </r>
  <r>
    <s v="Pr2472"/>
    <x v="120"/>
    <d v="2025-03-30T00:00:00"/>
    <s v="Lb1159"/>
    <s v="Andrés Díaz"/>
    <x v="2"/>
    <x v="0"/>
    <x v="1"/>
    <s v="El Principito"/>
    <s v="Antoine De Saint-Exupéry"/>
    <s v="Literatura Infantil / Fábula Filosófica"/>
    <n v="2000"/>
    <s v="A-1"/>
    <x v="1"/>
  </r>
  <r>
    <s v="Pr2107"/>
    <x v="121"/>
    <d v="2025-08-29T00:00:00"/>
    <s v="Lb1077"/>
    <s v="Ana Gómez"/>
    <x v="4"/>
    <x v="0"/>
    <x v="3"/>
    <s v="La Ciudad Y Los Perros"/>
    <s v="Mario Vargas Llosa"/>
    <s v="Novela"/>
    <n v="1947"/>
    <s v="Est-1"/>
    <x v="0"/>
  </r>
  <r>
    <s v="Pr2364"/>
    <x v="24"/>
    <d v="2025-10-25T00:00:00"/>
    <s v="Lb1043"/>
    <s v="Andrés Díaz"/>
    <x v="2"/>
    <x v="2"/>
    <x v="7"/>
    <s v="Crónica De Una Muerte Anunciada"/>
    <s v="Gabriel García Márquez"/>
    <s v="Novela"/>
    <n v="1934"/>
    <s v="C-3"/>
    <x v="1"/>
  </r>
  <r>
    <s v="Pr2597"/>
    <x v="86"/>
    <s v="No Asignado"/>
    <s v="Lb1082"/>
    <s v="Andrés Díaz"/>
    <x v="3"/>
    <x v="1"/>
    <x v="1"/>
    <s v="Los Detectives Salvajes"/>
    <s v="Roberto Bolaño"/>
    <s v="Novela"/>
    <n v="1978"/>
    <s v="Est-1"/>
    <x v="1"/>
  </r>
  <r>
    <s v="Pr2289"/>
    <x v="122"/>
    <d v="2025-12-17T00:00:00"/>
    <s v="Lb1017"/>
    <s v="Ana Gómez"/>
    <x v="1"/>
    <x v="1"/>
    <x v="1"/>
    <s v="Crónica De Una Muerte Anunciada"/>
    <s v="Gabriel García Márquez"/>
    <s v="Novela"/>
    <n v="1999"/>
    <s v="A-1"/>
    <x v="0"/>
  </r>
  <r>
    <s v="Pr2303"/>
    <x v="123"/>
    <d v="2025-01-14T00:00:00"/>
    <s v="Lb1049"/>
    <s v="Sofía Torres"/>
    <x v="2"/>
    <x v="0"/>
    <x v="3"/>
    <s v="El Código Da Vinci"/>
    <s v="Dan Brown"/>
    <s v="Misterio"/>
    <n v="1935"/>
    <s v="B-2"/>
    <x v="1"/>
  </r>
  <r>
    <s v="Pr2367"/>
    <x v="35"/>
    <d v="2025-09-18T00:00:00"/>
    <s v="Lb1025"/>
    <s v="Pablo López"/>
    <x v="2"/>
    <x v="1"/>
    <x v="5"/>
    <s v="Los Detectives Salvajes"/>
    <s v="Roberto Bolaño"/>
    <s v="Novela"/>
    <n v="2015"/>
    <s v="Est-1"/>
    <x v="0"/>
  </r>
  <r>
    <s v="Pr2375"/>
    <x v="119"/>
    <d v="2025-06-28T00:00:00"/>
    <s v="Lb1011"/>
    <s v="Miguel Ángel"/>
    <x v="3"/>
    <x v="1"/>
    <x v="6"/>
    <s v="La Iliada"/>
    <s v="Homero"/>
    <s v="Clásicos"/>
    <n v="1947"/>
    <s v="A-1"/>
    <x v="0"/>
  </r>
  <r>
    <s v="Pr2438"/>
    <x v="124"/>
    <d v="2025-08-28T00:00:00"/>
    <s v="Lb1018"/>
    <s v="Diego Gómez"/>
    <x v="1"/>
    <x v="0"/>
    <x v="3"/>
    <s v="Don Quijote De La Mancha"/>
    <s v="Miguel De Cervantes"/>
    <s v="Novela"/>
    <n v="1926"/>
    <s v="Est-1"/>
    <x v="0"/>
  </r>
  <r>
    <s v="Pr2473"/>
    <x v="125"/>
    <d v="2025-01-27T00:00:00"/>
    <s v="Lb1107"/>
    <s v="Luisa Fernández"/>
    <x v="4"/>
    <x v="0"/>
    <x v="3"/>
    <s v="Orgullo Y Prejuicio"/>
    <s v="Jane Austen"/>
    <s v="Novela"/>
    <n v="1934"/>
    <s v="A-1"/>
    <x v="0"/>
  </r>
  <r>
    <s v="Pr2036"/>
    <x v="126"/>
    <d v="2025-02-04T00:00:00"/>
    <s v="Lb1178"/>
    <s v="Miguel Ángel"/>
    <x v="2"/>
    <x v="2"/>
    <x v="7"/>
    <s v="Los Detectives Salvajes"/>
    <s v="Roberto Bolaño"/>
    <s v="Novela"/>
    <n v="1914"/>
    <s v="C-3"/>
    <x v="1"/>
  </r>
  <r>
    <s v="Pr2145"/>
    <x v="127"/>
    <d v="2025-04-07T00:00:00"/>
    <s v="Lb1069"/>
    <s v="Felipe Ramírez"/>
    <x v="0"/>
    <x v="0"/>
    <x v="3"/>
    <s v="Pedro Páramo"/>
    <s v="Juan Rulfo"/>
    <s v="Novela"/>
    <n v="1983"/>
    <s v="Est-1"/>
    <x v="0"/>
  </r>
  <r>
    <s v="Pr2147"/>
    <x v="35"/>
    <d v="2025-09-13T00:00:00"/>
    <s v="Lb1307"/>
    <s v="Valentina Mora"/>
    <x v="0"/>
    <x v="1"/>
    <x v="1"/>
    <s v="Libro No Existe"/>
    <s v="Libro No Existe"/>
    <s v="Libro No Existe"/>
    <s v="Libro No Existe"/>
    <s v="No Existe"/>
    <x v="2"/>
  </r>
  <r>
    <s v="Pr2194"/>
    <x v="128"/>
    <d v="2025-11-04T00:00:00"/>
    <s v="Lb1017"/>
    <s v="Juan Pérez"/>
    <x v="4"/>
    <x v="1"/>
    <x v="1"/>
    <s v="Crónica De Una Muerte Anunciada"/>
    <s v="Gabriel García Márquez"/>
    <s v="Novela"/>
    <n v="1999"/>
    <s v="A-1"/>
    <x v="0"/>
  </r>
  <r>
    <s v="Pr2221"/>
    <x v="129"/>
    <d v="2025-04-02T00:00:00"/>
    <s v="Lb1042"/>
    <s v="María López"/>
    <x v="2"/>
    <x v="1"/>
    <x v="5"/>
    <s v="El Aleph"/>
    <s v="Jorge Luis Borges"/>
    <s v="Cuentos / Fantasía Metafísica"/>
    <n v="1941"/>
    <s v="Est-1"/>
    <x v="0"/>
  </r>
  <r>
    <s v="Pr2370"/>
    <x v="130"/>
    <d v="2025-09-03T00:00:00"/>
    <s v="Lb1238"/>
    <s v="Carolina Rojas"/>
    <x v="3"/>
    <x v="0"/>
    <x v="3"/>
    <s v="Libro No Existe"/>
    <s v="Libro No Existe"/>
    <s v="Libro No Existe"/>
    <s v="Libro No Existe"/>
    <s v="No Existe"/>
    <x v="2"/>
  </r>
  <r>
    <s v="Pr2512"/>
    <x v="56"/>
    <d v="2025-06-09T00:00:00"/>
    <s v="Lb1086"/>
    <s v="Felipe Ramírez"/>
    <x v="3"/>
    <x v="1"/>
    <x v="6"/>
    <s v="Orgullo Y Prejuicio"/>
    <s v="Jane Austen"/>
    <s v="Novela"/>
    <n v="1955"/>
    <s v="C-3"/>
    <x v="1"/>
  </r>
  <r>
    <s v="Pr2555"/>
    <x v="112"/>
    <d v="2025-03-26T00:00:00"/>
    <s v="Lb1096"/>
    <s v="Noelia Martín"/>
    <x v="2"/>
    <x v="2"/>
    <x v="7"/>
    <s v="Orgullo Y Prejuicio"/>
    <s v="Jane Austen"/>
    <s v="Novela"/>
    <n v="2013"/>
    <s v="Est-1"/>
    <x v="0"/>
  </r>
  <r>
    <s v="Pr2569"/>
    <x v="131"/>
    <d v="2025-06-11T00:00:00"/>
    <s v="Lb1170"/>
    <s v="Andrés Gómez"/>
    <x v="4"/>
    <x v="2"/>
    <x v="7"/>
    <s v="El Código Da Vinci"/>
    <s v="Dan Brown"/>
    <s v="Misterio"/>
    <n v="1943"/>
    <s v="B-2"/>
    <x v="1"/>
  </r>
  <r>
    <s v="Pr2103"/>
    <x v="103"/>
    <d v="2025-05-30T00:00:00"/>
    <s v="Lb1130"/>
    <s v="Andrés Gómez"/>
    <x v="1"/>
    <x v="0"/>
    <x v="8"/>
    <s v="El Amor En Los Tiempos Del Cólera"/>
    <s v="Gabriel García Márquez"/>
    <s v="Novela"/>
    <n v="1979"/>
    <s v="B-2"/>
    <x v="0"/>
  </r>
  <r>
    <s v="Pr2228"/>
    <x v="132"/>
    <d v="2025-08-17T00:00:00"/>
    <s v="Lb1101"/>
    <s v="Ana Gómez"/>
    <x v="3"/>
    <x v="0"/>
    <x v="3"/>
    <s v="La Iliada"/>
    <s v="Homero"/>
    <s v="Clásicos"/>
    <n v="1893"/>
    <s v="Est-1"/>
    <x v="0"/>
  </r>
  <r>
    <s v="Pr2275"/>
    <x v="133"/>
    <d v="2025-09-25T00:00:00"/>
    <s v="Lb1167"/>
    <s v=" Carlos Ruiz "/>
    <x v="1"/>
    <x v="2"/>
    <x v="7"/>
    <s v="Don Quijote De La Mancha"/>
    <s v="Miguel De Cervantes"/>
    <s v="Novela"/>
    <n v="1889"/>
    <s v="B-2"/>
    <x v="0"/>
  </r>
  <r>
    <s v="Pr2281"/>
    <x v="134"/>
    <d v="2025-08-16T00:00:00"/>
    <s v="Lb1117"/>
    <s v="Juan Pérez"/>
    <x v="1"/>
    <x v="2"/>
    <x v="7"/>
    <s v="1984"/>
    <s v="George Orwell"/>
    <s v="Ciencia Ficción"/>
    <n v="1893"/>
    <s v="C-3"/>
    <x v="0"/>
  </r>
  <r>
    <s v="Pr2447"/>
    <x v="135"/>
    <s v="No Asignado"/>
    <s v="Lb1054"/>
    <s v="Diego Gómez"/>
    <x v="4"/>
    <x v="1"/>
    <x v="1"/>
    <s v="La Casa De Los Espíritus"/>
    <s v="Isabel Allende"/>
    <s v="Novela"/>
    <n v="1977"/>
    <s v="A-1"/>
    <x v="0"/>
  </r>
  <r>
    <s v="Pr2492"/>
    <x v="136"/>
    <d v="2025-08-16T00:00:00"/>
    <s v="Lb1099"/>
    <s v="Camila Álvarez"/>
    <x v="4"/>
    <x v="2"/>
    <x v="7"/>
    <s v="Matadero Cinco"/>
    <s v="Kurt Vonnegut"/>
    <s v="Ciencia Ficción"/>
    <n v="1989"/>
    <s v="B-2"/>
    <x v="1"/>
  </r>
  <r>
    <s v="Pr2528"/>
    <x v="137"/>
    <d v="2025-05-09T00:00:00"/>
    <s v="Lb1139"/>
    <s v="Diego Gómez"/>
    <x v="0"/>
    <x v="0"/>
    <x v="3"/>
    <s v="La Casa De Los Espíritus"/>
    <s v="Isabel Allende"/>
    <s v="Novela"/>
    <n v="2023"/>
    <s v="B-2"/>
    <x v="1"/>
  </r>
  <r>
    <s v="Pr2587"/>
    <x v="138"/>
    <d v="2025-02-19T00:00:00"/>
    <s v="Lb1138"/>
    <s v="Jorge Ibáñez"/>
    <x v="2"/>
    <x v="0"/>
    <x v="8"/>
    <s v="Los Detectives Salvajes"/>
    <s v="Roberto Bolaño"/>
    <s v="Novela"/>
    <n v="1899"/>
    <s v="A-1"/>
    <x v="1"/>
  </r>
  <r>
    <s v="Pr2095"/>
    <x v="139"/>
    <d v="2025-08-18T00:00:00"/>
    <s v="Lb1156"/>
    <s v=" Andrés Díaz "/>
    <x v="3"/>
    <x v="1"/>
    <x v="1"/>
    <s v="La Casa De Los Espíritus"/>
    <s v="Isabel Allende"/>
    <s v="Novela"/>
    <n v="2009"/>
    <s v="Est-1"/>
    <x v="0"/>
  </r>
  <r>
    <s v="Pr2296"/>
    <x v="140"/>
    <d v="2025-07-02T00:00:00"/>
    <s v="Lb1024"/>
    <s v="Pedro Sánchez"/>
    <x v="4"/>
    <x v="2"/>
    <x v="7"/>
    <s v="1984"/>
    <s v="George Orwell"/>
    <s v="Ciencia Ficción"/>
    <n v="1898"/>
    <s v="B-2"/>
    <x v="1"/>
  </r>
  <r>
    <s v="Pr2417"/>
    <x v="141"/>
    <d v="2025-11-04T00:00:00"/>
    <s v="Lb1125"/>
    <s v="Jorge Ibáñez"/>
    <x v="2"/>
    <x v="0"/>
    <x v="8"/>
    <s v="Ficciones"/>
    <s v="Jorge Luis Borges"/>
    <s v="Cuentos / Fantasía Metafísica"/>
    <n v="1969"/>
    <s v="No Asignado"/>
    <x v="0"/>
  </r>
  <r>
    <s v="Pr2423"/>
    <x v="142"/>
    <d v="2025-11-14T00:00:00"/>
    <s v="Lb1157"/>
    <s v="Noelia Martín"/>
    <x v="1"/>
    <x v="1"/>
    <x v="6"/>
    <s v="Rebelión En La Granja"/>
    <s v="George Orwell"/>
    <s v="Ciencia Ficción"/>
    <n v="1886"/>
    <s v="Est-1"/>
    <x v="1"/>
  </r>
  <r>
    <s v="Pr2435"/>
    <x v="143"/>
    <d v="2025-10-26T00:00:00"/>
    <s v="Lb1123"/>
    <s v="Camila Álvarez"/>
    <x v="1"/>
    <x v="1"/>
    <x v="5"/>
    <s v="El Código Da Vinci"/>
    <s v="Dan Brown"/>
    <s v="Misterio"/>
    <n v="2008"/>
    <s v="C-3"/>
    <x v="1"/>
  </r>
  <r>
    <s v="Pr2465"/>
    <x v="144"/>
    <d v="2025-04-22T00:00:00"/>
    <s v="Lb1133"/>
    <s v="Juan Pérez"/>
    <x v="1"/>
    <x v="2"/>
    <x v="7"/>
    <s v="Don Quijote De La Mancha"/>
    <s v="Miguel De Cervantes"/>
    <s v="Novela"/>
    <n v="1944"/>
    <s v="B-2"/>
    <x v="0"/>
  </r>
  <r>
    <s v="Pr2483"/>
    <x v="145"/>
    <d v="2025-04-21T00:00:00"/>
    <s v="Lb1085"/>
    <s v="Laura Ruiz"/>
    <x v="3"/>
    <x v="1"/>
    <x v="1"/>
    <s v="Pedro Páramo"/>
    <s v="Juan Rulfo"/>
    <s v="Novela"/>
    <n v="1986"/>
    <s v="B-2"/>
    <x v="0"/>
  </r>
  <r>
    <s v="Pr2539"/>
    <x v="0"/>
    <d v="2025-12-10T00:00:00"/>
    <s v="Lb1068"/>
    <s v="María López"/>
    <x v="0"/>
    <x v="1"/>
    <x v="0"/>
    <s v="La Sombra Del Viento"/>
    <s v="Carlos Ruiz Zafón"/>
    <s v="Misterio"/>
    <n v="1906"/>
    <s v="A-1"/>
    <x v="1"/>
  </r>
  <r>
    <s v="Pr2570"/>
    <x v="119"/>
    <d v="2025-06-11T00:00:00"/>
    <s v="Lb1133"/>
    <s v="Laura Ruiz"/>
    <x v="3"/>
    <x v="2"/>
    <x v="7"/>
    <s v="Don Quijote De La Mancha"/>
    <s v="Miguel De Cervantes"/>
    <s v="Novela"/>
    <n v="1944"/>
    <s v="B-2"/>
    <x v="0"/>
  </r>
  <r>
    <s v="Pr2599"/>
    <x v="146"/>
    <d v="2025-01-09T00:00:00"/>
    <s v="Lb1011"/>
    <s v="Miguel Ángel"/>
    <x v="4"/>
    <x v="0"/>
    <x v="8"/>
    <s v="La Iliada"/>
    <s v="Homero"/>
    <s v="Clásicos"/>
    <n v="1947"/>
    <s v="A-1"/>
    <x v="0"/>
  </r>
  <r>
    <s v="Pr2061"/>
    <x v="147"/>
    <d v="2025-11-13T00:00:00"/>
    <s v="Lb1130"/>
    <s v="Diego Gómez"/>
    <x v="3"/>
    <x v="1"/>
    <x v="0"/>
    <s v="El Amor En Los Tiempos Del Cólera"/>
    <s v="Gabriel García Márquez"/>
    <s v="Novela"/>
    <n v="1979"/>
    <s v="B-2"/>
    <x v="0"/>
  </r>
  <r>
    <s v="Pr2112"/>
    <x v="12"/>
    <d v="2025-11-03T00:00:00"/>
    <s v="Lb1056"/>
    <s v="Diego Gómez"/>
    <x v="1"/>
    <x v="2"/>
    <x v="7"/>
    <s v="Crónica De Una Muerte Anunciada"/>
    <s v="Gabriel García Márquez"/>
    <s v="Novela"/>
    <n v="1884"/>
    <s v="B-2"/>
    <x v="1"/>
  </r>
  <r>
    <s v="Pr2125"/>
    <x v="148"/>
    <d v="2025-03-04T00:00:00"/>
    <s v="Lb1009"/>
    <s v="Felipe Ramírez"/>
    <x v="3"/>
    <x v="0"/>
    <x v="3"/>
    <s v="El Aleph"/>
    <s v="Jorge Luis Borges"/>
    <s v="Cuentos / Fantasía Metafísica"/>
    <n v="1903"/>
    <s v="A-1"/>
    <x v="1"/>
  </r>
  <r>
    <s v="Pr2135"/>
    <x v="149"/>
    <d v="2025-08-22T00:00:00"/>
    <s v="Lb929"/>
    <s v="Laura Ruiz"/>
    <x v="3"/>
    <x v="1"/>
    <x v="4"/>
    <s v="Libro No Existe"/>
    <s v="Libro No Existe"/>
    <s v="Libro No Existe"/>
    <s v="Libro No Existe"/>
    <s v="No Existe"/>
    <x v="2"/>
  </r>
  <r>
    <s v="Pr2165"/>
    <x v="150"/>
    <d v="2025-11-01T00:00:00"/>
    <s v="Lb1197"/>
    <s v="Andrés Gómez"/>
    <x v="3"/>
    <x v="2"/>
    <x v="7"/>
    <s v="Orgullo Y Prejuicio"/>
    <s v="Jane Austen"/>
    <s v="Novela"/>
    <n v="1951"/>
    <s v="Est-1"/>
    <x v="1"/>
  </r>
  <r>
    <s v="Pr2208"/>
    <x v="151"/>
    <d v="2025-01-12T00:00:00"/>
    <s v="Lb1055"/>
    <s v="Valentina Mora"/>
    <x v="3"/>
    <x v="0"/>
    <x v="3"/>
    <s v="La Sombra Del Viento"/>
    <s v="Carlos Ruiz Zafón"/>
    <s v="Misterio"/>
    <n v="2022"/>
    <s v="Est-1"/>
    <x v="0"/>
  </r>
  <r>
    <s v="Pr2245"/>
    <x v="91"/>
    <d v="2025-02-21T00:00:00"/>
    <s v="Lb1177"/>
    <s v="Pedro Sánchez"/>
    <x v="2"/>
    <x v="1"/>
    <x v="1"/>
    <s v="Matadero Cinco"/>
    <s v="Kurt Vonnegut"/>
    <s v="Ciencia Ficción"/>
    <n v="1984"/>
    <s v="A-1"/>
    <x v="1"/>
  </r>
  <r>
    <s v="Pr2320"/>
    <x v="143"/>
    <d v="2025-10-21T00:00:00"/>
    <s v="Lb1304"/>
    <s v="Juan Pérez"/>
    <x v="4"/>
    <x v="1"/>
    <x v="1"/>
    <s v="Libro No Existe"/>
    <s v="Libro No Existe"/>
    <s v="Libro No Existe"/>
    <s v="Libro No Existe"/>
    <s v="No Existe"/>
    <x v="2"/>
  </r>
  <r>
    <s v="Pr2347"/>
    <x v="152"/>
    <d v="2025-06-29T00:00:00"/>
    <s v="Lb1128"/>
    <s v="Pedro Sánchez"/>
    <x v="3"/>
    <x v="0"/>
    <x v="8"/>
    <s v="La Ciudad Y Los Perros"/>
    <s v="Mario Vargas Llosa"/>
    <s v="Novela"/>
    <n v="1896"/>
    <s v="Est-1"/>
    <x v="0"/>
  </r>
  <r>
    <s v="Pr2389"/>
    <x v="153"/>
    <d v="2025-06-06T00:00:00"/>
    <s v="Lb1062"/>
    <s v="Camila Álvarez"/>
    <x v="1"/>
    <x v="1"/>
    <x v="1"/>
    <s v="Sobre La Felicidad"/>
    <s v="Lucio Anneo Séneca"/>
    <s v="Filosofía Y Pensamiento"/>
    <n v="1895"/>
    <s v="A-1"/>
    <x v="1"/>
  </r>
  <r>
    <s v="Pr2398"/>
    <x v="154"/>
    <d v="2025-01-24T00:00:00"/>
    <s v="Lb1020"/>
    <s v="Luisa Fernández"/>
    <x v="2"/>
    <x v="2"/>
    <x v="7"/>
    <s v="Rebelión En La Granja"/>
    <s v="George Orwell"/>
    <s v="Ciencia Ficción"/>
    <n v="1996"/>
    <s v="C-3"/>
    <x v="1"/>
  </r>
  <r>
    <s v="Pr2469"/>
    <x v="25"/>
    <d v="2025-09-27T00:00:00"/>
    <s v="Lb1093"/>
    <s v="Andrés Díaz"/>
    <x v="0"/>
    <x v="0"/>
    <x v="3"/>
    <s v="Don Quijote De La Mancha"/>
    <s v="Miguel De Cervantes"/>
    <s v="Novela"/>
    <n v="1933"/>
    <s v="B-2"/>
    <x v="1"/>
  </r>
  <r>
    <s v="Pr2475"/>
    <x v="130"/>
    <d v="2025-09-30T00:00:00"/>
    <s v="Lb1096"/>
    <s v="María López"/>
    <x v="2"/>
    <x v="1"/>
    <x v="5"/>
    <s v="Orgullo Y Prejuicio"/>
    <s v="Jane Austen"/>
    <s v="Novela"/>
    <n v="2013"/>
    <s v="Est-1"/>
    <x v="0"/>
  </r>
  <r>
    <s v="Pr2063"/>
    <x v="155"/>
    <d v="2025-05-24T00:00:00"/>
    <s v="Lb1112"/>
    <s v="Jorge Ibáñez"/>
    <x v="1"/>
    <x v="0"/>
    <x v="3"/>
    <s v="Sobre La Felicidad"/>
    <s v="Lucio Anneo Séneca"/>
    <s v="Filosofía Y Pensamiento"/>
    <n v="1919"/>
    <s v="A-1"/>
    <x v="1"/>
  </r>
  <r>
    <s v="Pr2254"/>
    <x v="156"/>
    <d v="2025-02-28T00:00:00"/>
    <s v="Lb1095"/>
    <s v="Felipe Ramírez"/>
    <x v="4"/>
    <x v="0"/>
    <x v="8"/>
    <s v="Breve Historia Del Tiempo"/>
    <s v="Stephen Hawking"/>
    <s v="Divulgación Científica / Cosmología"/>
    <n v="1909"/>
    <s v="A-1"/>
    <x v="0"/>
  </r>
  <r>
    <s v="Pr2263"/>
    <x v="69"/>
    <d v="2025-04-08T00:00:00"/>
    <s v="Lb1196"/>
    <s v="Jorge Ibáñez"/>
    <x v="4"/>
    <x v="0"/>
    <x v="3"/>
    <s v="El Amor En Los Tiempos Del Cólera"/>
    <s v="Gabriel García Márquez"/>
    <s v="Novela"/>
    <n v="1991"/>
    <s v="C-3"/>
    <x v="0"/>
  </r>
  <r>
    <s v="Pr2342"/>
    <x v="83"/>
    <d v="2025-03-01T00:00:00"/>
    <s v="Lb1071"/>
    <s v="Felipe Ramírez"/>
    <x v="0"/>
    <x v="2"/>
    <x v="7"/>
    <s v="Pedro Páramo"/>
    <s v="Juan Rulfo"/>
    <s v="Novela"/>
    <n v="1920"/>
    <s v="No Asignado"/>
    <x v="1"/>
  </r>
  <r>
    <s v="Pr2500"/>
    <x v="157"/>
    <d v="2025-02-26T00:00:00"/>
    <s v="Lb1192"/>
    <s v="Pedro Sánchez"/>
    <x v="0"/>
    <x v="0"/>
    <x v="0"/>
    <s v="El Código Da Vinci"/>
    <s v="Dan Brown"/>
    <s v="Misterio"/>
    <n v="1882"/>
    <s v="Est-1"/>
    <x v="0"/>
  </r>
  <r>
    <s v="Pr2541"/>
    <x v="55"/>
    <d v="2025-05-26T00:00:00"/>
    <s v="Lb1041"/>
    <s v="Jorge Ibáñez"/>
    <x v="3"/>
    <x v="2"/>
    <x v="7"/>
    <s v="La Ciudad Y Los Perros"/>
    <s v="Mario Vargas Llosa"/>
    <s v="Novela"/>
    <n v="2009"/>
    <s v="Est-1"/>
    <x v="1"/>
  </r>
  <r>
    <s v="Pr2027"/>
    <x v="158"/>
    <d v="2025-04-07T00:00:00"/>
    <s v="Lb1004"/>
    <s v="Felipe Ramírez"/>
    <x v="3"/>
    <x v="1"/>
    <x v="5"/>
    <s v="Macbeth"/>
    <s v="William Shakespeare"/>
    <s v="Clásicos"/>
    <n v="1955"/>
    <s v="Est-1"/>
    <x v="0"/>
  </r>
  <r>
    <s v="Pr2215"/>
    <x v="7"/>
    <d v="2025-11-17T00:00:00"/>
    <s v="Lb1024"/>
    <s v="Felipe Ramírez"/>
    <x v="0"/>
    <x v="2"/>
    <x v="7"/>
    <s v="1984"/>
    <s v="George Orwell"/>
    <s v="Ciencia Ficción"/>
    <n v="1898"/>
    <s v="B-2"/>
    <x v="1"/>
  </r>
  <r>
    <s v="Pr2439"/>
    <x v="103"/>
    <d v="2025-06-16T00:00:00"/>
    <s v="Lb1200"/>
    <s v="Noelia Martín"/>
    <x v="4"/>
    <x v="1"/>
    <x v="0"/>
    <s v="La Casa De Los Espíritus"/>
    <s v="Isabel Allende"/>
    <s v="Novela"/>
    <n v="1995"/>
    <s v="B-2"/>
    <x v="1"/>
  </r>
  <r>
    <s v="Pr2498"/>
    <x v="159"/>
    <d v="2025-09-21T00:00:00"/>
    <s v="Lb1036"/>
    <s v="Laura Ruiz"/>
    <x v="4"/>
    <x v="2"/>
    <x v="7"/>
    <s v="El Túnel"/>
    <s v="Ernesto Sabato"/>
    <s v="Novela"/>
    <n v="1924"/>
    <s v="Est-1"/>
    <x v="0"/>
  </r>
  <r>
    <s v="Pr2576"/>
    <x v="81"/>
    <d v="2025-03-27T00:00:00"/>
    <s v="Lb1191"/>
    <s v="Diego Gómez"/>
    <x v="1"/>
    <x v="1"/>
    <x v="6"/>
    <s v="1984"/>
    <s v="George Orwell"/>
    <s v="Ciencia Ficción"/>
    <n v="2018"/>
    <s v="A-1"/>
    <x v="0"/>
  </r>
  <r>
    <s v="Pr2041"/>
    <x v="160"/>
    <d v="2025-03-04T00:00:00"/>
    <s v="Lb1049"/>
    <s v="Miguel Ángel"/>
    <x v="2"/>
    <x v="2"/>
    <x v="7"/>
    <s v="El Código Da Vinci"/>
    <s v="Dan Brown"/>
    <s v="Misterio"/>
    <n v="1935"/>
    <s v="B-2"/>
    <x v="1"/>
  </r>
  <r>
    <s v="Pr2042"/>
    <x v="161"/>
    <d v="2025-04-19T00:00:00"/>
    <s v="Lb1070"/>
    <s v="Valentina Mora"/>
    <x v="2"/>
    <x v="1"/>
    <x v="1"/>
    <s v="La Iliada"/>
    <s v="Homero"/>
    <s v="Clásicos"/>
    <n v="1993"/>
    <s v="A-1"/>
    <x v="1"/>
  </r>
  <r>
    <s v="Pr2044"/>
    <x v="23"/>
    <d v="2025-10-22T00:00:00"/>
    <s v="Lb1123"/>
    <s v="Pedro Sánchez"/>
    <x v="2"/>
    <x v="1"/>
    <x v="1"/>
    <s v="El Código Da Vinci"/>
    <s v="Dan Brown"/>
    <s v="Misterio"/>
    <n v="2008"/>
    <s v="C-3"/>
    <x v="1"/>
  </r>
  <r>
    <s v="Pr2085"/>
    <x v="131"/>
    <d v="2025-05-18T00:00:00"/>
    <s v="Lb1021"/>
    <s v="Felipe Ramírez"/>
    <x v="1"/>
    <x v="0"/>
    <x v="6"/>
    <s v="Rayuela"/>
    <s v="Julio Cortázar"/>
    <s v="Novela"/>
    <n v="1892"/>
    <s v="Est-1"/>
    <x v="1"/>
  </r>
  <r>
    <s v="Pr2121"/>
    <x v="160"/>
    <d v="2025-03-04T00:00:00"/>
    <s v="Lb1178"/>
    <s v="Carolina Rojas"/>
    <x v="0"/>
    <x v="2"/>
    <x v="7"/>
    <s v="Los Detectives Salvajes"/>
    <s v="Roberto Bolaño"/>
    <s v="Novela"/>
    <n v="1914"/>
    <s v="C-3"/>
    <x v="1"/>
  </r>
  <r>
    <s v="Pr2157"/>
    <x v="67"/>
    <d v="2025-04-16T00:00:00"/>
    <s v="Lb1025"/>
    <s v="Carolina Rojas"/>
    <x v="2"/>
    <x v="0"/>
    <x v="3"/>
    <s v="Los Detectives Salvajes"/>
    <s v="Roberto Bolaño"/>
    <s v="Novela"/>
    <n v="2015"/>
    <s v="Est-1"/>
    <x v="0"/>
  </r>
  <r>
    <s v="Pr2168"/>
    <x v="49"/>
    <d v="2025-06-30T00:00:00"/>
    <s v="Lb1135"/>
    <s v="María López"/>
    <x v="4"/>
    <x v="0"/>
    <x v="3"/>
    <s v="Los Detectives Salvajes"/>
    <s v="Roberto Bolaño"/>
    <s v="Novela"/>
    <n v="1926"/>
    <s v="B-2"/>
    <x v="0"/>
  </r>
  <r>
    <s v="Pr2207"/>
    <x v="162"/>
    <d v="2025-10-05T00:00:00"/>
    <s v="Lb1033"/>
    <s v="Diego Gómez"/>
    <x v="1"/>
    <x v="0"/>
    <x v="3"/>
    <s v="La Iliada"/>
    <s v="Homero"/>
    <s v="Clásicos"/>
    <n v="1947"/>
    <s v="A-1"/>
    <x v="0"/>
  </r>
  <r>
    <s v="Pr2210"/>
    <x v="163"/>
    <d v="2025-03-21T00:00:00"/>
    <s v="Lb1115"/>
    <s v="Valentina Mora"/>
    <x v="4"/>
    <x v="0"/>
    <x v="0"/>
    <s v="El Amor En Los Tiempos Del Cólera"/>
    <s v="Gabriel García Márquez"/>
    <s v="Novela"/>
    <n v="1890"/>
    <s v="Est-1"/>
    <x v="0"/>
  </r>
  <r>
    <s v="Pr2265"/>
    <x v="164"/>
    <d v="2025-06-08T00:00:00"/>
    <s v="Lb1173"/>
    <s v="Carlos Ruiz"/>
    <x v="3"/>
    <x v="2"/>
    <x v="7"/>
    <s v="El Aleph"/>
    <s v="Jorge Luis Borges"/>
    <s v="Cuentos / Fantasía Metafísica"/>
    <n v="1935"/>
    <s v="B-2"/>
    <x v="0"/>
  </r>
  <r>
    <s v="Pr2311"/>
    <x v="69"/>
    <d v="2025-04-22T00:00:00"/>
    <s v="Lb1092"/>
    <s v="Valentina Mora"/>
    <x v="3"/>
    <x v="1"/>
    <x v="4"/>
    <s v="La Iliada"/>
    <s v="Homero"/>
    <s v="Clásicos"/>
    <n v="1996"/>
    <s v="B-2"/>
    <x v="0"/>
  </r>
  <r>
    <s v="Pr2316"/>
    <x v="39"/>
    <d v="2025-08-17T00:00:00"/>
    <s v="Lb1389"/>
    <s v="Pablo López"/>
    <x v="3"/>
    <x v="2"/>
    <x v="7"/>
    <s v="Libro No Existe"/>
    <s v="Libro No Existe"/>
    <s v="Libro No Existe"/>
    <s v="Libro No Existe"/>
    <s v="No Existe"/>
    <x v="2"/>
  </r>
  <r>
    <s v="Pr2321"/>
    <x v="23"/>
    <d v="2025-10-07T00:00:00"/>
    <s v="Lb1184"/>
    <s v="Ana Gómez"/>
    <x v="3"/>
    <x v="0"/>
    <x v="3"/>
    <s v="Breve Historia Del Tiempo"/>
    <s v="Stephen Hawking"/>
    <s v="Divulgación Científica / Cosmología"/>
    <n v="1941"/>
    <s v="B-2"/>
    <x v="1"/>
  </r>
  <r>
    <s v="Pr2345"/>
    <x v="165"/>
    <d v="2025-11-30T00:00:00"/>
    <s v="Lb1030"/>
    <s v="Carlos Ruiz"/>
    <x v="3"/>
    <x v="1"/>
    <x v="0"/>
    <s v="Macbeth"/>
    <s v="William Shakespeare"/>
    <s v="Clásicos"/>
    <n v="1985"/>
    <s v="A-1"/>
    <x v="0"/>
  </r>
  <r>
    <s v="Pr2377"/>
    <x v="166"/>
    <d v="2025-06-18T00:00:00"/>
    <s v="Lb1142"/>
    <s v="Miguel Ángel"/>
    <x v="1"/>
    <x v="1"/>
    <x v="1"/>
    <s v="Breve Historia Del Tiempo"/>
    <s v="Stephen Hawking"/>
    <s v="Divulgación Científica / Cosmología"/>
    <n v="2021"/>
    <s v="Est-1"/>
    <x v="0"/>
  </r>
  <r>
    <s v="Pr2381"/>
    <x v="80"/>
    <s v="No Asignado"/>
    <s v="Lb992"/>
    <s v="Camila Álvarez"/>
    <x v="3"/>
    <x v="1"/>
    <x v="1"/>
    <s v="Libro No Existe"/>
    <s v="Libro No Existe"/>
    <s v="Libro No Existe"/>
    <s v="Libro No Existe"/>
    <s v="No Existe"/>
    <x v="2"/>
  </r>
  <r>
    <s v="Pr2482"/>
    <x v="167"/>
    <d v="2025-02-16T00:00:00"/>
    <s v="Lb1102"/>
    <s v="Diego Gómez"/>
    <x v="2"/>
    <x v="2"/>
    <x v="7"/>
    <s v="Hamlet"/>
    <s v="William Shakespeare"/>
    <s v="Clásicos"/>
    <n v="1909"/>
    <s v="B-2"/>
    <x v="1"/>
  </r>
  <r>
    <s v="Pr2543"/>
    <x v="4"/>
    <d v="2025-11-24T00:00:00"/>
    <s v="Lb973"/>
    <s v="Laura Ruiz"/>
    <x v="4"/>
    <x v="0"/>
    <x v="3"/>
    <s v="Libro No Existe"/>
    <s v="Libro No Existe"/>
    <s v="Libro No Existe"/>
    <s v="Libro No Existe"/>
    <s v="No Existe"/>
    <x v="2"/>
  </r>
  <r>
    <s v="Pr2077"/>
    <x v="168"/>
    <d v="2025-02-14T00:00:00"/>
    <s v="Lb1047"/>
    <s v="Pablo López"/>
    <x v="2"/>
    <x v="0"/>
    <x v="3"/>
    <s v="El Amor En Los Tiempos Del Cólera"/>
    <s v="Gabriel García Márquez"/>
    <s v="Novela"/>
    <n v="1963"/>
    <s v="C-3"/>
    <x v="1"/>
  </r>
  <r>
    <s v="Pr2080"/>
    <x v="169"/>
    <d v="2025-02-03T00:00:00"/>
    <s v="Lb1058"/>
    <s v="Camila Álvarez"/>
    <x v="3"/>
    <x v="1"/>
    <x v="1"/>
    <s v="Crónica De Una Muerte Anunciada"/>
    <s v="Gabriel García Márquez"/>
    <s v="Novela"/>
    <n v="1929"/>
    <s v="Est-1"/>
    <x v="0"/>
  </r>
  <r>
    <s v="Pr2090"/>
    <x v="170"/>
    <d v="2025-06-20T00:00:00"/>
    <s v="Lb1123"/>
    <s v="Noelia Martín"/>
    <x v="3"/>
    <x v="0"/>
    <x v="8"/>
    <s v="El Código Da Vinci"/>
    <s v="Dan Brown"/>
    <s v="Misterio"/>
    <n v="2008"/>
    <s v="C-3"/>
    <x v="1"/>
  </r>
  <r>
    <s v="Pr2177"/>
    <x v="163"/>
    <d v="2025-04-05T00:00:00"/>
    <s v="Lb1194"/>
    <s v="Carlos Ruiz"/>
    <x v="2"/>
    <x v="1"/>
    <x v="1"/>
    <s v="Cien Años De Soledad"/>
    <s v="Gabriel García Márquez"/>
    <s v="Novela"/>
    <n v="2014"/>
    <s v="B-2"/>
    <x v="0"/>
  </r>
  <r>
    <s v="Pr2317"/>
    <x v="171"/>
    <d v="2025-06-11T00:00:00"/>
    <s v="Lb1180"/>
    <s v="Luisa Fernández"/>
    <x v="3"/>
    <x v="0"/>
    <x v="3"/>
    <s v="Crónica De Una Muerte Anunciada"/>
    <s v="Gabriel García Márquez"/>
    <s v="Novela"/>
    <n v="1987"/>
    <s v="A-1"/>
    <x v="0"/>
  </r>
  <r>
    <s v="Pr2339"/>
    <x v="47"/>
    <d v="2025-07-23T00:00:00"/>
    <s v="Lb1096"/>
    <s v="Andrés Díaz"/>
    <x v="3"/>
    <x v="1"/>
    <x v="1"/>
    <s v="Orgullo Y Prejuicio"/>
    <s v="Jane Austen"/>
    <s v="Novela"/>
    <n v="2013"/>
    <s v="Est-1"/>
    <x v="0"/>
  </r>
  <r>
    <s v="Pr2355"/>
    <x v="172"/>
    <d v="2025-02-18T00:00:00"/>
    <s v="Lb1163"/>
    <s v="Pablo López"/>
    <x v="3"/>
    <x v="2"/>
    <x v="7"/>
    <s v="Pedro Páramo"/>
    <s v="Juan Rulfo"/>
    <s v="Novela"/>
    <n v="1934"/>
    <s v="Est-1"/>
    <x v="0"/>
  </r>
  <r>
    <s v="Pr2524"/>
    <x v="31"/>
    <d v="2025-09-15T00:00:00"/>
    <s v="Lb1191"/>
    <s v="Diego Gómez"/>
    <x v="3"/>
    <x v="0"/>
    <x v="8"/>
    <s v="1984"/>
    <s v="George Orwell"/>
    <s v="Ciencia Ficción"/>
    <n v="2018"/>
    <s v="A-1"/>
    <x v="0"/>
  </r>
  <r>
    <s v="Pr2545"/>
    <x v="173"/>
    <d v="2025-04-20T00:00:00"/>
    <s v="Lb1195"/>
    <s v="Camila Álvarez"/>
    <x v="4"/>
    <x v="0"/>
    <x v="3"/>
    <s v="El Código Da Vinci"/>
    <s v="Dan Brown"/>
    <s v="Misterio"/>
    <n v="1937"/>
    <s v="A-1"/>
    <x v="0"/>
  </r>
  <r>
    <s v="Pr2546"/>
    <x v="174"/>
    <d v="2025-09-10T00:00:00"/>
    <s v="Lb1029"/>
    <s v="Felipe Ramírez"/>
    <x v="3"/>
    <x v="0"/>
    <x v="0"/>
    <s v="Don Quijote De La Mancha"/>
    <s v="Miguel De Cervantes"/>
    <s v="Novela"/>
    <n v="1970"/>
    <s v="Est-1"/>
    <x v="1"/>
  </r>
  <r>
    <s v="Pr2585"/>
    <x v="128"/>
    <d v="2025-10-21T00:00:00"/>
    <s v="Lb1073"/>
    <s v="Miguel Ángel"/>
    <x v="3"/>
    <x v="0"/>
    <x v="3"/>
    <s v="Rebelión En La Granja"/>
    <s v="George Orwell"/>
    <s v="Ciencia Ficción"/>
    <n v="1897"/>
    <s v="C-3"/>
    <x v="0"/>
  </r>
  <r>
    <s v="Pr2025"/>
    <x v="38"/>
    <d v="2025-09-01T00:00:00"/>
    <s v="Lb1073"/>
    <s v="Pedro Sánchez"/>
    <x v="1"/>
    <x v="1"/>
    <x v="6"/>
    <s v="Rebelión En La Granja"/>
    <s v="George Orwell"/>
    <s v="Ciencia Ficción"/>
    <n v="1897"/>
    <s v="C-3"/>
    <x v="0"/>
  </r>
  <r>
    <s v="Pr2028"/>
    <x v="153"/>
    <d v="2025-05-24T00:00:00"/>
    <s v="Lb1017"/>
    <s v="Noelia Martín"/>
    <x v="2"/>
    <x v="2"/>
    <x v="7"/>
    <s v="Crónica De Una Muerte Anunciada"/>
    <s v="Gabriel García Márquez"/>
    <s v="Novela"/>
    <n v="1999"/>
    <s v="A-1"/>
    <x v="0"/>
  </r>
  <r>
    <s v="Pr2113"/>
    <x v="4"/>
    <d v="2025-12-07T00:00:00"/>
    <s v="Lb1043"/>
    <s v="Sofía Torres"/>
    <x v="4"/>
    <x v="1"/>
    <x v="6"/>
    <s v="Crónica De Una Muerte Anunciada"/>
    <s v="Gabriel García Márquez"/>
    <s v="Novela"/>
    <n v="1934"/>
    <s v="C-3"/>
    <x v="1"/>
  </r>
  <r>
    <s v="Pr2338"/>
    <x v="24"/>
    <d v="2025-10-06T00:00:00"/>
    <s v="Lb1092"/>
    <s v="Felipe Ramírez"/>
    <x v="2"/>
    <x v="0"/>
    <x v="3"/>
    <s v="La Iliada"/>
    <s v="Homero"/>
    <s v="Clásicos"/>
    <n v="1996"/>
    <s v="B-2"/>
    <x v="0"/>
  </r>
  <r>
    <s v="Pr2374"/>
    <x v="175"/>
    <s v="No Asignado"/>
    <s v="Lb1071"/>
    <s v="Camila Álvarez"/>
    <x v="2"/>
    <x v="1"/>
    <x v="1"/>
    <s v="Pedro Páramo"/>
    <s v="Juan Rulfo"/>
    <s v="Novela"/>
    <n v="1920"/>
    <s v="No Asignado"/>
    <x v="1"/>
  </r>
  <r>
    <s v="Pr2448"/>
    <x v="116"/>
    <d v="2025-11-16T00:00:00"/>
    <s v="Lb954"/>
    <s v="Andrés Díaz"/>
    <x v="3"/>
    <x v="2"/>
    <x v="7"/>
    <s v="Libro No Existe"/>
    <s v="Libro No Existe"/>
    <s v="Libro No Existe"/>
    <s v="Libro No Existe"/>
    <s v="No Existe"/>
    <x v="2"/>
  </r>
  <r>
    <s v="Pr2537"/>
    <x v="176"/>
    <d v="2025-08-06T00:00:00"/>
    <s v="Lb1173"/>
    <s v="Andrés Gómez"/>
    <x v="3"/>
    <x v="0"/>
    <x v="6"/>
    <s v="El Aleph"/>
    <s v="Jorge Luis Borges"/>
    <s v="Cuentos / Fantasía Metafísica"/>
    <n v="1935"/>
    <s v="B-2"/>
    <x v="0"/>
  </r>
  <r>
    <s v="Pr2564"/>
    <x v="177"/>
    <d v="2025-09-08T00:00:00"/>
    <s v="Lb1198"/>
    <s v="Laura Ruiz"/>
    <x v="4"/>
    <x v="0"/>
    <x v="3"/>
    <s v="La Casa De Los Espíritus"/>
    <s v="Isabel Allende"/>
    <s v="Novela"/>
    <n v="1899"/>
    <s v="A-1"/>
    <x v="1"/>
  </r>
  <r>
    <s v="Pr2015"/>
    <x v="178"/>
    <d v="2025-02-12T00:00:00"/>
    <s v="Lb1119"/>
    <s v="María López"/>
    <x v="0"/>
    <x v="2"/>
    <x v="7"/>
    <s v="Pedro Páramo"/>
    <s v="Juan Rulfo"/>
    <s v="Novela"/>
    <n v="2014"/>
    <s v="C-3"/>
    <x v="0"/>
  </r>
  <r>
    <s v="Pr2070"/>
    <x v="179"/>
    <d v="2025-04-04T00:00:00"/>
    <s v="Lb1135"/>
    <s v="Carlos Ruiz"/>
    <x v="2"/>
    <x v="1"/>
    <x v="6"/>
    <s v="Los Detectives Salvajes"/>
    <s v="Roberto Bolaño"/>
    <s v="Novela"/>
    <n v="1926"/>
    <s v="B-2"/>
    <x v="0"/>
  </r>
  <r>
    <s v="Pr2086"/>
    <x v="6"/>
    <d v="2025-12-11T00:00:00"/>
    <s v="Lb1077"/>
    <s v="Andrés Gómez"/>
    <x v="4"/>
    <x v="1"/>
    <x v="5"/>
    <s v="La Ciudad Y Los Perros"/>
    <s v="Mario Vargas Llosa"/>
    <s v="Novela"/>
    <n v="1947"/>
    <s v="Est-1"/>
    <x v="0"/>
  </r>
  <r>
    <s v="Pr2164"/>
    <x v="180"/>
    <d v="2025-04-23T00:00:00"/>
    <s v="Lb1167"/>
    <s v="Luisa Fernández"/>
    <x v="1"/>
    <x v="1"/>
    <x v="4"/>
    <s v="Don Quijote De La Mancha"/>
    <s v="Miguel De Cervantes"/>
    <s v="Novela"/>
    <n v="1889"/>
    <s v="B-2"/>
    <x v="0"/>
  </r>
  <r>
    <s v="Pr2297"/>
    <x v="181"/>
    <d v="2025-02-14T00:00:00"/>
    <s v="Lb1091"/>
    <s v="Carlos Ruiz"/>
    <x v="3"/>
    <x v="1"/>
    <x v="5"/>
    <s v="Matadero Cinco"/>
    <s v="Kurt Vonnegut"/>
    <s v="Ciencia Ficción"/>
    <n v="1993"/>
    <s v="B-2"/>
    <x v="0"/>
  </r>
  <r>
    <s v="Pr2310"/>
    <x v="63"/>
    <d v="2025-05-12T00:00:00"/>
    <s v="Lb1075"/>
    <s v="Camila Álvarez"/>
    <x v="2"/>
    <x v="1"/>
    <x v="1"/>
    <s v="Matar A Un Ruiseñor"/>
    <s v="Harper Lee"/>
    <s v="Novela"/>
    <n v="1939"/>
    <s v="No Asignado"/>
    <x v="1"/>
  </r>
  <r>
    <s v="Pr2371"/>
    <x v="53"/>
    <d v="2025-06-12T00:00:00"/>
    <s v="Lb1035"/>
    <s v="Laura Ruiz"/>
    <x v="4"/>
    <x v="2"/>
    <x v="7"/>
    <s v="Los Detectives Salvajes"/>
    <s v="Roberto Bolaño"/>
    <s v="Novela"/>
    <n v="1956"/>
    <s v="B-2"/>
    <x v="0"/>
  </r>
  <r>
    <s v="Pr2378"/>
    <x v="182"/>
    <d v="2025-08-31T00:00:00"/>
    <s v="Lb1140"/>
    <s v="Andrés Gómez"/>
    <x v="2"/>
    <x v="1"/>
    <x v="6"/>
    <s v="El Principito"/>
    <s v="Antoine De Saint-Exupéry"/>
    <s v="Literatura Infantil / Fábula Filosófica"/>
    <n v="1993"/>
    <s v="C-3"/>
    <x v="0"/>
  </r>
  <r>
    <s v="Pr2424"/>
    <x v="169"/>
    <s v="No Asignado"/>
    <s v="Lb1098"/>
    <s v="María López"/>
    <x v="4"/>
    <x v="1"/>
    <x v="1"/>
    <s v="Ficciones"/>
    <s v="Jorge Luis Borges"/>
    <s v="Cuentos / Fantasía Metafísica"/>
    <n v="1990"/>
    <s v="A-1"/>
    <x v="1"/>
  </r>
  <r>
    <s v="Pr2446"/>
    <x v="183"/>
    <d v="2025-07-09T00:00:00"/>
    <s v="Lb1184"/>
    <s v="Luisa Fernández"/>
    <x v="4"/>
    <x v="1"/>
    <x v="4"/>
    <s v="Breve Historia Del Tiempo"/>
    <s v="Stephen Hawking"/>
    <s v="Divulgación Científica / Cosmología"/>
    <n v="1941"/>
    <s v="B-2"/>
    <x v="1"/>
  </r>
  <r>
    <s v="Pr2457"/>
    <x v="171"/>
    <d v="2025-06-25T00:00:00"/>
    <s v="Lb1022"/>
    <s v="Valentina Mora"/>
    <x v="3"/>
    <x v="1"/>
    <x v="1"/>
    <s v="Don Quijote De La Mancha"/>
    <s v="Miguel De Cervantes"/>
    <s v="Novela"/>
    <n v="1910"/>
    <s v="B-2"/>
    <x v="0"/>
  </r>
  <r>
    <s v="Pr2485"/>
    <x v="67"/>
    <d v="2025-05-06T00:00:00"/>
    <s v="Lb1057"/>
    <s v="Pablo López"/>
    <x v="2"/>
    <x v="1"/>
    <x v="5"/>
    <s v="Pedro Páramo"/>
    <s v="Juan Rulfo"/>
    <s v="Novela"/>
    <n v="1970"/>
    <s v="Est-1"/>
    <x v="0"/>
  </r>
  <r>
    <s v="Pr2057"/>
    <x v="184"/>
    <d v="2025-05-29T00:00:00"/>
    <s v="Lb1045"/>
    <s v="Sofía Torres"/>
    <x v="3"/>
    <x v="0"/>
    <x v="3"/>
    <s v="Sobre La Felicidad"/>
    <s v="Lucio Anneo Séneca"/>
    <s v="Filosofía Y Pensamiento"/>
    <n v="1936"/>
    <s v="B-2"/>
    <x v="1"/>
  </r>
  <r>
    <s v="Pr2060"/>
    <x v="185"/>
    <d v="2025-11-03T00:00:00"/>
    <s v="Lb1094"/>
    <s v="Pedro Sánchez"/>
    <x v="3"/>
    <x v="1"/>
    <x v="5"/>
    <s v="La Casa De Los Espíritus"/>
    <s v="Isabel Allende"/>
    <s v="Novela"/>
    <n v="1924"/>
    <s v="A-1"/>
    <x v="0"/>
  </r>
  <r>
    <s v="Pr2132"/>
    <x v="49"/>
    <d v="2025-07-04T00:00:00"/>
    <s v="Lb1104"/>
    <s v="Carolina Rojas"/>
    <x v="3"/>
    <x v="0"/>
    <x v="3"/>
    <s v="La Casa De Los Espíritus"/>
    <s v="Isabel Allende"/>
    <s v="Novela"/>
    <n v="1887"/>
    <s v="Est-1"/>
    <x v="1"/>
  </r>
  <r>
    <s v="Pr2150"/>
    <x v="186"/>
    <d v="2025-01-25T00:00:00"/>
    <s v="Lb1150"/>
    <s v="Felipe Ramírez"/>
    <x v="3"/>
    <x v="2"/>
    <x v="7"/>
    <s v="1984"/>
    <s v="George Orwell"/>
    <s v="Ciencia Ficción"/>
    <n v="1920"/>
    <s v="C-3"/>
    <x v="0"/>
  </r>
  <r>
    <s v="Pr2257"/>
    <x v="142"/>
    <d v="2025-11-12T00:00:00"/>
    <s v="Lb1149"/>
    <s v="Ana Gómez"/>
    <x v="0"/>
    <x v="1"/>
    <x v="0"/>
    <s v="La Casa De Los Espíritus"/>
    <s v="Isabel Allende"/>
    <s v="Novela"/>
    <n v="1907"/>
    <s v="B-2"/>
    <x v="0"/>
  </r>
  <r>
    <s v="Pr2294"/>
    <x v="187"/>
    <d v="2025-06-06T00:00:00"/>
    <s v="Lb1180"/>
    <s v="Sofía Torres"/>
    <x v="2"/>
    <x v="2"/>
    <x v="7"/>
    <s v="Crónica De Una Muerte Anunciada"/>
    <s v="Gabriel García Márquez"/>
    <s v="Novela"/>
    <n v="1987"/>
    <s v="A-1"/>
    <x v="0"/>
  </r>
  <r>
    <s v="Pr2301"/>
    <x v="6"/>
    <d v="2025-12-02T00:00:00"/>
    <s v="Lb1168"/>
    <s v="Valentina Mora"/>
    <x v="3"/>
    <x v="1"/>
    <x v="0"/>
    <s v="La Casa De Los Espíritus"/>
    <s v="Isabel Allende"/>
    <s v="Novela"/>
    <n v="1999"/>
    <s v="B-2"/>
    <x v="0"/>
  </r>
  <r>
    <s v="Pr2359"/>
    <x v="188"/>
    <d v="2025-11-01T00:00:00"/>
    <s v="Lb1152"/>
    <s v="Jorge Ibáñez"/>
    <x v="3"/>
    <x v="1"/>
    <x v="1"/>
    <s v="Hamlet"/>
    <s v="William Shakespeare"/>
    <s v="Clásicos"/>
    <n v="2017"/>
    <s v="A-1"/>
    <x v="0"/>
  </r>
  <r>
    <s v="Pr2363"/>
    <x v="125"/>
    <d v="2025-02-17T00:00:00"/>
    <s v="Lb1085"/>
    <s v="Noelia Martín"/>
    <x v="3"/>
    <x v="1"/>
    <x v="6"/>
    <s v="Pedro Páramo"/>
    <s v="Juan Rulfo"/>
    <s v="Novela"/>
    <n v="1986"/>
    <s v="B-2"/>
    <x v="0"/>
  </r>
  <r>
    <s v="Pr2399"/>
    <x v="86"/>
    <d v="2025-03-08T00:00:00"/>
    <s v="Lb1172"/>
    <s v="Carolina Rojas"/>
    <x v="4"/>
    <x v="1"/>
    <x v="1"/>
    <s v="El Túnel"/>
    <s v="Ernesto Sabato"/>
    <s v="Novela"/>
    <n v="1936"/>
    <s v="A-1"/>
    <x v="1"/>
  </r>
  <r>
    <s v="Pr2408"/>
    <x v="189"/>
    <d v="2025-12-04T00:00:00"/>
    <s v="Lb1170"/>
    <s v="Jorge Ibáñez"/>
    <x v="2"/>
    <x v="0"/>
    <x v="8"/>
    <s v="El Código Da Vinci"/>
    <s v="Dan Brown"/>
    <s v="Misterio"/>
    <n v="1943"/>
    <s v="B-2"/>
    <x v="1"/>
  </r>
  <r>
    <s v="Pr2462"/>
    <x v="190"/>
    <d v="2025-09-25T00:00:00"/>
    <s v="Lb1084"/>
    <s v="Carolina Rojas"/>
    <x v="1"/>
    <x v="0"/>
    <x v="6"/>
    <s v="El Código Da Vinci"/>
    <s v="Dan Brown"/>
    <s v="Misterio"/>
    <n v="1944"/>
    <s v="A-1"/>
    <x v="0"/>
  </r>
  <r>
    <s v="Pr2505"/>
    <x v="90"/>
    <d v="2025-02-12T00:00:00"/>
    <s v="Lb1131"/>
    <s v="Camila Álvarez"/>
    <x v="2"/>
    <x v="0"/>
    <x v="3"/>
    <s v="Breve Historia Del Tiempo"/>
    <s v="Stephen Hawking"/>
    <s v="Divulgación Científica / Cosmología"/>
    <n v="1965"/>
    <s v="A-1"/>
    <x v="0"/>
  </r>
  <r>
    <s v="Pr2513"/>
    <x v="155"/>
    <s v="No Asignado"/>
    <s v="Lb1089"/>
    <s v=" Felipe Ramírez "/>
    <x v="3"/>
    <x v="1"/>
    <x v="1"/>
    <s v="Macbeth"/>
    <s v="William Shakespeare"/>
    <s v="Clásicos"/>
    <n v="1891"/>
    <s v="B-2"/>
    <x v="0"/>
  </r>
  <r>
    <s v="Pr2518"/>
    <x v="147"/>
    <d v="2025-11-06T00:00:00"/>
    <s v="Lb1151"/>
    <s v="Luisa Fernández"/>
    <x v="2"/>
    <x v="0"/>
    <x v="3"/>
    <s v="El Principito"/>
    <s v="Antoine De Saint-Exupéry"/>
    <s v="Literatura Infantil / Fábula Filosófica"/>
    <n v="1980"/>
    <s v="Est-1"/>
    <x v="1"/>
  </r>
  <r>
    <s v="Pr2529"/>
    <x v="97"/>
    <d v="2025-01-23T00:00:00"/>
    <s v="Lb1156"/>
    <s v="Pablo López"/>
    <x v="0"/>
    <x v="1"/>
    <x v="4"/>
    <s v="La Casa De Los Espíritus"/>
    <s v="Isabel Allende"/>
    <s v="Novela"/>
    <n v="2009"/>
    <s v="Est-1"/>
    <x v="0"/>
  </r>
  <r>
    <s v="Pr2049"/>
    <x v="107"/>
    <d v="2025-02-03T00:00:00"/>
    <s v="Lb1044"/>
    <s v="Juan Pérez"/>
    <x v="2"/>
    <x v="0"/>
    <x v="3"/>
    <s v="Matadero Cinco"/>
    <s v="Kurt Vonnegut"/>
    <s v="Ciencia Ficción"/>
    <n v="1977"/>
    <s v="A-1"/>
    <x v="0"/>
  </r>
  <r>
    <s v="Pr2197"/>
    <x v="191"/>
    <d v="2025-11-27T00:00:00"/>
    <s v="Lb1034"/>
    <s v="Luisa Fernández"/>
    <x v="2"/>
    <x v="1"/>
    <x v="0"/>
    <s v="El Aleph"/>
    <s v="Jorge Luis Borges"/>
    <s v="Cuentos / Fantasía Metafísica"/>
    <n v="1991"/>
    <s v="Est-1"/>
    <x v="1"/>
  </r>
  <r>
    <s v="Pr2204"/>
    <x v="106"/>
    <s v="No Asignado"/>
    <s v="Lb1318"/>
    <s v="Sofía Torres"/>
    <x v="3"/>
    <x v="1"/>
    <x v="1"/>
    <s v="Libro No Existe"/>
    <s v="Libro No Existe"/>
    <s v="Libro No Existe"/>
    <s v="Libro No Existe"/>
    <s v="No Existe"/>
    <x v="2"/>
  </r>
  <r>
    <s v="Pr2239"/>
    <x v="192"/>
    <d v="2025-02-17T00:00:00"/>
    <s v="Lb1112"/>
    <s v="Ana Gómez"/>
    <x v="3"/>
    <x v="1"/>
    <x v="1"/>
    <s v="Sobre La Felicidad"/>
    <s v="Lucio Anneo Séneca"/>
    <s v="Filosofía Y Pensamiento"/>
    <n v="1919"/>
    <s v="A-1"/>
    <x v="1"/>
  </r>
  <r>
    <s v="Pr2248"/>
    <x v="111"/>
    <d v="2025-08-19T00:00:00"/>
    <s v="Lb1189"/>
    <s v="Andrés Díaz"/>
    <x v="4"/>
    <x v="2"/>
    <x v="7"/>
    <s v="Sobre La Felicidad"/>
    <s v="Lucio Anneo Séneca"/>
    <s v="Filosofía Y Pensamiento"/>
    <n v="1917"/>
    <s v="B-2"/>
    <x v="1"/>
  </r>
  <r>
    <s v="Pr2302"/>
    <x v="160"/>
    <d v="2025-03-09T00:00:00"/>
    <s v="Lb1159"/>
    <s v="Andrés Díaz"/>
    <x v="1"/>
    <x v="2"/>
    <x v="7"/>
    <s v="El Principito"/>
    <s v="Antoine De Saint-Exupéry"/>
    <s v="Literatura Infantil / Fábula Filosófica"/>
    <n v="2000"/>
    <s v="A-1"/>
    <x v="1"/>
  </r>
  <r>
    <s v="Pr2350"/>
    <x v="72"/>
    <d v="2025-04-10T00:00:00"/>
    <s v="Lb1035"/>
    <s v="Luisa Fernández"/>
    <x v="3"/>
    <x v="2"/>
    <x v="7"/>
    <s v="Los Detectives Salvajes"/>
    <s v="Roberto Bolaño"/>
    <s v="Novela"/>
    <n v="1956"/>
    <s v="B-2"/>
    <x v="0"/>
  </r>
  <r>
    <s v="Pr2352"/>
    <x v="163"/>
    <s v="No Asignado"/>
    <s v="Lb1141"/>
    <s v="Carolina Rojas"/>
    <x v="1"/>
    <x v="1"/>
    <x v="1"/>
    <s v="Matar A Un Ruiseñor"/>
    <s v="Harper Lee"/>
    <s v="Novela"/>
    <n v="1972"/>
    <s v="B-2"/>
    <x v="1"/>
  </r>
  <r>
    <s v="Pr2420"/>
    <x v="74"/>
    <d v="2025-04-05T00:00:00"/>
    <s v="Lb1108"/>
    <s v="Diego Gómez"/>
    <x v="0"/>
    <x v="2"/>
    <x v="7"/>
    <s v="La Casa De Los Espíritus"/>
    <s v="Isabel Allende"/>
    <s v="Novela"/>
    <n v="1938"/>
    <s v="Est-1"/>
    <x v="0"/>
  </r>
  <r>
    <s v="Pr2422"/>
    <x v="30"/>
    <d v="2025-10-05T00:00:00"/>
    <s v="Lb1060"/>
    <s v="Jorge Ibáñez"/>
    <x v="4"/>
    <x v="1"/>
    <x v="5"/>
    <s v="La Odisea"/>
    <s v="Homero"/>
    <s v="Clásicos"/>
    <n v="1893"/>
    <s v="Est-1"/>
    <x v="0"/>
  </r>
  <r>
    <s v="Pr2453"/>
    <x v="193"/>
    <d v="2025-08-10T00:00:00"/>
    <s v="Lb1224"/>
    <s v="Carolina Rojas"/>
    <x v="4"/>
    <x v="1"/>
    <x v="1"/>
    <s v="Libro No Existe"/>
    <s v="Libro No Existe"/>
    <s v="Libro No Existe"/>
    <s v="Libro No Existe"/>
    <s v="No Existe"/>
    <x v="2"/>
  </r>
  <r>
    <s v="Pr2497"/>
    <x v="194"/>
    <d v="2025-11-05T00:00:00"/>
    <s v="Lb1011"/>
    <s v=" Jorge Ibáñez "/>
    <x v="2"/>
    <x v="0"/>
    <x v="3"/>
    <s v="La Iliada"/>
    <s v="Homero"/>
    <s v="Clásicos"/>
    <n v="1947"/>
    <s v="A-1"/>
    <x v="0"/>
  </r>
  <r>
    <s v="Pr2590"/>
    <x v="28"/>
    <d v="2025-10-05T00:00:00"/>
    <s v="Lb1117"/>
    <s v="Camila Álvarez"/>
    <x v="4"/>
    <x v="1"/>
    <x v="0"/>
    <s v="1984"/>
    <s v="George Orwell"/>
    <s v="Ciencia Ficción"/>
    <n v="1893"/>
    <s v="C-3"/>
    <x v="0"/>
  </r>
  <r>
    <s v="Pr2034"/>
    <x v="46"/>
    <d v="2025-07-15T00:00:00"/>
    <s v="Lb1080"/>
    <s v="Pedro Sánchez"/>
    <x v="4"/>
    <x v="0"/>
    <x v="3"/>
    <s v="Pedro Páramo"/>
    <s v="Juan Rulfo"/>
    <s v="Novela"/>
    <n v="1924"/>
    <s v="Est-1"/>
    <x v="1"/>
  </r>
  <r>
    <s v="Pr2037"/>
    <x v="24"/>
    <d v="2025-10-10T00:00:00"/>
    <s v="Lb1059"/>
    <s v="Sofía Torres"/>
    <x v="1"/>
    <x v="0"/>
    <x v="3"/>
    <s v="La Ciudad Y Los Perros"/>
    <s v="Mario Vargas Llosa"/>
    <s v="Novela"/>
    <n v="1891"/>
    <s v="Est-1"/>
    <x v="1"/>
  </r>
  <r>
    <s v="Pr2075"/>
    <x v="195"/>
    <d v="2025-07-28T00:00:00"/>
    <s v="Lb1108"/>
    <s v="Camila Álvarez"/>
    <x v="1"/>
    <x v="0"/>
    <x v="3"/>
    <s v="La Casa De Los Espíritus"/>
    <s v="Isabel Allende"/>
    <s v="Novela"/>
    <n v="1938"/>
    <s v="Est-1"/>
    <x v="0"/>
  </r>
  <r>
    <s v="Pr2106"/>
    <x v="196"/>
    <d v="2025-08-31T00:00:00"/>
    <s v="Lb1193"/>
    <s v="Carlos Ruiz"/>
    <x v="2"/>
    <x v="0"/>
    <x v="0"/>
    <s v="Macbeth"/>
    <s v="William Shakespeare"/>
    <s v="Clásicos"/>
    <n v="1883"/>
    <s v="Est-1"/>
    <x v="0"/>
  </r>
  <r>
    <s v="Pr2199"/>
    <x v="147"/>
    <d v="2025-11-08T00:00:00"/>
    <s v="Lb1273"/>
    <s v="Pedro Sánchez"/>
    <x v="4"/>
    <x v="0"/>
    <x v="3"/>
    <s v="Libro No Existe"/>
    <s v="Libro No Existe"/>
    <s v="Libro No Existe"/>
    <s v="Libro No Existe"/>
    <s v="No Existe"/>
    <x v="2"/>
  </r>
  <r>
    <s v="Pr2244"/>
    <x v="24"/>
    <s v="No Asignado"/>
    <s v="Lb1095"/>
    <s v="Miguel Ángel"/>
    <x v="4"/>
    <x v="1"/>
    <x v="1"/>
    <s v="Breve Historia Del Tiempo"/>
    <s v="Stephen Hawking"/>
    <s v="Divulgación Científica / Cosmología"/>
    <n v="1909"/>
    <s v="A-1"/>
    <x v="0"/>
  </r>
  <r>
    <s v="Pr2258"/>
    <x v="197"/>
    <d v="2025-05-20T00:00:00"/>
    <s v="Lb1096"/>
    <s v="María López"/>
    <x v="4"/>
    <x v="0"/>
    <x v="6"/>
    <s v="Orgullo Y Prejuicio"/>
    <s v="Jane Austen"/>
    <s v="Novela"/>
    <n v="2013"/>
    <s v="Est-1"/>
    <x v="0"/>
  </r>
  <r>
    <s v="Pr2530"/>
    <x v="198"/>
    <d v="2025-09-10T00:00:00"/>
    <s v="Lb1134"/>
    <s v="Andrés Díaz"/>
    <x v="2"/>
    <x v="2"/>
    <x v="7"/>
    <s v="La Odisea"/>
    <s v="Homero"/>
    <s v="Clásicos"/>
    <n v="1978"/>
    <s v="A-1"/>
    <x v="1"/>
  </r>
  <r>
    <s v="Pr2534"/>
    <x v="199"/>
    <d v="2025-02-13T00:00:00"/>
    <s v="Lb1163"/>
    <s v="María López"/>
    <x v="0"/>
    <x v="0"/>
    <x v="8"/>
    <s v="Pedro Páramo"/>
    <s v="Juan Rulfo"/>
    <s v="Novela"/>
    <n v="1934"/>
    <s v="Est-1"/>
    <x v="0"/>
  </r>
  <r>
    <s v="Pr2067"/>
    <x v="200"/>
    <d v="2025-07-30T00:00:00"/>
    <s v="Lb1162"/>
    <s v=" Miguel Ángel "/>
    <x v="3"/>
    <x v="2"/>
    <x v="7"/>
    <s v="Matar A Un Ruiseñor"/>
    <s v="Harper Lee"/>
    <s v="Novela"/>
    <n v="1981"/>
    <s v="C-3"/>
    <x v="1"/>
  </r>
  <r>
    <s v="Pr2139"/>
    <x v="132"/>
    <d v="2025-09-04T00:00:00"/>
    <s v="Lb1043"/>
    <s v="María López"/>
    <x v="4"/>
    <x v="1"/>
    <x v="4"/>
    <s v="Crónica De Una Muerte Anunciada"/>
    <s v="Gabriel García Márquez"/>
    <s v="Novela"/>
    <n v="1934"/>
    <s v="C-3"/>
    <x v="1"/>
  </r>
  <r>
    <s v="Pr2178"/>
    <x v="11"/>
    <d v="2025-11-19T00:00:00"/>
    <s v="Lb1136"/>
    <s v="Laura Ruiz"/>
    <x v="4"/>
    <x v="1"/>
    <x v="4"/>
    <s v="La Casa De Los Espíritus"/>
    <s v="Isabel Allende"/>
    <s v="Novela"/>
    <n v="1970"/>
    <s v="C-3"/>
    <x v="0"/>
  </r>
  <r>
    <s v="Pr2189"/>
    <x v="123"/>
    <d v="2025-01-29T00:00:00"/>
    <s v="Lb1131"/>
    <s v="Carolina Rojas"/>
    <x v="3"/>
    <x v="0"/>
    <x v="0"/>
    <s v="Breve Historia Del Tiempo"/>
    <s v="Stephen Hawking"/>
    <s v="Divulgación Científica / Cosmología"/>
    <n v="1965"/>
    <s v="A-1"/>
    <x v="0"/>
  </r>
  <r>
    <s v="Pr2196"/>
    <x v="201"/>
    <d v="2025-11-12T00:00:00"/>
    <s v="Lb1116"/>
    <s v="Luisa Fernández"/>
    <x v="1"/>
    <x v="1"/>
    <x v="1"/>
    <s v="Macbeth"/>
    <s v="William Shakespeare"/>
    <s v="Clásicos"/>
    <n v="1901"/>
    <s v="No Asignado"/>
    <x v="1"/>
  </r>
  <r>
    <s v="Pr2225"/>
    <x v="202"/>
    <d v="2025-10-09T00:00:00"/>
    <s v="Lb1057"/>
    <s v="María López"/>
    <x v="1"/>
    <x v="0"/>
    <x v="3"/>
    <s v="Pedro Páramo"/>
    <s v="Juan Rulfo"/>
    <s v="Novela"/>
    <n v="1970"/>
    <s v="Est-1"/>
    <x v="0"/>
  </r>
  <r>
    <s v="Pr2251"/>
    <x v="203"/>
    <d v="2025-11-18T00:00:00"/>
    <s v="Lb1085"/>
    <s v="Sofía Torres"/>
    <x v="2"/>
    <x v="0"/>
    <x v="3"/>
    <s v="Pedro Páramo"/>
    <s v="Juan Rulfo"/>
    <s v="Novela"/>
    <n v="1986"/>
    <s v="B-2"/>
    <x v="0"/>
  </r>
  <r>
    <s v="Pr2496"/>
    <x v="204"/>
    <d v="2025-08-16T00:00:00"/>
    <s v="Lb1031"/>
    <s v="Juan Pérez"/>
    <x v="4"/>
    <x v="2"/>
    <x v="7"/>
    <s v="Breve Historia Del Tiempo"/>
    <s v="Stephen Hawking"/>
    <s v="Divulgación Científica / Cosmología"/>
    <n v="1889"/>
    <s v="Est-1"/>
    <x v="1"/>
  </r>
  <r>
    <s v="Pr2511"/>
    <x v="29"/>
    <s v="No Asignado"/>
    <s v="Lb1091"/>
    <s v="Carlos Ruiz"/>
    <x v="4"/>
    <x v="1"/>
    <x v="1"/>
    <s v="Matadero Cinco"/>
    <s v="Kurt Vonnegut"/>
    <s v="Ciencia Ficción"/>
    <n v="1993"/>
    <s v="B-2"/>
    <x v="0"/>
  </r>
  <r>
    <s v="Pr2584"/>
    <x v="148"/>
    <d v="2025-03-14T00:00:00"/>
    <s v="Lb1185"/>
    <s v="Luisa Fernández"/>
    <x v="0"/>
    <x v="2"/>
    <x v="7"/>
    <s v="Breve Historia Del Tiempo"/>
    <s v="Stephen Hawking"/>
    <s v="Divulgación Científica / Cosmología"/>
    <n v="1945"/>
    <s v="C-3"/>
    <x v="1"/>
  </r>
  <r>
    <s v="Pr2069"/>
    <x v="121"/>
    <d v="2025-09-15T00:00:00"/>
    <s v="Lb1032"/>
    <s v="Andrés Díaz"/>
    <x v="3"/>
    <x v="0"/>
    <x v="3"/>
    <s v="Los Detectives Salvajes"/>
    <s v="Roberto Bolaño"/>
    <s v="Novela"/>
    <n v="1897"/>
    <s v="B-2"/>
    <x v="1"/>
  </r>
  <r>
    <s v="Pr2092"/>
    <x v="123"/>
    <d v="2025-01-30T00:00:00"/>
    <s v="Lb1056"/>
    <s v="Carolina Rojas"/>
    <x v="3"/>
    <x v="0"/>
    <x v="3"/>
    <s v="Crónica De Una Muerte Anunciada"/>
    <s v="Gabriel García Márquez"/>
    <s v="Novela"/>
    <n v="1884"/>
    <s v="B-2"/>
    <x v="1"/>
  </r>
  <r>
    <s v="Pr2211"/>
    <x v="106"/>
    <d v="2025-09-02T00:00:00"/>
    <s v="Lb1136"/>
    <s v="Carolina Rojas"/>
    <x v="2"/>
    <x v="1"/>
    <x v="6"/>
    <s v="La Casa De Los Espíritus"/>
    <s v="Isabel Allende"/>
    <s v="Novela"/>
    <n v="1970"/>
    <s v="C-3"/>
    <x v="0"/>
  </r>
  <r>
    <s v="Pr2252"/>
    <x v="105"/>
    <d v="2025-08-17T00:00:00"/>
    <s v="Lb1068"/>
    <s v="Diego Gómez"/>
    <x v="3"/>
    <x v="1"/>
    <x v="4"/>
    <s v="La Sombra Del Viento"/>
    <s v="Carlos Ruiz Zafón"/>
    <s v="Misterio"/>
    <n v="1906"/>
    <s v="A-1"/>
    <x v="1"/>
  </r>
  <r>
    <s v="Pr2308"/>
    <x v="205"/>
    <d v="2025-05-20T00:00:00"/>
    <s v="Lb1044"/>
    <s v=" Andrés Díaz "/>
    <x v="3"/>
    <x v="1"/>
    <x v="0"/>
    <s v="Matadero Cinco"/>
    <s v="Kurt Vonnegut"/>
    <s v="Ciencia Ficción"/>
    <n v="1977"/>
    <s v="A-1"/>
    <x v="0"/>
  </r>
  <r>
    <s v="Pr2318"/>
    <x v="19"/>
    <d v="2025-10-31T00:00:00"/>
    <s v="Lb1126"/>
    <s v="María López"/>
    <x v="4"/>
    <x v="1"/>
    <x v="1"/>
    <s v="Crónica De Una Muerte Anunciada"/>
    <s v="Gabriel García Márquez"/>
    <s v="Novela"/>
    <n v="1965"/>
    <s v="A-1"/>
    <x v="0"/>
  </r>
  <r>
    <s v="Pr2373"/>
    <x v="13"/>
    <d v="2025-11-11T00:00:00"/>
    <s v="Lb1113"/>
    <s v="Felipe Ramírez"/>
    <x v="0"/>
    <x v="1"/>
    <x v="6"/>
    <s v="1984"/>
    <s v="George Orwell"/>
    <s v="Ciencia Ficción"/>
    <n v="1962"/>
    <s v="C-3"/>
    <x v="0"/>
  </r>
  <r>
    <s v="Pr2397"/>
    <x v="39"/>
    <d v="2025-08-25T00:00:00"/>
    <s v="Lb1091"/>
    <s v="Valentina Mora"/>
    <x v="4"/>
    <x v="2"/>
    <x v="7"/>
    <s v="Matadero Cinco"/>
    <s v="Kurt Vonnegut"/>
    <s v="Ciencia Ficción"/>
    <n v="1993"/>
    <s v="B-2"/>
    <x v="0"/>
  </r>
  <r>
    <s v="Pr2549"/>
    <x v="206"/>
    <d v="2025-03-18T00:00:00"/>
    <s v="Lb1163"/>
    <s v="Miguel Ángel"/>
    <x v="3"/>
    <x v="0"/>
    <x v="6"/>
    <s v="Pedro Páramo"/>
    <s v="Juan Rulfo"/>
    <s v="Novela"/>
    <n v="1934"/>
    <s v="Est-1"/>
    <x v="0"/>
  </r>
  <r>
    <s v="Pr2577"/>
    <x v="163"/>
    <d v="2025-03-29T00:00:00"/>
    <s v="Lb1272"/>
    <s v="Andrés Gómez"/>
    <x v="2"/>
    <x v="0"/>
    <x v="0"/>
    <s v="Libro No Existe"/>
    <s v="Libro No Existe"/>
    <s v="Libro No Existe"/>
    <s v="Libro No Existe"/>
    <s v="No Existe"/>
    <x v="2"/>
  </r>
  <r>
    <s v="Pr2008"/>
    <x v="185"/>
    <d v="2025-10-26T00:00:00"/>
    <s v="Lb1010"/>
    <s v="Carlos Ruiz"/>
    <x v="2"/>
    <x v="1"/>
    <x v="4"/>
    <s v="La Odisea"/>
    <s v="Homero"/>
    <s v="Clásicos"/>
    <n v="2021"/>
    <s v="A-1"/>
    <x v="0"/>
  </r>
  <r>
    <s v="Pr2084"/>
    <x v="132"/>
    <d v="2025-09-01T00:00:00"/>
    <s v="Lb1155"/>
    <s v="Noelia Martín"/>
    <x v="0"/>
    <x v="2"/>
    <x v="7"/>
    <s v="Macbeth"/>
    <s v="William Shakespeare"/>
    <s v="Clásicos"/>
    <n v="1996"/>
    <s v="Est-1"/>
    <x v="1"/>
  </r>
  <r>
    <s v="Pr2240"/>
    <x v="96"/>
    <d v="2025-01-26T00:00:00"/>
    <s v="Lb1109"/>
    <s v="Valentina Mora"/>
    <x v="2"/>
    <x v="0"/>
    <x v="0"/>
    <s v="El Amor En Los Tiempos Del Cólera"/>
    <s v="Gabriel García Márquez"/>
    <s v="Novela"/>
    <n v="1989"/>
    <s v="C-3"/>
    <x v="1"/>
  </r>
  <r>
    <s v="Pr2293"/>
    <x v="207"/>
    <d v="2025-07-29T00:00:00"/>
    <s v="Lb1197"/>
    <s v="Laura Ruiz"/>
    <x v="3"/>
    <x v="0"/>
    <x v="3"/>
    <s v="Orgullo Y Prejuicio"/>
    <s v="Jane Austen"/>
    <s v="Novela"/>
    <n v="1951"/>
    <s v="Est-1"/>
    <x v="1"/>
  </r>
  <r>
    <s v="Pr2336"/>
    <x v="88"/>
    <d v="2025-02-28T00:00:00"/>
    <s v="Lb1199"/>
    <s v="Valentina Mora"/>
    <x v="0"/>
    <x v="0"/>
    <x v="3"/>
    <s v="La Iliada"/>
    <s v="Homero"/>
    <s v="Clásicos"/>
    <n v="1968"/>
    <s v="A-1"/>
    <x v="0"/>
  </r>
  <r>
    <s v="Pr2392"/>
    <x v="118"/>
    <d v="2025-11-01T00:00:00"/>
    <s v="Lb1082"/>
    <s v="Jorge Ibáñez"/>
    <x v="4"/>
    <x v="2"/>
    <x v="7"/>
    <s v="Los Detectives Salvajes"/>
    <s v="Roberto Bolaño"/>
    <s v="Novela"/>
    <n v="1978"/>
    <s v="Est-1"/>
    <x v="1"/>
  </r>
  <r>
    <s v="Pr2478"/>
    <x v="208"/>
    <d v="2025-07-30T00:00:00"/>
    <s v="Lb1172"/>
    <s v="Juan Pérez"/>
    <x v="4"/>
    <x v="1"/>
    <x v="0"/>
    <s v="El Túnel"/>
    <s v="Ernesto Sabato"/>
    <s v="Novela"/>
    <n v="1936"/>
    <s v="A-1"/>
    <x v="1"/>
  </r>
  <r>
    <s v="Pr2522"/>
    <x v="209"/>
    <d v="2025-03-02T00:00:00"/>
    <s v="Lb1038"/>
    <s v="Noelia Martín"/>
    <x v="2"/>
    <x v="1"/>
    <x v="5"/>
    <s v="La Iliada"/>
    <s v="Homero"/>
    <s v="Clásicos"/>
    <n v="1940"/>
    <s v="B-2"/>
    <x v="1"/>
  </r>
  <r>
    <s v="Pr2053"/>
    <x v="77"/>
    <d v="2025-04-04T00:00:00"/>
    <s v="Lb1014"/>
    <s v=" Ana Gómez "/>
    <x v="2"/>
    <x v="1"/>
    <x v="0"/>
    <s v="Rayuela"/>
    <s v="Julio Cortázar"/>
    <s v="Novela"/>
    <n v="2018"/>
    <s v="B-2"/>
    <x v="1"/>
  </r>
  <r>
    <s v="Pr2066"/>
    <x v="24"/>
    <d v="2025-10-14T00:00:00"/>
    <s v="Lb1174"/>
    <s v="Pedro Sánchez"/>
    <x v="3"/>
    <x v="0"/>
    <x v="8"/>
    <s v="Orgullo Y Prejuicio"/>
    <s v="Jane Austen"/>
    <s v="Novela"/>
    <n v="2009"/>
    <s v="Est-1"/>
    <x v="1"/>
  </r>
  <r>
    <s v="Pr2073"/>
    <x v="210"/>
    <d v="2025-06-27T00:00:00"/>
    <s v="Lb1008"/>
    <s v="Pablo López"/>
    <x v="0"/>
    <x v="2"/>
    <x v="7"/>
    <s v="Ficciones"/>
    <s v="Jorge Luis Borges"/>
    <s v="Cuentos / Fantasía Metafísica"/>
    <n v="1997"/>
    <s v="B-2"/>
    <x v="0"/>
  </r>
  <r>
    <s v="Pr2127"/>
    <x v="196"/>
    <d v="2025-09-04T00:00:00"/>
    <s v="Lb1188"/>
    <s v="Jorge Ibáñez"/>
    <x v="4"/>
    <x v="0"/>
    <x v="3"/>
    <s v="El Túnel"/>
    <s v="Ernesto Sabato"/>
    <s v="Novela"/>
    <n v="1972"/>
    <s v="Est-1"/>
    <x v="1"/>
  </r>
  <r>
    <s v="Pr2179"/>
    <x v="211"/>
    <d v="2025-02-05T00:00:00"/>
    <s v="Lb1041"/>
    <s v=" Miguel Ángel "/>
    <x v="2"/>
    <x v="1"/>
    <x v="6"/>
    <s v="La Ciudad Y Los Perros"/>
    <s v="Mario Vargas Llosa"/>
    <s v="Novela"/>
    <n v="2009"/>
    <s v="Est-1"/>
    <x v="1"/>
  </r>
  <r>
    <s v="Pr2192"/>
    <x v="16"/>
    <d v="2025-11-04T00:00:00"/>
    <s v="Lb1085"/>
    <s v="Pedro Sánchez"/>
    <x v="0"/>
    <x v="2"/>
    <x v="7"/>
    <s v="Pedro Páramo"/>
    <s v="Juan Rulfo"/>
    <s v="Novela"/>
    <n v="1986"/>
    <s v="B-2"/>
    <x v="0"/>
  </r>
  <r>
    <s v="Pr2246"/>
    <x v="207"/>
    <d v="2025-08-09T00:00:00"/>
    <s v="Lb1034"/>
    <s v="Noelia Martín"/>
    <x v="3"/>
    <x v="1"/>
    <x v="5"/>
    <s v="El Aleph"/>
    <s v="Jorge Luis Borges"/>
    <s v="Cuentos / Fantasía Metafísica"/>
    <n v="1991"/>
    <s v="Est-1"/>
    <x v="1"/>
  </r>
  <r>
    <s v="Pr2333"/>
    <x v="105"/>
    <d v="2025-08-15T00:00:00"/>
    <s v="Lb1170"/>
    <s v="Juan Pérez"/>
    <x v="1"/>
    <x v="2"/>
    <x v="7"/>
    <s v="El Código Da Vinci"/>
    <s v="Dan Brown"/>
    <s v="Misterio"/>
    <n v="1943"/>
    <s v="B-2"/>
    <x v="1"/>
  </r>
  <r>
    <s v="Pr2430"/>
    <x v="212"/>
    <d v="2025-02-10T00:00:00"/>
    <s v="Lb1129"/>
    <s v="Pablo López"/>
    <x v="4"/>
    <x v="1"/>
    <x v="1"/>
    <s v="La Odisea"/>
    <s v="Homero"/>
    <s v="Clásicos"/>
    <n v="1986"/>
    <s v="A-1"/>
    <x v="0"/>
  </r>
  <r>
    <s v="Pr2467"/>
    <x v="6"/>
    <s v="No Asignado"/>
    <s v="Lb1001"/>
    <s v="Juan Pérez"/>
    <x v="3"/>
    <x v="1"/>
    <x v="1"/>
    <s v="La Odisea"/>
    <s v="Homero"/>
    <s v="Clásicos"/>
    <n v="2019"/>
    <s v="Est-1"/>
    <x v="0"/>
  </r>
  <r>
    <s v="Pr2510"/>
    <x v="89"/>
    <d v="2025-02-28T00:00:00"/>
    <s v="Lb1022"/>
    <s v="Luisa Fernández"/>
    <x v="2"/>
    <x v="2"/>
    <x v="7"/>
    <s v="Don Quijote De La Mancha"/>
    <s v="Miguel De Cervantes"/>
    <s v="Novela"/>
    <n v="1910"/>
    <s v="B-2"/>
    <x v="0"/>
  </r>
  <r>
    <s v="Pr2567"/>
    <x v="213"/>
    <s v="No Asignado"/>
    <s v="Lb1157"/>
    <s v="María López"/>
    <x v="1"/>
    <x v="1"/>
    <x v="1"/>
    <s v="Rebelión En La Granja"/>
    <s v="George Orwell"/>
    <s v="Ciencia Ficción"/>
    <n v="1886"/>
    <s v="Est-1"/>
    <x v="1"/>
  </r>
  <r>
    <s v="Pr2571"/>
    <x v="214"/>
    <d v="2025-03-21T00:00:00"/>
    <s v="Lb1337"/>
    <s v="Diego Gómez"/>
    <x v="3"/>
    <x v="0"/>
    <x v="0"/>
    <s v="Libro No Existe"/>
    <s v="Libro No Existe"/>
    <s v="Libro No Existe"/>
    <s v="Libro No Existe"/>
    <s v="No Existe"/>
    <x v="2"/>
  </r>
  <r>
    <s v="Pr2007"/>
    <x v="2"/>
    <d v="2025-12-07T00:00:00"/>
    <s v="Lb1130"/>
    <s v="Camila Álvarez"/>
    <x v="0"/>
    <x v="2"/>
    <x v="7"/>
    <s v="El Amor En Los Tiempos Del Cólera"/>
    <s v="Gabriel García Márquez"/>
    <s v="Novela"/>
    <n v="1979"/>
    <s v="B-2"/>
    <x v="0"/>
  </r>
  <r>
    <s v="Pr2026"/>
    <x v="88"/>
    <d v="2025-03-02T00:00:00"/>
    <s v="Lb1025"/>
    <s v="Miguel Ángel"/>
    <x v="2"/>
    <x v="2"/>
    <x v="7"/>
    <s v="Los Detectives Salvajes"/>
    <s v="Roberto Bolaño"/>
    <s v="Novela"/>
    <n v="2015"/>
    <s v="Est-1"/>
    <x v="0"/>
  </r>
  <r>
    <s v="Pr2298"/>
    <x v="215"/>
    <d v="2025-02-26T00:00:00"/>
    <s v="Lb1114"/>
    <s v="Carlos Ruiz"/>
    <x v="3"/>
    <x v="0"/>
    <x v="0"/>
    <s v="Rebelión En La Granja"/>
    <s v="George Orwell"/>
    <s v="Ciencia Ficción"/>
    <n v="1995"/>
    <s v="A-1"/>
    <x v="0"/>
  </r>
  <r>
    <s v="Pr2361"/>
    <x v="187"/>
    <d v="2025-06-22T00:00:00"/>
    <s v="Lb1070"/>
    <s v="Pablo López"/>
    <x v="3"/>
    <x v="1"/>
    <x v="5"/>
    <s v="La Iliada"/>
    <s v="Homero"/>
    <s v="Clásicos"/>
    <n v="1993"/>
    <s v="A-1"/>
    <x v="1"/>
  </r>
  <r>
    <s v="Pr2405"/>
    <x v="216"/>
    <d v="2025-05-27T00:00:00"/>
    <s v="Lb1180"/>
    <s v="Andrés Díaz"/>
    <x v="2"/>
    <x v="0"/>
    <x v="0"/>
    <s v="Crónica De Una Muerte Anunciada"/>
    <s v="Gabriel García Márquez"/>
    <s v="Novela"/>
    <n v="1987"/>
    <s v="A-1"/>
    <x v="0"/>
  </r>
  <r>
    <s v="Pr2542"/>
    <x v="65"/>
    <d v="2025-05-02T00:00:00"/>
    <s v="Lb1034"/>
    <s v="Pedro Sánchez"/>
    <x v="3"/>
    <x v="2"/>
    <x v="7"/>
    <s v="El Aleph"/>
    <s v="Jorge Luis Borges"/>
    <s v="Cuentos / Fantasía Metafísica"/>
    <n v="1991"/>
    <s v="Est-1"/>
    <x v="1"/>
  </r>
  <r>
    <s v="Pr2550"/>
    <x v="195"/>
    <d v="2025-08-11T00:00:00"/>
    <s v="Lb1079"/>
    <s v="Miguel Ángel"/>
    <x v="2"/>
    <x v="1"/>
    <x v="5"/>
    <s v="Crónica De Una Muerte Anunciada"/>
    <s v="Gabriel García Márquez"/>
    <s v="Novela"/>
    <n v="1956"/>
    <s v="A-1"/>
    <x v="0"/>
  </r>
  <r>
    <s v="Pr2562"/>
    <x v="217"/>
    <d v="2025-11-21T00:00:00"/>
    <s v="Lb1068"/>
    <s v="Pablo López"/>
    <x v="3"/>
    <x v="2"/>
    <x v="7"/>
    <s v="La Sombra Del Viento"/>
    <s v="Carlos Ruiz Zafón"/>
    <s v="Misterio"/>
    <n v="1906"/>
    <s v="A-1"/>
    <x v="1"/>
  </r>
  <r>
    <s v="Pr2046"/>
    <x v="29"/>
    <d v="2025-09-29T00:00:00"/>
    <s v="Lb1101"/>
    <s v="Valentina Mora"/>
    <x v="3"/>
    <x v="2"/>
    <x v="7"/>
    <s v="La Iliada"/>
    <s v="Homero"/>
    <s v="Clásicos"/>
    <n v="1893"/>
    <s v="Est-1"/>
    <x v="0"/>
  </r>
  <r>
    <s v="Pr2241"/>
    <x v="194"/>
    <d v="2025-11-15T00:00:00"/>
    <s v="Lb1072"/>
    <s v="Valentina Mora"/>
    <x v="3"/>
    <x v="1"/>
    <x v="1"/>
    <s v="El Amor En Los Tiempos Del Cólera"/>
    <s v="Gabriel García Márquez"/>
    <s v="Novela"/>
    <n v="1954"/>
    <s v="B-2"/>
    <x v="1"/>
  </r>
  <r>
    <s v="Pr2314"/>
    <x v="191"/>
    <d v="2025-11-28T00:00:00"/>
    <s v="Lb1031"/>
    <s v="Andrés Gómez"/>
    <x v="3"/>
    <x v="1"/>
    <x v="4"/>
    <s v="Breve Historia Del Tiempo"/>
    <s v="Stephen Hawking"/>
    <s v="Divulgación Científica / Cosmología"/>
    <n v="1889"/>
    <s v="Est-1"/>
    <x v="1"/>
  </r>
  <r>
    <s v="Pr2461"/>
    <x v="18"/>
    <d v="2025-10-31T00:00:00"/>
    <s v="Lb1034"/>
    <s v="Diego Gómez"/>
    <x v="2"/>
    <x v="2"/>
    <x v="7"/>
    <s v="El Aleph"/>
    <s v="Jorge Luis Borges"/>
    <s v="Cuentos / Fantasía Metafísica"/>
    <n v="1991"/>
    <s v="Est-1"/>
    <x v="1"/>
  </r>
  <r>
    <s v="Pr2050"/>
    <x v="58"/>
    <d v="2025-05-26T00:00:00"/>
    <s v="Lb1075"/>
    <s v="María López"/>
    <x v="2"/>
    <x v="0"/>
    <x v="6"/>
    <s v="Matar A Un Ruiseñor"/>
    <s v="Harper Lee"/>
    <s v="Novela"/>
    <n v="1939"/>
    <s v="No Asignado"/>
    <x v="1"/>
  </r>
  <r>
    <s v="Pr2329"/>
    <x v="218"/>
    <d v="2025-09-12T00:00:00"/>
    <s v="Lb1031"/>
    <s v="Sofía Torres"/>
    <x v="1"/>
    <x v="1"/>
    <x v="4"/>
    <s v="Breve Historia Del Tiempo"/>
    <s v="Stephen Hawking"/>
    <s v="Divulgación Científica / Cosmología"/>
    <n v="1889"/>
    <s v="Est-1"/>
    <x v="1"/>
  </r>
  <r>
    <s v="Pr2419"/>
    <x v="219"/>
    <d v="2025-02-10T00:00:00"/>
    <s v="Lb1152"/>
    <s v="Jorge Ibáñez"/>
    <x v="3"/>
    <x v="2"/>
    <x v="7"/>
    <s v="Hamlet"/>
    <s v="William Shakespeare"/>
    <s v="Clásicos"/>
    <n v="2017"/>
    <s v="A-1"/>
    <x v="0"/>
  </r>
  <r>
    <s v="Pr2480"/>
    <x v="57"/>
    <d v="2025-06-01T00:00:00"/>
    <s v="Lb1057"/>
    <s v="Luisa Fernández"/>
    <x v="3"/>
    <x v="0"/>
    <x v="6"/>
    <s v="Pedro Páramo"/>
    <s v="Juan Rulfo"/>
    <s v="Novela"/>
    <n v="1970"/>
    <s v="Est-1"/>
    <x v="0"/>
  </r>
  <r>
    <s v="Pr2523"/>
    <x v="173"/>
    <d v="2025-05-02T00:00:00"/>
    <s v="Lb1165"/>
    <s v="Diego Gómez"/>
    <x v="0"/>
    <x v="2"/>
    <x v="7"/>
    <s v="La Ciudad Y Los Perros"/>
    <s v="Mario Vargas Llosa"/>
    <s v="Novela"/>
    <n v="2001"/>
    <s v="B-2"/>
    <x v="0"/>
  </r>
  <r>
    <s v="Pr2526"/>
    <x v="219"/>
    <d v="2025-02-12T00:00:00"/>
    <s v="Lb1150"/>
    <s v="Carlos Ruiz"/>
    <x v="0"/>
    <x v="1"/>
    <x v="1"/>
    <s v="1984"/>
    <s v="George Orwell"/>
    <s v="Ciencia Ficción"/>
    <n v="1920"/>
    <s v="C-3"/>
    <x v="0"/>
  </r>
  <r>
    <s v="Pr2560"/>
    <x v="220"/>
    <d v="2025-07-30T00:00:00"/>
    <s v="Lb1099"/>
    <s v="Luisa Fernández"/>
    <x v="3"/>
    <x v="2"/>
    <x v="7"/>
    <s v="Matadero Cinco"/>
    <s v="Kurt Vonnegut"/>
    <s v="Ciencia Ficción"/>
    <n v="1989"/>
    <s v="B-2"/>
    <x v="1"/>
  </r>
  <r>
    <s v="Pr2596"/>
    <x v="140"/>
    <d v="2025-07-19T00:00:00"/>
    <s v="Lb1112"/>
    <s v="Pedro Sánchez"/>
    <x v="3"/>
    <x v="0"/>
    <x v="6"/>
    <s v="Sobre La Felicidad"/>
    <s v="Lucio Anneo Séneca"/>
    <s v="Filosofía Y Pensamiento"/>
    <n v="1919"/>
    <s v="A-1"/>
    <x v="1"/>
  </r>
  <r>
    <s v="Pr2072"/>
    <x v="175"/>
    <d v="2025-11-17T00:00:00"/>
    <s v="Lb1108"/>
    <s v="Andrés Gómez"/>
    <x v="3"/>
    <x v="2"/>
    <x v="7"/>
    <s v="La Casa De Los Espíritus"/>
    <s v="Isabel Allende"/>
    <s v="Novela"/>
    <n v="1938"/>
    <s v="Est-1"/>
    <x v="0"/>
  </r>
  <r>
    <s v="Pr2137"/>
    <x v="128"/>
    <d v="2025-11-03T00:00:00"/>
    <s v="Lb1096"/>
    <s v="Camila Álvarez"/>
    <x v="3"/>
    <x v="0"/>
    <x v="9"/>
    <s v="Orgullo Y Prejuicio"/>
    <s v="Jane Austen"/>
    <s v="Novela"/>
    <n v="2013"/>
    <s v="Est-1"/>
    <x v="0"/>
  </r>
  <r>
    <s v="Pr2144"/>
    <x v="221"/>
    <d v="2025-03-19T00:00:00"/>
    <s v="Lb1200"/>
    <s v="Miguel Ángel"/>
    <x v="1"/>
    <x v="0"/>
    <x v="9"/>
    <s v="La Casa De Los Espíritus"/>
    <s v="Isabel Allende"/>
    <s v="Novela"/>
    <n v="1995"/>
    <s v="B-2"/>
    <x v="1"/>
  </r>
  <r>
    <s v="Pr2149"/>
    <x v="115"/>
    <d v="2025-02-26T00:00:00"/>
    <s v="Lb1046"/>
    <s v="Carlos Ruiz"/>
    <x v="2"/>
    <x v="0"/>
    <x v="9"/>
    <s v="Cien Años De Soledad"/>
    <s v="Gabriel García Márquez"/>
    <s v="Novela"/>
    <n v="2016"/>
    <s v="C-3"/>
    <x v="0"/>
  </r>
  <r>
    <s v="Pr2205"/>
    <x v="121"/>
    <d v="2025-09-21T00:00:00"/>
    <s v="Lb1117"/>
    <s v="Felipe Ramírez"/>
    <x v="4"/>
    <x v="0"/>
    <x v="9"/>
    <s v="1984"/>
    <s v="George Orwell"/>
    <s v="Ciencia Ficción"/>
    <n v="1893"/>
    <s v="C-3"/>
    <x v="0"/>
  </r>
  <r>
    <s v="Pr2306"/>
    <x v="163"/>
    <d v="2025-04-10T00:00:00"/>
    <s v="Lb1108"/>
    <s v="Luisa Fernández"/>
    <x v="3"/>
    <x v="1"/>
    <x v="5"/>
    <s v="La Casa De Los Espíritus"/>
    <s v="Isabel Allende"/>
    <s v="Novela"/>
    <n v="1938"/>
    <s v="Est-1"/>
    <x v="0"/>
  </r>
  <r>
    <s v="Pr2349"/>
    <x v="57"/>
    <d v="2025-05-31T00:00:00"/>
    <s v="Lb1081"/>
    <s v="Jorge Ibáñez"/>
    <x v="2"/>
    <x v="1"/>
    <x v="4"/>
    <s v="Rebelión En La Granja"/>
    <s v="George Orwell"/>
    <s v="Ciencia Ficción"/>
    <n v="1999"/>
    <s v="Est-1"/>
    <x v="1"/>
  </r>
  <r>
    <s v="Pr2414"/>
    <x v="65"/>
    <d v="2025-05-03T00:00:00"/>
    <s v="Lb1176"/>
    <s v="Andrés Díaz"/>
    <x v="3"/>
    <x v="1"/>
    <x v="4"/>
    <s v="Hamlet"/>
    <s v="William Shakespeare"/>
    <s v="Clásicos"/>
    <n v="1880"/>
    <s v="B-2"/>
    <x v="0"/>
  </r>
  <r>
    <s v="Pr2506"/>
    <x v="8"/>
    <d v="2025-11-29T00:00:00"/>
    <s v="Lb1127"/>
    <s v="Juan Pérez"/>
    <x v="2"/>
    <x v="1"/>
    <x v="4"/>
    <s v="El Código Da Vinci"/>
    <s v="Dan Brown"/>
    <s v="Misterio"/>
    <n v="1935"/>
    <s v="A-1"/>
    <x v="1"/>
  </r>
  <r>
    <s v="Pr2586"/>
    <x v="107"/>
    <d v="2025-02-12T00:00:00"/>
    <s v="Lb1081"/>
    <s v="Andrés Gómez"/>
    <x v="3"/>
    <x v="0"/>
    <x v="9"/>
    <s v="Rebelión En La Granja"/>
    <s v="George Orwell"/>
    <s v="Ciencia Ficción"/>
    <n v="1999"/>
    <s v="Est-1"/>
    <x v="1"/>
  </r>
  <r>
    <s v="Pr2593"/>
    <x v="222"/>
    <d v="2025-10-17T00:00:00"/>
    <s v="Lb1146"/>
    <s v="Juan Pérez"/>
    <x v="2"/>
    <x v="2"/>
    <x v="7"/>
    <s v="Macbeth"/>
    <s v="William Shakespeare"/>
    <s v="Clásicos"/>
    <n v="1966"/>
    <s v="No Asignado"/>
    <x v="0"/>
  </r>
  <r>
    <s v="Pr2089"/>
    <x v="223"/>
    <s v="No Asignado"/>
    <s v="Lb1014"/>
    <s v="María López"/>
    <x v="3"/>
    <x v="1"/>
    <x v="1"/>
    <s v="Rayuela"/>
    <s v="Julio Cortázar"/>
    <s v="Novela"/>
    <n v="2018"/>
    <s v="B-2"/>
    <x v="1"/>
  </r>
  <r>
    <s v="Pr2104"/>
    <x v="224"/>
    <d v="2025-03-20T00:00:00"/>
    <s v="Lb1145"/>
    <s v="Sofía Torres"/>
    <x v="2"/>
    <x v="1"/>
    <x v="4"/>
    <s v="La Sombra Del Viento"/>
    <s v="Carlos Ruiz Zafón"/>
    <s v="Misterio"/>
    <n v="1944"/>
    <s v="Est-1"/>
    <x v="0"/>
  </r>
  <r>
    <s v="Pr2175"/>
    <x v="225"/>
    <d v="2025-07-29T00:00:00"/>
    <s v="Lb1055"/>
    <s v="Camila Álvarez"/>
    <x v="4"/>
    <x v="0"/>
    <x v="1"/>
    <s v="La Sombra Del Viento"/>
    <s v="Carlos Ruiz Zafón"/>
    <s v="Misterio"/>
    <n v="2022"/>
    <s v="Est-1"/>
    <x v="0"/>
  </r>
  <r>
    <s v="Pr2300"/>
    <x v="226"/>
    <s v="No Asignado"/>
    <s v="Lb1146"/>
    <s v="Juan Pérez"/>
    <x v="3"/>
    <x v="1"/>
    <x v="1"/>
    <s v="Macbeth"/>
    <s v="William Shakespeare"/>
    <s v="Clásicos"/>
    <n v="1966"/>
    <s v="No Asignado"/>
    <x v="0"/>
  </r>
  <r>
    <s v="Pr2322"/>
    <x v="129"/>
    <d v="2025-03-28T00:00:00"/>
    <s v="Lb1138"/>
    <s v="Andrés Díaz"/>
    <x v="4"/>
    <x v="1"/>
    <x v="1"/>
    <s v="Los Detectives Salvajes"/>
    <s v="Roberto Bolaño"/>
    <s v="Novela"/>
    <n v="1899"/>
    <s v="A-1"/>
    <x v="1"/>
  </r>
  <r>
    <s v="Pr2365"/>
    <x v="51"/>
    <d v="2025-07-01T00:00:00"/>
    <s v="Lb1141"/>
    <s v="Miguel Ángel"/>
    <x v="2"/>
    <x v="0"/>
    <x v="1"/>
    <s v="Matar A Un Ruiseñor"/>
    <s v="Harper Lee"/>
    <s v="Novela"/>
    <n v="1972"/>
    <s v="B-2"/>
    <x v="1"/>
  </r>
  <r>
    <s v="Pr2395"/>
    <x v="179"/>
    <d v="2025-04-06T00:00:00"/>
    <s v="Lb1178"/>
    <s v="Carlos Ruiz"/>
    <x v="3"/>
    <x v="1"/>
    <x v="1"/>
    <s v="Los Detectives Salvajes"/>
    <s v="Roberto Bolaño"/>
    <s v="Novela"/>
    <n v="1914"/>
    <s v="C-3"/>
    <x v="1"/>
  </r>
  <r>
    <s v="Pr2428"/>
    <x v="31"/>
    <d v="2025-09-29T00:00:00"/>
    <s v="Lb1090"/>
    <s v="Miguel Ángel"/>
    <x v="4"/>
    <x v="0"/>
    <x v="1"/>
    <s v="La Ciudad Y Los Perros"/>
    <s v="Mario Vargas Llosa"/>
    <s v="Novela"/>
    <n v="2018"/>
    <s v="Est-1"/>
    <x v="1"/>
  </r>
  <r>
    <s v="Pr2468"/>
    <x v="74"/>
    <d v="2025-04-15T00:00:00"/>
    <s v="Lb1082"/>
    <s v="Felipe Ramírez"/>
    <x v="4"/>
    <x v="0"/>
    <x v="1"/>
    <s v="Los Detectives Salvajes"/>
    <s v="Roberto Bolaño"/>
    <s v="Novela"/>
    <n v="1978"/>
    <s v="Est-1"/>
    <x v="1"/>
  </r>
  <r>
    <s v="Pr2484"/>
    <x v="47"/>
    <d v="2025-07-23T00:00:00"/>
    <s v="Lb1179"/>
    <s v=" Pablo López "/>
    <x v="1"/>
    <x v="0"/>
    <x v="1"/>
    <s v="Orgullo Y Prejuicio"/>
    <s v="Jane Austen"/>
    <s v="Novela"/>
    <n v="2019"/>
    <s v="Est-1"/>
    <x v="1"/>
  </r>
  <r>
    <s v="Pr2517"/>
    <x v="45"/>
    <d v="2025-07-29T00:00:00"/>
    <s v="Lb1315"/>
    <s v="Miguel Ángel"/>
    <x v="2"/>
    <x v="1"/>
    <x v="6"/>
    <s v="Libro No Existe"/>
    <s v="Libro No Existe"/>
    <s v="Libro No Existe"/>
    <s v="Libro No Existe"/>
    <s v="No Existe"/>
    <x v="2"/>
  </r>
  <r>
    <s v="Pr2065"/>
    <x v="227"/>
    <d v="2025-09-27T00:00:00"/>
    <s v="Lb1004"/>
    <s v=" Luisa Fernández "/>
    <x v="3"/>
    <x v="0"/>
    <x v="10"/>
    <s v="Macbeth"/>
    <s v="William Shakespeare"/>
    <s v="Clásicos"/>
    <n v="1955"/>
    <s v="Est-1"/>
    <x v="0"/>
  </r>
  <r>
    <s v="Pr2148"/>
    <x v="200"/>
    <d v="2025-08-08T00:00:00"/>
    <s v="Lb1133"/>
    <s v="Felipe Ramírez"/>
    <x v="4"/>
    <x v="0"/>
    <x v="10"/>
    <s v="Don Quijote De La Mancha"/>
    <s v="Miguel De Cervantes"/>
    <s v="Novela"/>
    <n v="1944"/>
    <s v="B-2"/>
    <x v="0"/>
  </r>
  <r>
    <s v="Pr2202"/>
    <x v="211"/>
    <d v="2025-02-08T00:00:00"/>
    <s v="Lb1179"/>
    <s v="Felipe Ramírez"/>
    <x v="2"/>
    <x v="2"/>
    <x v="7"/>
    <s v="Orgullo Y Prejuicio"/>
    <s v="Jane Austen"/>
    <s v="Novela"/>
    <n v="2019"/>
    <s v="Est-1"/>
    <x v="1"/>
  </r>
  <r>
    <s v="Pr2227"/>
    <x v="228"/>
    <d v="2025-07-31T00:00:00"/>
    <s v="Lb1163"/>
    <s v="Laura Ruiz"/>
    <x v="3"/>
    <x v="2"/>
    <x v="7"/>
    <s v="Pedro Páramo"/>
    <s v="Juan Rulfo"/>
    <s v="Novela"/>
    <n v="1934"/>
    <s v="Est-1"/>
    <x v="0"/>
  </r>
  <r>
    <s v="Pr2270"/>
    <x v="178"/>
    <d v="2025-02-25T00:00:00"/>
    <s v="Lb1182"/>
    <s v="Luisa Fernández"/>
    <x v="3"/>
    <x v="2"/>
    <x v="7"/>
    <s v="Crónica De Una Muerte Anunciada"/>
    <s v="Gabriel García Márquez"/>
    <s v="Novela"/>
    <n v="1957"/>
    <s v="Est-1"/>
    <x v="0"/>
  </r>
  <r>
    <s v="Pr2409"/>
    <x v="129"/>
    <d v="2025-03-25T00:00:00"/>
    <s v="Lb1134"/>
    <s v="Sofía Torres"/>
    <x v="3"/>
    <x v="1"/>
    <x v="4"/>
    <s v="La Odisea"/>
    <s v="Homero"/>
    <s v="Clásicos"/>
    <n v="1978"/>
    <s v="A-1"/>
    <x v="1"/>
  </r>
  <r>
    <s v="Pr2538"/>
    <x v="80"/>
    <d v="2025-03-31T00:00:00"/>
    <s v="Lb1075"/>
    <s v="Carlos Ruiz"/>
    <x v="1"/>
    <x v="0"/>
    <x v="10"/>
    <s v="Matar A Un Ruiseñor"/>
    <s v="Harper Lee"/>
    <s v="Novela"/>
    <n v="1939"/>
    <s v="No Asignado"/>
    <x v="1"/>
  </r>
  <r>
    <s v="Pr2032"/>
    <x v="201"/>
    <d v="2025-11-14T00:00:00"/>
    <s v="Lb1038"/>
    <s v="Juan Pérez"/>
    <x v="1"/>
    <x v="0"/>
    <x v="2"/>
    <s v="La Iliada"/>
    <s v="Homero"/>
    <s v="Clásicos"/>
    <n v="1940"/>
    <s v="B-2"/>
    <x v="1"/>
  </r>
  <r>
    <s v="Pr2074"/>
    <x v="73"/>
    <d v="2025-04-18T00:00:00"/>
    <s v="Lb1005"/>
    <s v="Pedro Sánchez"/>
    <x v="4"/>
    <x v="0"/>
    <x v="2"/>
    <s v="Hamlet"/>
    <s v="William Shakespeare"/>
    <s v="Clásicos"/>
    <n v="1905"/>
    <s v="B-2"/>
    <x v="0"/>
  </r>
  <r>
    <s v="Pr2232"/>
    <x v="201"/>
    <d v="2025-11-14T00:00:00"/>
    <s v="Lb1096"/>
    <s v="Noelia Martín"/>
    <x v="0"/>
    <x v="0"/>
    <x v="2"/>
    <s v="Orgullo Y Prejuicio"/>
    <s v="Jane Austen"/>
    <s v="Novela"/>
    <n v="2013"/>
    <s v="Est-1"/>
    <x v="0"/>
  </r>
  <r>
    <s v="Pr2269"/>
    <x v="8"/>
    <s v="No Asignado"/>
    <s v="Lb1090"/>
    <s v="Laura Ruiz"/>
    <x v="3"/>
    <x v="1"/>
    <x v="1"/>
    <s v="La Ciudad Y Los Perros"/>
    <s v="Mario Vargas Llosa"/>
    <s v="Novela"/>
    <n v="2018"/>
    <s v="Est-1"/>
    <x v="1"/>
  </r>
  <r>
    <s v="Pr2358"/>
    <x v="171"/>
    <d v="2025-06-27T00:00:00"/>
    <s v="Lb1011"/>
    <s v="Camila Álvarez"/>
    <x v="3"/>
    <x v="0"/>
    <x v="2"/>
    <s v="La Iliada"/>
    <s v="Homero"/>
    <s v="Clásicos"/>
    <n v="1947"/>
    <s v="A-1"/>
    <x v="0"/>
  </r>
  <r>
    <s v="Pr2390"/>
    <x v="65"/>
    <d v="2025-05-08T00:00:00"/>
    <s v="Lb1140"/>
    <s v="Noelia Martín"/>
    <x v="4"/>
    <x v="0"/>
    <x v="2"/>
    <s v="El Principito"/>
    <s v="Antoine De Saint-Exupéry"/>
    <s v="Literatura Infantil / Fábula Filosófica"/>
    <n v="1993"/>
    <s v="C-3"/>
    <x v="0"/>
  </r>
  <r>
    <s v="Pr2418"/>
    <x v="71"/>
    <d v="2025-04-20T00:00:00"/>
    <s v="Lb1032"/>
    <s v="Luisa Fernández"/>
    <x v="3"/>
    <x v="1"/>
    <x v="6"/>
    <s v="Los Detectives Salvajes"/>
    <s v="Roberto Bolaño"/>
    <s v="Novela"/>
    <n v="1897"/>
    <s v="B-2"/>
    <x v="1"/>
  </r>
  <r>
    <s v="Pr2450"/>
    <x v="229"/>
    <d v="2025-01-26T00:00:00"/>
    <s v="Lb1079"/>
    <s v="Valentina Mora"/>
    <x v="3"/>
    <x v="0"/>
    <x v="2"/>
    <s v="Crónica De Una Muerte Anunciada"/>
    <s v="Gabriel García Márquez"/>
    <s v="Novela"/>
    <n v="1956"/>
    <s v="A-1"/>
    <x v="0"/>
  </r>
  <r>
    <s v="Pr2489"/>
    <x v="132"/>
    <d v="2025-09-04T00:00:00"/>
    <s v="Lb1114"/>
    <s v="Ana Gómez"/>
    <x v="2"/>
    <x v="1"/>
    <x v="4"/>
    <s v="Rebelión En La Granja"/>
    <s v="George Orwell"/>
    <s v="Ciencia Ficción"/>
    <n v="1995"/>
    <s v="A-1"/>
    <x v="0"/>
  </r>
  <r>
    <s v="Pr2491"/>
    <x v="197"/>
    <d v="2025-05-29T00:00:00"/>
    <s v="Lb1094"/>
    <s v="Carolina Rojas"/>
    <x v="1"/>
    <x v="1"/>
    <x v="1"/>
    <s v="La Casa De Los Espíritus"/>
    <s v="Isabel Allende"/>
    <s v="Novela"/>
    <n v="1924"/>
    <s v="A-1"/>
    <x v="0"/>
  </r>
  <r>
    <s v="Pr2022"/>
    <x v="51"/>
    <d v="2025-07-01T00:00:00"/>
    <s v="Lb1185"/>
    <s v="Laura Ruiz"/>
    <x v="4"/>
    <x v="1"/>
    <x v="1"/>
    <s v="Breve Historia Del Tiempo"/>
    <s v="Stephen Hawking"/>
    <s v="Divulgación Científica / Cosmología"/>
    <n v="1945"/>
    <s v="C-3"/>
    <x v="1"/>
  </r>
  <r>
    <s v="Pr2059"/>
    <x v="213"/>
    <d v="2025-07-12T00:00:00"/>
    <s v="Lb1054"/>
    <s v="Valentina Mora"/>
    <x v="2"/>
    <x v="1"/>
    <x v="5"/>
    <s v="La Casa De Los Espíritus"/>
    <s v="Isabel Allende"/>
    <s v="Novela"/>
    <n v="1977"/>
    <s v="A-1"/>
    <x v="0"/>
  </r>
  <r>
    <s v="Pr2087"/>
    <x v="84"/>
    <d v="2025-03-13T00:00:00"/>
    <s v="Lb1061"/>
    <s v="Pablo López"/>
    <x v="2"/>
    <x v="1"/>
    <x v="1"/>
    <s v="El Túnel"/>
    <s v="Ernesto Sabato"/>
    <s v="Novela"/>
    <n v="1943"/>
    <s v="Est-1"/>
    <x v="1"/>
  </r>
  <r>
    <s v="Pr2096"/>
    <x v="230"/>
    <d v="2025-12-12T00:00:00"/>
    <s v="Lb1058"/>
    <s v="Jorge Ibáñez"/>
    <x v="2"/>
    <x v="1"/>
    <x v="0"/>
    <s v="Crónica De Una Muerte Anunciada"/>
    <s v="Gabriel García Márquez"/>
    <s v="Novela"/>
    <n v="1929"/>
    <s v="Est-1"/>
    <x v="0"/>
  </r>
  <r>
    <s v="Pr2156"/>
    <x v="231"/>
    <d v="2025-07-12T00:00:00"/>
    <s v="Lb1041"/>
    <s v="María López"/>
    <x v="3"/>
    <x v="2"/>
    <x v="7"/>
    <s v="La Ciudad Y Los Perros"/>
    <s v="Mario Vargas Llosa"/>
    <s v="Novela"/>
    <n v="2009"/>
    <s v="Est-1"/>
    <x v="1"/>
  </r>
  <r>
    <s v="Pr2184"/>
    <x v="232"/>
    <d v="2025-05-23T00:00:00"/>
    <s v="Lb1327"/>
    <s v="Valentina Mora"/>
    <x v="3"/>
    <x v="1"/>
    <x v="5"/>
    <s v="Libro No Existe"/>
    <s v="Libro No Existe"/>
    <s v="Libro No Existe"/>
    <s v="Libro No Existe"/>
    <s v="No Existe"/>
    <x v="2"/>
  </r>
  <r>
    <s v="Pr2334"/>
    <x v="45"/>
    <d v="2025-08-03T00:00:00"/>
    <s v="Lb1159"/>
    <s v="Sofía Torres"/>
    <x v="3"/>
    <x v="2"/>
    <x v="7"/>
    <s v="El Principito"/>
    <s v="Antoine De Saint-Exupéry"/>
    <s v="Literatura Infantil / Fábula Filosófica"/>
    <n v="2000"/>
    <s v="A-1"/>
    <x v="1"/>
  </r>
  <r>
    <s v="Pr2351"/>
    <x v="128"/>
    <d v="2025-11-07T00:00:00"/>
    <s v="Lb1111"/>
    <s v="Andrés Díaz"/>
    <x v="3"/>
    <x v="0"/>
    <x v="11"/>
    <s v="Matadero Cinco"/>
    <s v="Kurt Vonnegut"/>
    <s v="Ciencia Ficción"/>
    <n v="1923"/>
    <s v="Est-1"/>
    <x v="1"/>
  </r>
  <r>
    <s v="Pr2445"/>
    <x v="64"/>
    <d v="2025-05-11T00:00:00"/>
    <s v="Lb1113"/>
    <s v="Andrés Díaz"/>
    <x v="4"/>
    <x v="0"/>
    <x v="11"/>
    <s v="1984"/>
    <s v="George Orwell"/>
    <s v="Ciencia Ficción"/>
    <n v="1962"/>
    <s v="C-3"/>
    <x v="0"/>
  </r>
  <r>
    <s v="Pr2001"/>
    <x v="2"/>
    <d v="2025-12-08T00:00:00"/>
    <s v="Lb1058"/>
    <s v="Diego Gómez"/>
    <x v="2"/>
    <x v="1"/>
    <x v="4"/>
    <s v="Crónica De Una Muerte Anunciada"/>
    <s v="Gabriel García Márquez"/>
    <s v="Novela"/>
    <n v="1929"/>
    <s v="Est-1"/>
    <x v="0"/>
  </r>
  <r>
    <s v="Pr2030"/>
    <x v="135"/>
    <d v="2025-10-11T00:00:00"/>
    <s v="Lb1075"/>
    <s v="Andrés Gómez"/>
    <x v="4"/>
    <x v="1"/>
    <x v="1"/>
    <s v="Matar A Un Ruiseñor"/>
    <s v="Harper Lee"/>
    <s v="Novela"/>
    <n v="1939"/>
    <s v="No Asignado"/>
    <x v="1"/>
  </r>
  <r>
    <s v="Pr2055"/>
    <x v="233"/>
    <d v="2025-05-24T00:00:00"/>
    <s v="Lb1027"/>
    <s v="Andrés Gómez"/>
    <x v="2"/>
    <x v="1"/>
    <x v="5"/>
    <s v="Don Quijote De La Mancha"/>
    <s v="Miguel De Cervantes"/>
    <s v="Novela"/>
    <n v="1947"/>
    <s v="Est-1"/>
    <x v="1"/>
  </r>
  <r>
    <s v="Pr2097"/>
    <x v="28"/>
    <d v="2025-10-13T00:00:00"/>
    <s v="Lb1039"/>
    <s v="Jorge Ibáñez"/>
    <x v="4"/>
    <x v="2"/>
    <x v="7"/>
    <s v="Rayuela"/>
    <s v="Julio Cortázar"/>
    <s v="Novela"/>
    <n v="1986"/>
    <s v="Est-1"/>
    <x v="1"/>
  </r>
  <r>
    <s v="Pr2219"/>
    <x v="69"/>
    <d v="2025-04-29T00:00:00"/>
    <s v="Lb1053"/>
    <s v="Carlos Ruiz"/>
    <x v="2"/>
    <x v="0"/>
    <x v="12"/>
    <s v="La Tregua"/>
    <s v="Mario Benedetti"/>
    <s v="Novela"/>
    <n v="2003"/>
    <s v="C-3"/>
    <x v="0"/>
  </r>
  <r>
    <s v="Pr2242"/>
    <x v="234"/>
    <d v="2025-06-12T00:00:00"/>
    <s v="Lb1345"/>
    <s v="Camila Álvarez"/>
    <x v="4"/>
    <x v="2"/>
    <x v="7"/>
    <s v="Libro No Existe"/>
    <s v="Libro No Existe"/>
    <s v="Libro No Existe"/>
    <s v="Libro No Existe"/>
    <s v="No Existe"/>
    <x v="2"/>
  </r>
  <r>
    <s v="Pr2325"/>
    <x v="155"/>
    <d v="2025-06-14T00:00:00"/>
    <s v="Lb1044"/>
    <s v="Andrés Gómez"/>
    <x v="2"/>
    <x v="2"/>
    <x v="7"/>
    <s v="Matadero Cinco"/>
    <s v="Kurt Vonnegut"/>
    <s v="Ciencia Ficción"/>
    <n v="1977"/>
    <s v="A-1"/>
    <x v="0"/>
  </r>
  <r>
    <s v="Pr2340"/>
    <x v="79"/>
    <d v="2025-04-05T00:00:00"/>
    <s v="Lb1174"/>
    <s v="Ana Gómez"/>
    <x v="3"/>
    <x v="0"/>
    <x v="12"/>
    <s v="Orgullo Y Prejuicio"/>
    <s v="Jane Austen"/>
    <s v="Novela"/>
    <n v="2009"/>
    <s v="Est-1"/>
    <x v="1"/>
  </r>
  <r>
    <s v="Pr2404"/>
    <x v="235"/>
    <d v="2025-08-09T00:00:00"/>
    <s v="Lb1096"/>
    <s v="Felipe Ramírez"/>
    <x v="2"/>
    <x v="0"/>
    <x v="12"/>
    <s v="Orgullo Y Prejuicio"/>
    <s v="Jane Austen"/>
    <s v="Novela"/>
    <n v="2013"/>
    <s v="Est-1"/>
    <x v="0"/>
  </r>
  <r>
    <s v="Pr2464"/>
    <x v="25"/>
    <d v="2025-10-13T00:00:00"/>
    <s v="Lb1108"/>
    <s v="Sofía Torres"/>
    <x v="3"/>
    <x v="1"/>
    <x v="6"/>
    <s v="La Casa De Los Espíritus"/>
    <s v="Isabel Allende"/>
    <s v="Novela"/>
    <n v="1938"/>
    <s v="Est-1"/>
    <x v="0"/>
  </r>
  <r>
    <s v="Pr2502"/>
    <x v="166"/>
    <d v="2025-06-22T00:00:00"/>
    <s v="Lb1002"/>
    <s v="Jorge Ibáñez"/>
    <x v="2"/>
    <x v="2"/>
    <x v="7"/>
    <s v="El Amor En Los Tiempos Del Cólera"/>
    <s v="Gabriel García Márquez"/>
    <s v="Novela"/>
    <n v="1936"/>
    <s v="Est-1"/>
    <x v="0"/>
  </r>
  <r>
    <s v="Pr2533"/>
    <x v="236"/>
    <d v="2025-08-06T00:00:00"/>
    <s v="Lb1037"/>
    <s v="Ana Gómez"/>
    <x v="3"/>
    <x v="0"/>
    <x v="12"/>
    <s v="Pedro Páramo"/>
    <s v="Juan Rulfo"/>
    <s v="Novela"/>
    <n v="1934"/>
    <s v="Est-1"/>
    <x v="1"/>
  </r>
  <r>
    <s v="Pr2081"/>
    <x v="20"/>
    <d v="2025-10-31T00:00:00"/>
    <s v="Lb1005"/>
    <s v="Valentina Mora"/>
    <x v="3"/>
    <x v="0"/>
    <x v="5"/>
    <s v="Hamlet"/>
    <s v="William Shakespeare"/>
    <s v="Clásicos"/>
    <n v="1905"/>
    <s v="B-2"/>
    <x v="0"/>
  </r>
  <r>
    <s v="Pr2161"/>
    <x v="65"/>
    <s v="No Asignado"/>
    <s v="Lb1049"/>
    <s v="Juan Pérez"/>
    <x v="4"/>
    <x v="1"/>
    <x v="1"/>
    <s v="El Código Da Vinci"/>
    <s v="Dan Brown"/>
    <s v="Misterio"/>
    <n v="1935"/>
    <s v="B-2"/>
    <x v="1"/>
  </r>
  <r>
    <s v="Pr2162"/>
    <x v="237"/>
    <d v="2025-06-09T00:00:00"/>
    <s v="Lb1187"/>
    <s v="Carlos Ruiz"/>
    <x v="0"/>
    <x v="0"/>
    <x v="5"/>
    <s v="Rebelión En La Granja"/>
    <s v="George Orwell"/>
    <s v="Ciencia Ficción"/>
    <n v="1910"/>
    <s v="Est-1"/>
    <x v="1"/>
  </r>
  <r>
    <s v="Pr2201"/>
    <x v="7"/>
    <d v="2025-12-08T00:00:00"/>
    <s v="Lb1196"/>
    <s v="Jorge Ibáñez"/>
    <x v="4"/>
    <x v="2"/>
    <x v="7"/>
    <s v="El Amor En Los Tiempos Del Cólera"/>
    <s v="Gabriel García Márquez"/>
    <s v="Novela"/>
    <n v="1991"/>
    <s v="C-3"/>
    <x v="0"/>
  </r>
  <r>
    <s v="Pr2206"/>
    <x v="58"/>
    <d v="2025-05-28T00:00:00"/>
    <s v="Lb1104"/>
    <s v="Carlos Ruiz"/>
    <x v="3"/>
    <x v="1"/>
    <x v="1"/>
    <s v="La Casa De Los Espíritus"/>
    <s v="Isabel Allende"/>
    <s v="Novela"/>
    <n v="1887"/>
    <s v="Est-1"/>
    <x v="1"/>
  </r>
  <r>
    <s v="Pr2356"/>
    <x v="179"/>
    <d v="2025-04-03T00:00:00"/>
    <s v="Lb1079"/>
    <s v="Miguel Ángel"/>
    <x v="4"/>
    <x v="1"/>
    <x v="4"/>
    <s v="Crónica De Una Muerte Anunciada"/>
    <s v="Gabriel García Márquez"/>
    <s v="Novela"/>
    <n v="1956"/>
    <s v="A-1"/>
    <x v="0"/>
  </r>
  <r>
    <s v="Pr2561"/>
    <x v="238"/>
    <d v="2025-05-28T00:00:00"/>
    <s v="Lb1144"/>
    <s v=" Luisa Fernández "/>
    <x v="2"/>
    <x v="2"/>
    <x v="7"/>
    <s v="Rayuela"/>
    <s v="Julio Cortázar"/>
    <s v="Novela"/>
    <n v="1894"/>
    <s v="A-1"/>
    <x v="0"/>
  </r>
  <r>
    <s v="Pr2580"/>
    <x v="87"/>
    <d v="2025-03-07T00:00:00"/>
    <s v="Lb1167"/>
    <s v="Miguel Ángel"/>
    <x v="4"/>
    <x v="1"/>
    <x v="1"/>
    <s v="Don Quijote De La Mancha"/>
    <s v="Miguel De Cervantes"/>
    <s v="Novela"/>
    <n v="1889"/>
    <s v="B-2"/>
    <x v="0"/>
  </r>
  <r>
    <s v="Pr2592"/>
    <x v="138"/>
    <d v="2025-03-08T00:00:00"/>
    <s v="Lb1157"/>
    <s v="María López"/>
    <x v="3"/>
    <x v="1"/>
    <x v="0"/>
    <s v="Rebelión En La Granja"/>
    <s v="George Orwell"/>
    <s v="Ciencia Ficción"/>
    <n v="1886"/>
    <s v="Est-1"/>
    <x v="1"/>
  </r>
  <r>
    <s v="Pr2029"/>
    <x v="163"/>
    <d v="2025-04-05T00:00:00"/>
    <s v="Lb1107"/>
    <s v="Valentina Mora"/>
    <x v="4"/>
    <x v="1"/>
    <x v="1"/>
    <s v="Orgullo Y Prejuicio"/>
    <s v="Jane Austen"/>
    <s v="Novela"/>
    <n v="1934"/>
    <s v="A-1"/>
    <x v="0"/>
  </r>
  <r>
    <s v="Pr2031"/>
    <x v="47"/>
    <d v="2025-07-29T00:00:00"/>
    <s v="Lb1008"/>
    <s v="Laura Ruiz"/>
    <x v="3"/>
    <x v="2"/>
    <x v="7"/>
    <s v="Ficciones"/>
    <s v="Jorge Luis Borges"/>
    <s v="Cuentos / Fantasía Metafísica"/>
    <n v="1997"/>
    <s v="B-2"/>
    <x v="0"/>
  </r>
  <r>
    <s v="Pr2043"/>
    <x v="239"/>
    <d v="2025-10-10T00:00:00"/>
    <s v="Lb1080"/>
    <s v="Sofía Torres"/>
    <x v="4"/>
    <x v="0"/>
    <x v="13"/>
    <s v="Pedro Páramo"/>
    <s v="Juan Rulfo"/>
    <s v="Novela"/>
    <n v="1924"/>
    <s v="Est-1"/>
    <x v="1"/>
  </r>
  <r>
    <s v="Pr2088"/>
    <x v="240"/>
    <d v="2025-04-02T00:00:00"/>
    <s v="Lb1072"/>
    <s v="Luisa Fernández"/>
    <x v="1"/>
    <x v="1"/>
    <x v="6"/>
    <s v="El Amor En Los Tiempos Del Cólera"/>
    <s v="Gabriel García Márquez"/>
    <s v="Novela"/>
    <n v="1954"/>
    <s v="B-2"/>
    <x v="1"/>
  </r>
  <r>
    <s v="Pr2124"/>
    <x v="159"/>
    <d v="2025-10-05T00:00:00"/>
    <s v="Lb1127"/>
    <s v="Diego Gómez"/>
    <x v="1"/>
    <x v="1"/>
    <x v="6"/>
    <s v="El Código Da Vinci"/>
    <s v="Dan Brown"/>
    <s v="Misterio"/>
    <n v="1935"/>
    <s v="A-1"/>
    <x v="1"/>
  </r>
  <r>
    <s v="Pr2379"/>
    <x v="241"/>
    <d v="2025-05-08T00:00:00"/>
    <s v="Lb1093"/>
    <s v="Pablo López"/>
    <x v="3"/>
    <x v="0"/>
    <x v="13"/>
    <s v="Don Quijote De La Mancha"/>
    <s v="Miguel De Cervantes"/>
    <s v="Novela"/>
    <n v="1933"/>
    <s v="B-2"/>
    <x v="1"/>
  </r>
  <r>
    <s v="Pr2385"/>
    <x v="128"/>
    <d v="2025-11-10T00:00:00"/>
    <s v="Lb1064"/>
    <s v="Camila Álvarez"/>
    <x v="3"/>
    <x v="2"/>
    <x v="7"/>
    <s v="Crónica De Una Muerte Anunciada"/>
    <s v="Gabriel García Márquez"/>
    <s v="Novela"/>
    <n v="1930"/>
    <s v="A-1"/>
    <x v="1"/>
  </r>
  <r>
    <s v="Pr2391"/>
    <x v="242"/>
    <d v="2025-06-01T00:00:00"/>
    <s v="Lb1098"/>
    <s v="Carlos Ruiz"/>
    <x v="3"/>
    <x v="1"/>
    <x v="0"/>
    <s v="Ficciones"/>
    <s v="Jorge Luis Borges"/>
    <s v="Cuentos / Fantasía Metafísica"/>
    <n v="1990"/>
    <s v="A-1"/>
    <x v="1"/>
  </r>
  <r>
    <s v="Pr2396"/>
    <x v="75"/>
    <d v="2025-04-18T00:00:00"/>
    <s v="Lb1033"/>
    <s v="Ana Gómez"/>
    <x v="1"/>
    <x v="1"/>
    <x v="5"/>
    <s v="La Iliada"/>
    <s v="Homero"/>
    <s v="Clásicos"/>
    <n v="1947"/>
    <s v="A-1"/>
    <x v="0"/>
  </r>
  <r>
    <s v="Pr2427"/>
    <x v="216"/>
    <d v="2025-05-29T00:00:00"/>
    <s v="Lb1111"/>
    <s v="Andrés Díaz"/>
    <x v="2"/>
    <x v="1"/>
    <x v="6"/>
    <s v="Matadero Cinco"/>
    <s v="Kurt Vonnegut"/>
    <s v="Ciencia Ficción"/>
    <n v="1923"/>
    <s v="Est-1"/>
    <x v="1"/>
  </r>
  <r>
    <s v="Pr2436"/>
    <x v="8"/>
    <d v="2025-12-08T00:00:00"/>
    <s v="Lb1005"/>
    <s v="Sofía Torres"/>
    <x v="3"/>
    <x v="0"/>
    <x v="13"/>
    <s v="Hamlet"/>
    <s v="William Shakespeare"/>
    <s v="Clásicos"/>
    <n v="1905"/>
    <s v="B-2"/>
    <x v="0"/>
  </r>
  <r>
    <s v="Pr2455"/>
    <x v="243"/>
    <d v="2025-07-13T00:00:00"/>
    <s v="Lb1097"/>
    <s v="Carlos Ruiz"/>
    <x v="2"/>
    <x v="1"/>
    <x v="4"/>
    <s v="Don Quijote De La Mancha"/>
    <s v="Miguel De Cervantes"/>
    <s v="Novela"/>
    <n v="1900"/>
    <s v="Est-1"/>
    <x v="1"/>
  </r>
  <r>
    <s v="Pr2501"/>
    <x v="231"/>
    <d v="2025-07-06T00:00:00"/>
    <s v="Lb1071"/>
    <s v="Miguel Ángel"/>
    <x v="4"/>
    <x v="1"/>
    <x v="4"/>
    <s v="Pedro Páramo"/>
    <s v="Juan Rulfo"/>
    <s v="Novela"/>
    <n v="1920"/>
    <s v="No Asignado"/>
    <x v="1"/>
  </r>
  <r>
    <s v="Pr2514"/>
    <x v="152"/>
    <d v="2025-07-23T00:00:00"/>
    <s v="Lb1188"/>
    <s v="Ana Gómez"/>
    <x v="2"/>
    <x v="0"/>
    <x v="13"/>
    <s v="El Túnel"/>
    <s v="Ernesto Sabato"/>
    <s v="Novela"/>
    <n v="1972"/>
    <s v="Est-1"/>
    <x v="1"/>
  </r>
  <r>
    <s v="Pr2548"/>
    <x v="45"/>
    <d v="2025-08-06T00:00:00"/>
    <s v="Lb1088"/>
    <s v="Pablo López"/>
    <x v="4"/>
    <x v="0"/>
    <x v="13"/>
    <s v="Ficciones"/>
    <s v="Jorge Luis Borges"/>
    <s v="Cuentos / Fantasía Metafísica"/>
    <n v="1939"/>
    <s v="A-1"/>
    <x v="0"/>
  </r>
  <r>
    <s v="Pr2552"/>
    <x v="85"/>
    <d v="2025-03-15T00:00:00"/>
    <s v="Lb1158"/>
    <s v="Carlos Ruiz"/>
    <x v="2"/>
    <x v="2"/>
    <x v="7"/>
    <s v="El Aleph"/>
    <s v="Jorge Luis Borges"/>
    <s v="Cuentos / Fantasía Metafísica"/>
    <n v="1977"/>
    <s v="No Asignado"/>
    <x v="0"/>
  </r>
  <r>
    <s v="Pr2575"/>
    <x v="124"/>
    <d v="2025-09-26T00:00:00"/>
    <s v="Lb1018"/>
    <s v="Jorge Ibáñez"/>
    <x v="4"/>
    <x v="0"/>
    <x v="13"/>
    <s v="Don Quijote De La Mancha"/>
    <s v="Miguel De Cervantes"/>
    <s v="Novela"/>
    <n v="1926"/>
    <s v="Est-1"/>
    <x v="0"/>
  </r>
  <r>
    <s v="Pr2594"/>
    <x v="162"/>
    <d v="2025-10-26T00:00:00"/>
    <s v="Lb1162"/>
    <s v="Ana Gómez"/>
    <x v="2"/>
    <x v="2"/>
    <x v="7"/>
    <s v="Matar A Un Ruiseñor"/>
    <s v="Harper Lee"/>
    <s v="Novela"/>
    <n v="1981"/>
    <s v="C-3"/>
    <x v="1"/>
  </r>
  <r>
    <s v="Pr2002"/>
    <x v="111"/>
    <d v="2025-09-05T00:00:00"/>
    <s v="Lb1143"/>
    <s v="Felipe Ramírez"/>
    <x v="3"/>
    <x v="0"/>
    <x v="14"/>
    <s v="Pedro Páramo"/>
    <s v="Juan Rulfo"/>
    <s v="Novela"/>
    <n v="1912"/>
    <s v="A-1"/>
    <x v="0"/>
  </r>
  <r>
    <s v="Pr2010"/>
    <x v="143"/>
    <s v="No Asignado"/>
    <s v="Lb1106"/>
    <s v="Miguel Ángel"/>
    <x v="4"/>
    <x v="1"/>
    <x v="1"/>
    <s v="Ficciones"/>
    <s v="Jorge Luis Borges"/>
    <s v="Cuentos / Fantasía Metafísica"/>
    <n v="1990"/>
    <s v="B-2"/>
    <x v="1"/>
  </r>
  <r>
    <s v="Pr2128"/>
    <x v="30"/>
    <s v="No Asignado"/>
    <s v="Lb1065"/>
    <s v="Laura Ruiz"/>
    <x v="0"/>
    <x v="1"/>
    <x v="1"/>
    <s v="Ficciones"/>
    <s v="Jorge Luis Borges"/>
    <s v="Cuentos / Fantasía Metafísica"/>
    <n v="1953"/>
    <s v="A-1"/>
    <x v="0"/>
  </r>
  <r>
    <s v="Pr2249"/>
    <x v="163"/>
    <d v="2025-04-12T00:00:00"/>
    <s v="Lb1035"/>
    <s v="Valentina Mora"/>
    <x v="2"/>
    <x v="2"/>
    <x v="7"/>
    <s v="Los Detectives Salvajes"/>
    <s v="Roberto Bolaño"/>
    <s v="Novela"/>
    <n v="1956"/>
    <s v="B-2"/>
    <x v="0"/>
  </r>
  <r>
    <s v="Pr2260"/>
    <x v="163"/>
    <d v="2025-04-12T00:00:00"/>
    <s v="Lb1094"/>
    <s v="Diego Gómez"/>
    <x v="2"/>
    <x v="0"/>
    <x v="14"/>
    <s v="La Casa De Los Espíritus"/>
    <s v="Isabel Allende"/>
    <s v="Novela"/>
    <n v="1924"/>
    <s v="A-1"/>
    <x v="0"/>
  </r>
  <r>
    <s v="Pr2327"/>
    <x v="240"/>
    <d v="2025-04-02T00:00:00"/>
    <s v="Lb1111"/>
    <s v="Juan Pérez"/>
    <x v="4"/>
    <x v="1"/>
    <x v="6"/>
    <s v="Matadero Cinco"/>
    <s v="Kurt Vonnegut"/>
    <s v="Ciencia Ficción"/>
    <n v="1923"/>
    <s v="Est-1"/>
    <x v="1"/>
  </r>
  <r>
    <s v="Pr2366"/>
    <x v="26"/>
    <d v="2025-10-13T00:00:00"/>
    <s v="Lb1175"/>
    <s v="María López"/>
    <x v="0"/>
    <x v="1"/>
    <x v="1"/>
    <s v="La Casa De Los Espíritus"/>
    <s v="Isabel Allende"/>
    <s v="Novela"/>
    <n v="1894"/>
    <s v="A-1"/>
    <x v="1"/>
  </r>
  <r>
    <s v="Pr2387"/>
    <x v="244"/>
    <s v="No Asignado"/>
    <s v="Lb1127"/>
    <s v="Pedro Sánchez"/>
    <x v="4"/>
    <x v="1"/>
    <x v="1"/>
    <s v="El Código Da Vinci"/>
    <s v="Dan Brown"/>
    <s v="Misterio"/>
    <n v="1935"/>
    <s v="A-1"/>
    <x v="1"/>
  </r>
  <r>
    <s v="Pr2443"/>
    <x v="103"/>
    <d v="2025-06-27T00:00:00"/>
    <s v="Lb1044"/>
    <s v="Miguel Ángel"/>
    <x v="2"/>
    <x v="0"/>
    <x v="14"/>
    <s v="Matadero Cinco"/>
    <s v="Kurt Vonnegut"/>
    <s v="Ciencia Ficción"/>
    <n v="1977"/>
    <s v="A-1"/>
    <x v="0"/>
  </r>
  <r>
    <s v="Pr2017"/>
    <x v="191"/>
    <s v="No Asignado"/>
    <s v="Lb1073"/>
    <s v="Laura Ruiz"/>
    <x v="4"/>
    <x v="1"/>
    <x v="1"/>
    <s v="Rebelión En La Granja"/>
    <s v="George Orwell"/>
    <s v="Ciencia Ficción"/>
    <n v="1897"/>
    <s v="C-3"/>
    <x v="0"/>
  </r>
  <r>
    <s v="Pr2062"/>
    <x v="34"/>
    <d v="2025-09-22T00:00:00"/>
    <s v="Lb1049"/>
    <s v="Ana Gómez"/>
    <x v="3"/>
    <x v="0"/>
    <x v="15"/>
    <s v="El Código Da Vinci"/>
    <s v="Dan Brown"/>
    <s v="Misterio"/>
    <n v="1935"/>
    <s v="B-2"/>
    <x v="1"/>
  </r>
  <r>
    <s v="Pr2071"/>
    <x v="53"/>
    <d v="2025-07-02T00:00:00"/>
    <s v="Lb1081"/>
    <s v="Luisa Fernández"/>
    <x v="3"/>
    <x v="0"/>
    <x v="15"/>
    <s v="Rebelión En La Granja"/>
    <s v="George Orwell"/>
    <s v="Ciencia Ficción"/>
    <n v="1999"/>
    <s v="Est-1"/>
    <x v="1"/>
  </r>
  <r>
    <s v="Pr2122"/>
    <x v="25"/>
    <d v="2025-10-23T00:00:00"/>
    <s v="Lb1183"/>
    <s v="Miguel Ángel"/>
    <x v="2"/>
    <x v="0"/>
    <x v="15"/>
    <s v="Ficciones"/>
    <s v="Jorge Luis Borges"/>
    <s v="Cuentos / Fantasía Metafísica"/>
    <n v="2022"/>
    <s v="A-1"/>
    <x v="1"/>
  </r>
  <r>
    <s v="Pr2170"/>
    <x v="22"/>
    <d v="2025-11-01T00:00:00"/>
    <s v="Lb1062"/>
    <s v="Juan Pérez"/>
    <x v="1"/>
    <x v="0"/>
    <x v="15"/>
    <s v="Sobre La Felicidad"/>
    <s v="Lucio Anneo Séneca"/>
    <s v="Filosofía Y Pensamiento"/>
    <n v="1895"/>
    <s v="A-1"/>
    <x v="1"/>
  </r>
  <r>
    <s v="Pr2421"/>
    <x v="245"/>
    <d v="2025-09-18T00:00:00"/>
    <s v="Lb1144"/>
    <s v="Pablo López"/>
    <x v="4"/>
    <x v="1"/>
    <x v="1"/>
    <s v="Rayuela"/>
    <s v="Julio Cortázar"/>
    <s v="Novela"/>
    <n v="1894"/>
    <s v="A-1"/>
    <x v="0"/>
  </r>
  <r>
    <s v="Pr2493"/>
    <x v="106"/>
    <d v="2025-09-09T00:00:00"/>
    <s v="Lb1196"/>
    <s v="Felipe Ramírez"/>
    <x v="2"/>
    <x v="1"/>
    <x v="5"/>
    <s v="El Amor En Los Tiempos Del Cólera"/>
    <s v="Gabriel García Márquez"/>
    <s v="Novela"/>
    <n v="1991"/>
    <s v="C-3"/>
    <x v="0"/>
  </r>
  <r>
    <s v="Pr2588"/>
    <x v="47"/>
    <d v="2025-07-21T00:00:00"/>
    <s v="Lb1080"/>
    <s v="Camila Álvarez"/>
    <x v="1"/>
    <x v="1"/>
    <x v="6"/>
    <s v="Pedro Páramo"/>
    <s v="Juan Rulfo"/>
    <s v="Novela"/>
    <n v="1924"/>
    <s v="Est-1"/>
    <x v="1"/>
  </r>
  <r>
    <s v="Pr2058"/>
    <x v="23"/>
    <d v="2025-10-31T00:00:00"/>
    <s v="Lb1015"/>
    <s v="María López"/>
    <x v="3"/>
    <x v="0"/>
    <x v="16"/>
    <s v="La Iliada"/>
    <s v="Homero"/>
    <s v="Clásicos"/>
    <n v="2021"/>
    <s v="Est-1"/>
    <x v="0"/>
  </r>
  <r>
    <s v="Pr2138"/>
    <x v="197"/>
    <d v="2025-06-07T00:00:00"/>
    <s v="Lb1096"/>
    <s v="Miguel Ángel"/>
    <x v="0"/>
    <x v="0"/>
    <x v="16"/>
    <s v="Orgullo Y Prejuicio"/>
    <s v="Jane Austen"/>
    <s v="Novela"/>
    <n v="2013"/>
    <s v="Est-1"/>
    <x v="0"/>
  </r>
  <r>
    <s v="Pr2216"/>
    <x v="122"/>
    <d v="2025-12-17T00:00:00"/>
    <s v="Lb1094"/>
    <s v="Miguel Ángel"/>
    <x v="3"/>
    <x v="1"/>
    <x v="1"/>
    <s v="La Casa De Los Espíritus"/>
    <s v="Isabel Allende"/>
    <s v="Novela"/>
    <n v="1924"/>
    <s v="A-1"/>
    <x v="0"/>
  </r>
  <r>
    <s v="Pr2234"/>
    <x v="246"/>
    <d v="2025-02-24T00:00:00"/>
    <s v="Lb1176"/>
    <s v="Carlos Ruiz"/>
    <x v="2"/>
    <x v="2"/>
    <x v="7"/>
    <s v="Hamlet"/>
    <s v="William Shakespeare"/>
    <s v="Clásicos"/>
    <n v="1880"/>
    <s v="B-2"/>
    <x v="0"/>
  </r>
  <r>
    <s v="Pr2262"/>
    <x v="175"/>
    <d v="2025-11-27T00:00:00"/>
    <s v="Lb1152"/>
    <s v="Pedro Sánchez"/>
    <x v="4"/>
    <x v="0"/>
    <x v="16"/>
    <s v="Hamlet"/>
    <s v="William Shakespeare"/>
    <s v="Clásicos"/>
    <n v="2017"/>
    <s v="A-1"/>
    <x v="0"/>
  </r>
  <r>
    <s v="Pr2288"/>
    <x v="11"/>
    <d v="2025-12-01T00:00:00"/>
    <s v="Lb1081"/>
    <s v="Carlos Ruiz"/>
    <x v="2"/>
    <x v="2"/>
    <x v="7"/>
    <s v="Rebelión En La Granja"/>
    <s v="George Orwell"/>
    <s v="Ciencia Ficción"/>
    <n v="1999"/>
    <s v="Est-1"/>
    <x v="1"/>
  </r>
  <r>
    <s v="Pr2353"/>
    <x v="15"/>
    <d v="2025-11-08T00:00:00"/>
    <s v="Lb1077"/>
    <s v="Pablo López"/>
    <x v="4"/>
    <x v="1"/>
    <x v="6"/>
    <s v="La Ciudad Y Los Perros"/>
    <s v="Mario Vargas Llosa"/>
    <s v="Novela"/>
    <n v="1947"/>
    <s v="Est-1"/>
    <x v="0"/>
  </r>
  <r>
    <s v="Pr2354"/>
    <x v="95"/>
    <d v="2025-02-11T00:00:00"/>
    <s v="Lb1109"/>
    <s v="Laura Ruiz"/>
    <x v="3"/>
    <x v="0"/>
    <x v="16"/>
    <s v="El Amor En Los Tiempos Del Cólera"/>
    <s v="Gabriel García Márquez"/>
    <s v="Novela"/>
    <n v="1989"/>
    <s v="C-3"/>
    <x v="1"/>
  </r>
  <r>
    <s v="Pr2357"/>
    <x v="134"/>
    <d v="2025-09-14T00:00:00"/>
    <s v="Lb1117"/>
    <s v="Noelia Martín"/>
    <x v="4"/>
    <x v="2"/>
    <x v="7"/>
    <s v="1984"/>
    <s v="George Orwell"/>
    <s v="Ciencia Ficción"/>
    <n v="1893"/>
    <s v="C-3"/>
    <x v="0"/>
  </r>
  <r>
    <s v="Pr2016"/>
    <x v="104"/>
    <d v="2025-04-22T00:00:00"/>
    <s v="Lb1024"/>
    <s v="Andrés Díaz"/>
    <x v="2"/>
    <x v="0"/>
    <x v="17"/>
    <s v="1984"/>
    <s v="George Orwell"/>
    <s v="Ciencia Ficción"/>
    <n v="1898"/>
    <s v="B-2"/>
    <x v="1"/>
  </r>
  <r>
    <s v="Pr2181"/>
    <x v="56"/>
    <d v="2025-06-16T00:00:00"/>
    <s v="Lb1053"/>
    <s v="Valentina Mora"/>
    <x v="4"/>
    <x v="1"/>
    <x v="5"/>
    <s v="La Tregua"/>
    <s v="Mario Benedetti"/>
    <s v="Novela"/>
    <n v="2003"/>
    <s v="C-3"/>
    <x v="0"/>
  </r>
  <r>
    <s v="Pr2183"/>
    <x v="130"/>
    <d v="2025-10-05T00:00:00"/>
    <s v="Lb1026"/>
    <s v="Ana Gómez"/>
    <x v="2"/>
    <x v="0"/>
    <x v="17"/>
    <s v="Rayuela"/>
    <s v="Julio Cortázar"/>
    <s v="Novela"/>
    <n v="1932"/>
    <s v="B-2"/>
    <x v="0"/>
  </r>
  <r>
    <s v="Pr2283"/>
    <x v="247"/>
    <d v="2025-07-08T00:00:00"/>
    <s v="Lb1106"/>
    <s v="Sofía Torres"/>
    <x v="3"/>
    <x v="0"/>
    <x v="17"/>
    <s v="Ficciones"/>
    <s v="Jorge Luis Borges"/>
    <s v="Cuentos / Fantasía Metafísica"/>
    <n v="1990"/>
    <s v="B-2"/>
    <x v="1"/>
  </r>
  <r>
    <s v="Pr2284"/>
    <x v="231"/>
    <s v="No Asignado"/>
    <s v="Lb1016"/>
    <s v="María López"/>
    <x v="2"/>
    <x v="1"/>
    <x v="1"/>
    <s v="La Tregua"/>
    <s v="Mario Benedetti"/>
    <s v="Novela"/>
    <n v="2004"/>
    <s v="Est-1"/>
    <x v="1"/>
  </r>
  <r>
    <s v="Pr2295"/>
    <x v="79"/>
    <d v="2025-04-01T00:00:00"/>
    <s v="Lb1061"/>
    <s v="Noelia Martín"/>
    <x v="2"/>
    <x v="1"/>
    <x v="1"/>
    <s v="El Túnel"/>
    <s v="Ernesto Sabato"/>
    <s v="Novela"/>
    <n v="1943"/>
    <s v="Est-1"/>
    <x v="1"/>
  </r>
  <r>
    <s v="Pr2393"/>
    <x v="248"/>
    <d v="2025-08-18T00:00:00"/>
    <s v="Lb1185"/>
    <s v="Ana Gómez"/>
    <x v="2"/>
    <x v="1"/>
    <x v="4"/>
    <s v="Breve Historia Del Tiempo"/>
    <s v="Stephen Hawking"/>
    <s v="Divulgación Científica / Cosmología"/>
    <n v="1945"/>
    <s v="C-3"/>
    <x v="1"/>
  </r>
  <r>
    <s v="Pr2488"/>
    <x v="249"/>
    <d v="2025-08-27T00:00:00"/>
    <s v="Lb1165"/>
    <s v="Juan Pérez"/>
    <x v="3"/>
    <x v="0"/>
    <x v="17"/>
    <s v="La Ciudad Y Los Perros"/>
    <s v="Mario Vargas Llosa"/>
    <s v="Novela"/>
    <n v="2001"/>
    <s v="B-2"/>
    <x v="0"/>
  </r>
  <r>
    <s v="Pr2115"/>
    <x v="212"/>
    <d v="2025-02-21T00:00:00"/>
    <s v="Lb1244"/>
    <s v="Carlos Ruiz"/>
    <x v="1"/>
    <x v="2"/>
    <x v="7"/>
    <s v="Libro No Existe"/>
    <s v="Libro No Existe"/>
    <s v="Libro No Existe"/>
    <s v="Libro No Existe"/>
    <s v="No Existe"/>
    <x v="2"/>
  </r>
  <r>
    <s v="Pr2119"/>
    <x v="184"/>
    <d v="2025-06-20T00:00:00"/>
    <s v="Lb1090"/>
    <s v="Andrés Díaz"/>
    <x v="3"/>
    <x v="2"/>
    <x v="7"/>
    <s v="La Ciudad Y Los Perros"/>
    <s v="Mario Vargas Llosa"/>
    <s v="Novela"/>
    <n v="2018"/>
    <s v="Est-1"/>
    <x v="1"/>
  </r>
  <r>
    <s v="Pr2123"/>
    <x v="230"/>
    <d v="2025-12-12T00:00:00"/>
    <s v="Lb1088"/>
    <s v="Carlos Ruiz"/>
    <x v="3"/>
    <x v="1"/>
    <x v="0"/>
    <s v="Ficciones"/>
    <s v="Jorge Luis Borges"/>
    <s v="Cuentos / Fantasía Metafísica"/>
    <n v="1939"/>
    <s v="A-1"/>
    <x v="0"/>
  </r>
  <r>
    <s v="Pr2160"/>
    <x v="17"/>
    <d v="2025-11-17T00:00:00"/>
    <s v="Lb1290"/>
    <s v="Pablo López"/>
    <x v="0"/>
    <x v="0"/>
    <x v="18"/>
    <s v="Libro No Existe"/>
    <s v="Libro No Existe"/>
    <s v="Libro No Existe"/>
    <s v="Libro No Existe"/>
    <s v="No Existe"/>
    <x v="2"/>
  </r>
  <r>
    <s v="Pr2167"/>
    <x v="132"/>
    <d v="2025-09-04T00:00:00"/>
    <s v="Lb1198"/>
    <s v="Sofía Torres"/>
    <x v="2"/>
    <x v="1"/>
    <x v="4"/>
    <s v="La Casa De Los Espíritus"/>
    <s v="Isabel Allende"/>
    <s v="Novela"/>
    <n v="1899"/>
    <s v="A-1"/>
    <x v="1"/>
  </r>
  <r>
    <s v="Pr2271"/>
    <x v="231"/>
    <d v="2025-07-20T00:00:00"/>
    <s v="Lb1006"/>
    <s v="Sofía Torres"/>
    <x v="4"/>
    <x v="2"/>
    <x v="7"/>
    <s v="La Sombra Del Viento"/>
    <s v="Carlos Ruiz Zafón"/>
    <s v="Misterio"/>
    <n v="1923"/>
    <s v="B-2"/>
    <x v="1"/>
  </r>
  <r>
    <s v="Pr2305"/>
    <x v="73"/>
    <d v="2025-04-14T00:00:00"/>
    <s v="Lb1018"/>
    <s v="Felipe Ramírez"/>
    <x v="2"/>
    <x v="1"/>
    <x v="6"/>
    <s v="Don Quijote De La Mancha"/>
    <s v="Miguel De Cervantes"/>
    <s v="Novela"/>
    <n v="1926"/>
    <s v="Est-1"/>
    <x v="0"/>
  </r>
  <r>
    <s v="Pr2362"/>
    <x v="39"/>
    <d v="2025-09-12T00:00:00"/>
    <s v="Lb1046"/>
    <s v="Miguel Ángel"/>
    <x v="3"/>
    <x v="2"/>
    <x v="7"/>
    <s v="Cien Años De Soledad"/>
    <s v="Gabriel García Márquez"/>
    <s v="Novela"/>
    <n v="2016"/>
    <s v="C-3"/>
    <x v="0"/>
  </r>
  <r>
    <s v="Pr2406"/>
    <x v="167"/>
    <d v="2025-03-14T00:00:00"/>
    <s v="Lb1108"/>
    <s v="Luisa Fernández"/>
    <x v="4"/>
    <x v="2"/>
    <x v="7"/>
    <s v="La Casa De Los Espíritus"/>
    <s v="Isabel Allende"/>
    <s v="Novela"/>
    <n v="1938"/>
    <s v="Est-1"/>
    <x v="0"/>
  </r>
  <r>
    <s v="Pr2023"/>
    <x v="31"/>
    <d v="2025-09-26T00:00:00"/>
    <s v="Lb1049"/>
    <s v="Pedro Sánchez"/>
    <x v="4"/>
    <x v="1"/>
    <x v="4"/>
    <s v="El Código Da Vinci"/>
    <s v="Dan Brown"/>
    <s v="Misterio"/>
    <n v="1935"/>
    <s v="B-2"/>
    <x v="1"/>
  </r>
  <r>
    <s v="Pr2024"/>
    <x v="250"/>
    <d v="2025-09-24T00:00:00"/>
    <s v="Lb1053"/>
    <s v="María López"/>
    <x v="3"/>
    <x v="0"/>
    <x v="19"/>
    <s v="La Tregua"/>
    <s v="Mario Benedetti"/>
    <s v="Novela"/>
    <n v="2003"/>
    <s v="C-3"/>
    <x v="0"/>
  </r>
  <r>
    <s v="Pr2068"/>
    <x v="251"/>
    <d v="2025-05-09T00:00:00"/>
    <s v="Lb1134"/>
    <s v="Juan Pérez"/>
    <x v="0"/>
    <x v="0"/>
    <x v="19"/>
    <s v="La Odisea"/>
    <s v="Homero"/>
    <s v="Clásicos"/>
    <n v="1978"/>
    <s v="A-1"/>
    <x v="1"/>
  </r>
  <r>
    <s v="Pr2217"/>
    <x v="182"/>
    <d v="2025-09-14T00:00:00"/>
    <s v="Lb1132"/>
    <s v="Miguel Ángel"/>
    <x v="4"/>
    <x v="2"/>
    <x v="7"/>
    <s v="El Código Da Vinci"/>
    <s v="Dan Brown"/>
    <s v="Misterio"/>
    <n v="1896"/>
    <s v="No Asignado"/>
    <x v="1"/>
  </r>
  <r>
    <s v="Pr2346"/>
    <x v="74"/>
    <d v="2025-04-27T00:00:00"/>
    <s v="Lb1096"/>
    <s v="Ana Gómez"/>
    <x v="4"/>
    <x v="2"/>
    <x v="7"/>
    <s v="Orgullo Y Prejuicio"/>
    <s v="Jane Austen"/>
    <s v="Novela"/>
    <n v="2013"/>
    <s v="Est-1"/>
    <x v="0"/>
  </r>
  <r>
    <s v="Pr2348"/>
    <x v="49"/>
    <d v="2025-07-12T00:00:00"/>
    <s v="Lb1145"/>
    <s v="Felipe Ramírez"/>
    <x v="2"/>
    <x v="1"/>
    <x v="4"/>
    <s v="La Sombra Del Viento"/>
    <s v="Carlos Ruiz Zafón"/>
    <s v="Misterio"/>
    <n v="1944"/>
    <s v="Est-1"/>
    <x v="0"/>
  </r>
  <r>
    <s v="Pr2380"/>
    <x v="177"/>
    <d v="2025-10-03T00:00:00"/>
    <s v="Lb1156"/>
    <s v="Diego Gómez"/>
    <x v="1"/>
    <x v="0"/>
    <x v="19"/>
    <s v="La Casa De Los Espíritus"/>
    <s v="Isabel Allende"/>
    <s v="Novela"/>
    <n v="2009"/>
    <s v="Est-1"/>
    <x v="0"/>
  </r>
  <r>
    <s v="Pr2382"/>
    <x v="252"/>
    <d v="2025-03-13T00:00:00"/>
    <s v="Lb1136"/>
    <s v="Pablo López"/>
    <x v="3"/>
    <x v="0"/>
    <x v="19"/>
    <s v="La Casa De Los Espíritus"/>
    <s v="Isabel Allende"/>
    <s v="Novela"/>
    <n v="1970"/>
    <s v="C-3"/>
    <x v="0"/>
  </r>
  <r>
    <s v="Pr2449"/>
    <x v="54"/>
    <d v="2025-06-19T00:00:00"/>
    <s v="Lb1177"/>
    <s v="Miguel Ángel"/>
    <x v="0"/>
    <x v="1"/>
    <x v="1"/>
    <s v="Matadero Cinco"/>
    <s v="Kurt Vonnegut"/>
    <s v="Ciencia Ficción"/>
    <n v="1984"/>
    <s v="A-1"/>
    <x v="1"/>
  </r>
  <r>
    <s v="Pr2474"/>
    <x v="238"/>
    <d v="2025-06-04T00:00:00"/>
    <s v="Lb1125"/>
    <s v="María López"/>
    <x v="4"/>
    <x v="0"/>
    <x v="19"/>
    <s v="Ficciones"/>
    <s v="Jorge Luis Borges"/>
    <s v="Cuentos / Fantasía Metafísica"/>
    <n v="1969"/>
    <s v="No Asignado"/>
    <x v="0"/>
  </r>
  <r>
    <s v="Pr2508"/>
    <x v="45"/>
    <s v="No Asignado"/>
    <s v="Lb1088"/>
    <s v="Andrés Gómez"/>
    <x v="0"/>
    <x v="1"/>
    <x v="1"/>
    <s v="Ficciones"/>
    <s v="Jorge Luis Borges"/>
    <s v="Cuentos / Fantasía Metafísica"/>
    <n v="1939"/>
    <s v="A-1"/>
    <x v="0"/>
  </r>
  <r>
    <s v="Pr2573"/>
    <x v="15"/>
    <d v="2025-11-22T00:00:00"/>
    <s v="Lb1093"/>
    <s v="Juan Pérez"/>
    <x v="0"/>
    <x v="0"/>
    <x v="19"/>
    <s v="Don Quijote De La Mancha"/>
    <s v="Miguel De Cervantes"/>
    <s v="Novela"/>
    <n v="1933"/>
    <s v="B-2"/>
    <x v="1"/>
  </r>
  <r>
    <s v="Pr2574"/>
    <x v="92"/>
    <d v="2025-02-28T00:00:00"/>
    <s v="Lb1197"/>
    <s v="Andrés Díaz"/>
    <x v="3"/>
    <x v="0"/>
    <x v="19"/>
    <s v="Orgullo Y Prejuicio"/>
    <s v="Jane Austen"/>
    <s v="Novela"/>
    <n v="1951"/>
    <s v="Est-1"/>
    <x v="1"/>
  </r>
  <r>
    <s v="Pr2013"/>
    <x v="253"/>
    <s v="No Asignado"/>
    <s v="Lb1045"/>
    <s v="Pablo López"/>
    <x v="4"/>
    <x v="1"/>
    <x v="1"/>
    <s v="Sobre La Felicidad"/>
    <s v="Lucio Anneo Séneca"/>
    <s v="Filosofía Y Pensamiento"/>
    <n v="1936"/>
    <s v="B-2"/>
    <x v="1"/>
  </r>
  <r>
    <s v="Pr2152"/>
    <x v="243"/>
    <d v="2025-07-16T00:00:00"/>
    <s v="Lb1037"/>
    <s v="Valentina Mora"/>
    <x v="3"/>
    <x v="1"/>
    <x v="1"/>
    <s v="Pedro Páramo"/>
    <s v="Juan Rulfo"/>
    <s v="Novela"/>
    <n v="1934"/>
    <s v="Est-1"/>
    <x v="1"/>
  </r>
  <r>
    <s v="Pr2159"/>
    <x v="239"/>
    <d v="2025-10-17T00:00:00"/>
    <s v="Lb1123"/>
    <s v="Andrés Díaz"/>
    <x v="2"/>
    <x v="2"/>
    <x v="7"/>
    <s v="El Código Da Vinci"/>
    <s v="Dan Brown"/>
    <s v="Misterio"/>
    <n v="2008"/>
    <s v="C-3"/>
    <x v="1"/>
  </r>
  <r>
    <s v="Pr2188"/>
    <x v="14"/>
    <d v="2025-11-16T00:00:00"/>
    <s v="Lb1014"/>
    <s v="Andrés Gómez"/>
    <x v="2"/>
    <x v="1"/>
    <x v="5"/>
    <s v="Rayuela"/>
    <s v="Julio Cortázar"/>
    <s v="Novela"/>
    <n v="2018"/>
    <s v="B-2"/>
    <x v="1"/>
  </r>
  <r>
    <s v="Pr2226"/>
    <x v="73"/>
    <d v="2025-04-29T00:00:00"/>
    <s v="Lb1080"/>
    <s v="Diego Gómez"/>
    <x v="4"/>
    <x v="2"/>
    <x v="7"/>
    <s v="Pedro Páramo"/>
    <s v="Juan Rulfo"/>
    <s v="Novela"/>
    <n v="1924"/>
    <s v="Est-1"/>
    <x v="1"/>
  </r>
  <r>
    <s v="Pr2299"/>
    <x v="143"/>
    <d v="2025-10-18T00:00:00"/>
    <s v="Lb1039"/>
    <s v="Luisa Fernández"/>
    <x v="3"/>
    <x v="1"/>
    <x v="4"/>
    <s v="Rayuela"/>
    <s v="Julio Cortázar"/>
    <s v="Novela"/>
    <n v="1986"/>
    <s v="Est-1"/>
    <x v="1"/>
  </r>
  <r>
    <s v="Pr2432"/>
    <x v="252"/>
    <d v="2025-03-14T00:00:00"/>
    <s v="Lb1139"/>
    <s v="Andrés Gómez"/>
    <x v="4"/>
    <x v="0"/>
    <x v="20"/>
    <s v="La Casa De Los Espíritus"/>
    <s v="Isabel Allende"/>
    <s v="Novela"/>
    <n v="2023"/>
    <s v="B-2"/>
    <x v="1"/>
  </r>
  <r>
    <s v="Pr2476"/>
    <x v="249"/>
    <d v="2025-08-30T00:00:00"/>
    <s v="Lb1139"/>
    <s v="Miguel Ángel"/>
    <x v="0"/>
    <x v="0"/>
    <x v="20"/>
    <s v="La Casa De Los Espíritus"/>
    <s v="Isabel Allende"/>
    <s v="Novela"/>
    <n v="2023"/>
    <s v="B-2"/>
    <x v="1"/>
  </r>
  <r>
    <s v="Pr2598"/>
    <x v="97"/>
    <d v="2025-01-26T00:00:00"/>
    <s v="Lb1179"/>
    <s v="Pablo López"/>
    <x v="4"/>
    <x v="1"/>
    <x v="1"/>
    <s v="Orgullo Y Prejuicio"/>
    <s v="Jane Austen"/>
    <s v="Novela"/>
    <n v="2019"/>
    <s v="Est-1"/>
    <x v="1"/>
  </r>
  <r>
    <s v="Pr2064"/>
    <x v="254"/>
    <d v="2025-06-18T00:00:00"/>
    <s v="Lb1188"/>
    <s v="Felipe Ramírez"/>
    <x v="3"/>
    <x v="1"/>
    <x v="5"/>
    <s v="El Túnel"/>
    <s v="Ernesto Sabato"/>
    <s v="Novela"/>
    <n v="1972"/>
    <s v="Est-1"/>
    <x v="1"/>
  </r>
  <r>
    <s v="Pr2276"/>
    <x v="255"/>
    <d v="2025-07-28T00:00:00"/>
    <s v="Lb1188"/>
    <s v="María López"/>
    <x v="2"/>
    <x v="0"/>
    <x v="21"/>
    <s v="El Túnel"/>
    <s v="Ernesto Sabato"/>
    <s v="Novela"/>
    <n v="1972"/>
    <s v="Est-1"/>
    <x v="1"/>
  </r>
  <r>
    <s v="Pr2277"/>
    <x v="226"/>
    <d v="2025-02-22T00:00:00"/>
    <s v="Lb1122"/>
    <s v="Juan Pérez"/>
    <x v="4"/>
    <x v="2"/>
    <x v="7"/>
    <s v="El Aleph"/>
    <s v="Jorge Luis Borges"/>
    <s v="Cuentos / Fantasía Metafísica"/>
    <n v="1994"/>
    <s v="Est-1"/>
    <x v="1"/>
  </r>
  <r>
    <s v="Pr2532"/>
    <x v="106"/>
    <d v="2025-09-18T00:00:00"/>
    <s v="Lb1193"/>
    <s v="María López"/>
    <x v="3"/>
    <x v="0"/>
    <x v="21"/>
    <s v="Macbeth"/>
    <s v="William Shakespeare"/>
    <s v="Clásicos"/>
    <n v="1883"/>
    <s v="Est-1"/>
    <x v="0"/>
  </r>
  <r>
    <s v="Pr2583"/>
    <x v="188"/>
    <d v="2025-11-15T00:00:00"/>
    <s v="Lb1051"/>
    <s v="Andrés Gómez"/>
    <x v="4"/>
    <x v="0"/>
    <x v="21"/>
    <s v="El Túnel"/>
    <s v="Ernesto Sabato"/>
    <s v="Novela"/>
    <n v="1957"/>
    <s v="Est-1"/>
    <x v="0"/>
  </r>
  <r>
    <s v="Pr2600"/>
    <x v="132"/>
    <d v="2025-09-21T00:00:00"/>
    <s v="Lb1015"/>
    <s v="Miguel Ángel"/>
    <x v="3"/>
    <x v="0"/>
    <x v="21"/>
    <s v="La Iliada"/>
    <s v="Homero"/>
    <s v="Clásicos"/>
    <n v="2021"/>
    <s v="Est-1"/>
    <x v="0"/>
  </r>
  <r>
    <s v="Pr2158"/>
    <x v="256"/>
    <d v="2025-11-14T00:00:00"/>
    <s v="Lb1180"/>
    <s v="Miguel Ángel"/>
    <x v="3"/>
    <x v="2"/>
    <x v="7"/>
    <s v="Crónica De Una Muerte Anunciada"/>
    <s v="Gabriel García Márquez"/>
    <s v="Novela"/>
    <n v="1987"/>
    <s v="A-1"/>
    <x v="0"/>
  </r>
  <r>
    <s v="Pr2282"/>
    <x v="257"/>
    <d v="2025-07-10T00:00:00"/>
    <s v="Lb1091"/>
    <s v="Diego Gómez"/>
    <x v="1"/>
    <x v="1"/>
    <x v="1"/>
    <s v="Matadero Cinco"/>
    <s v="Kurt Vonnegut"/>
    <s v="Ciencia Ficción"/>
    <n v="1993"/>
    <s v="B-2"/>
    <x v="0"/>
  </r>
  <r>
    <s v="Pr2487"/>
    <x v="96"/>
    <d v="2025-02-16T00:00:00"/>
    <s v="Lb1103"/>
    <s v="Diego Gómez"/>
    <x v="3"/>
    <x v="2"/>
    <x v="7"/>
    <s v="Matar A Un Ruiseñor"/>
    <s v="Harper Lee"/>
    <s v="Novela"/>
    <n v="1887"/>
    <s v="B-2"/>
    <x v="0"/>
  </r>
  <r>
    <s v="Pr2553"/>
    <x v="137"/>
    <d v="2025-05-30T00:00:00"/>
    <s v="Lb1018"/>
    <s v="Jorge Ibáñez"/>
    <x v="4"/>
    <x v="1"/>
    <x v="1"/>
    <s v="Don Quijote De La Mancha"/>
    <s v="Miguel De Cervantes"/>
    <s v="Novela"/>
    <n v="1926"/>
    <s v="Est-1"/>
    <x v="0"/>
  </r>
  <r>
    <s v="Pr2003"/>
    <x v="54"/>
    <d v="2025-07-05T00:00:00"/>
    <s v="Lb1071"/>
    <s v="Andrés Gómez"/>
    <x v="2"/>
    <x v="2"/>
    <x v="7"/>
    <s v="Pedro Páramo"/>
    <s v="Juan Rulfo"/>
    <s v="Novela"/>
    <n v="1920"/>
    <s v="No Asignado"/>
    <x v="1"/>
  </r>
  <r>
    <s v="Pr2101"/>
    <x v="47"/>
    <d v="2025-08-08T00:00:00"/>
    <s v="Lb1015"/>
    <s v="Sofía Torres"/>
    <x v="4"/>
    <x v="2"/>
    <x v="7"/>
    <s v="La Iliada"/>
    <s v="Homero"/>
    <s v="Clásicos"/>
    <n v="2021"/>
    <s v="Est-1"/>
    <x v="0"/>
  </r>
  <r>
    <s v="Pr2286"/>
    <x v="150"/>
    <d v="2025-12-05T00:00:00"/>
    <s v="Lb1049"/>
    <s v="Carlos Ruiz"/>
    <x v="2"/>
    <x v="0"/>
    <x v="22"/>
    <s v="El Código Da Vinci"/>
    <s v="Dan Brown"/>
    <s v="Misterio"/>
    <n v="1935"/>
    <s v="B-2"/>
    <x v="1"/>
  </r>
  <r>
    <s v="Pr2479"/>
    <x v="43"/>
    <d v="2025-08-27T00:00:00"/>
    <s v="Lb1067"/>
    <s v="Laura Ruiz"/>
    <x v="3"/>
    <x v="2"/>
    <x v="7"/>
    <s v="La Iliada"/>
    <s v="Homero"/>
    <s v="Clásicos"/>
    <n v="1924"/>
    <s v="Est-1"/>
    <x v="0"/>
  </r>
  <r>
    <s v="Pr2083"/>
    <x v="23"/>
    <d v="2025-11-08T00:00:00"/>
    <s v="Lb1101"/>
    <s v="Carlos Ruiz"/>
    <x v="3"/>
    <x v="2"/>
    <x v="7"/>
    <s v="La Iliada"/>
    <s v="Homero"/>
    <s v="Clásicos"/>
    <n v="1893"/>
    <s v="Est-1"/>
    <x v="0"/>
  </r>
  <r>
    <s v="Pr2120"/>
    <x v="258"/>
    <d v="2025-08-22T00:00:00"/>
    <s v="Lb1148"/>
    <s v="Camila Álvarez"/>
    <x v="2"/>
    <x v="1"/>
    <x v="1"/>
    <s v="Rebelión En La Granja"/>
    <s v="George Orwell"/>
    <s v="Ciencia Ficción"/>
    <n v="1986"/>
    <s v="Est-1"/>
    <x v="1"/>
  </r>
  <r>
    <s v="Pr2171"/>
    <x v="175"/>
    <d v="2025-11-23T00:00:00"/>
    <s v="Lb1125"/>
    <s v="Pablo López"/>
    <x v="4"/>
    <x v="1"/>
    <x v="5"/>
    <s v="Ficciones"/>
    <s v="Jorge Luis Borges"/>
    <s v="Cuentos / Fantasía Metafísica"/>
    <n v="1969"/>
    <s v="No Asignado"/>
    <x v="0"/>
  </r>
  <r>
    <s v="Pr2203"/>
    <x v="11"/>
    <d v="2025-12-09T00:00:00"/>
    <s v="Lb1037"/>
    <s v="Felipe Ramírez"/>
    <x v="4"/>
    <x v="0"/>
    <x v="23"/>
    <s v="Pedro Páramo"/>
    <s v="Juan Rulfo"/>
    <s v="Novela"/>
    <n v="1934"/>
    <s v="Est-1"/>
    <x v="1"/>
  </r>
  <r>
    <s v="Pr2236"/>
    <x v="18"/>
    <d v="2025-11-20T00:00:00"/>
    <s v="Lb1166"/>
    <s v="Carolina Rojas"/>
    <x v="2"/>
    <x v="2"/>
    <x v="7"/>
    <s v="La Casa De Los Espíritus"/>
    <s v="Isabel Allende"/>
    <s v="Novela"/>
    <n v="1889"/>
    <s v="C-3"/>
    <x v="1"/>
  </r>
  <r>
    <s v="Pr2429"/>
    <x v="136"/>
    <d v="2025-09-23T00:00:00"/>
    <s v="Lb1084"/>
    <s v="Noelia Martín"/>
    <x v="2"/>
    <x v="0"/>
    <x v="23"/>
    <s v="El Código Da Vinci"/>
    <s v="Dan Brown"/>
    <s v="Misterio"/>
    <n v="1944"/>
    <s v="A-1"/>
    <x v="0"/>
  </r>
  <r>
    <s v="Pr2459"/>
    <x v="164"/>
    <d v="2025-07-10T00:00:00"/>
    <s v="Lb1182"/>
    <s v="Carolina Rojas"/>
    <x v="4"/>
    <x v="0"/>
    <x v="23"/>
    <s v="Crónica De Una Muerte Anunciada"/>
    <s v="Gabriel García Márquez"/>
    <s v="Novela"/>
    <n v="1957"/>
    <s v="Est-1"/>
    <x v="0"/>
  </r>
  <r>
    <s v="Pr2581"/>
    <x v="259"/>
    <d v="2025-10-25T00:00:00"/>
    <s v="Lb1053"/>
    <s v="María López"/>
    <x v="1"/>
    <x v="0"/>
    <x v="23"/>
    <s v="La Tregua"/>
    <s v="Mario Benedetti"/>
    <s v="Novela"/>
    <n v="2003"/>
    <s v="C-3"/>
    <x v="0"/>
  </r>
  <r>
    <s v="Pr2134"/>
    <x v="260"/>
    <s v="No Asignado"/>
    <s v="Lb1161"/>
    <s v="Noelia Martín"/>
    <x v="4"/>
    <x v="1"/>
    <x v="1"/>
    <s v="Macbeth"/>
    <s v="William Shakespeare"/>
    <s v="Clásicos"/>
    <n v="1933"/>
    <s v="Est-1"/>
    <x v="0"/>
  </r>
  <r>
    <s v="Pr2180"/>
    <x v="42"/>
    <d v="2025-08-31T00:00:00"/>
    <s v="Lb1261"/>
    <s v="Carlos Ruiz"/>
    <x v="4"/>
    <x v="2"/>
    <x v="7"/>
    <s v="Libro No Existe"/>
    <s v="Libro No Existe"/>
    <s v="Libro No Existe"/>
    <s v="Libro No Existe"/>
    <s v="No Existe"/>
    <x v="2"/>
  </r>
  <r>
    <s v="Pr2337"/>
    <x v="261"/>
    <d v="2025-09-18T00:00:00"/>
    <s v="Lb1050"/>
    <s v="Ana Gómez"/>
    <x v="1"/>
    <x v="0"/>
    <x v="24"/>
    <s v="Macbeth"/>
    <s v="William Shakespeare"/>
    <s v="Clásicos"/>
    <n v="1886"/>
    <s v="Est-1"/>
    <x v="1"/>
  </r>
  <r>
    <s v="Pr2343"/>
    <x v="238"/>
    <d v="2025-06-10T00:00:00"/>
    <s v="Lb1129"/>
    <s v="Pedro Sánchez"/>
    <x v="4"/>
    <x v="0"/>
    <x v="24"/>
    <s v="La Odisea"/>
    <s v="Homero"/>
    <s v="Clásicos"/>
    <n v="1986"/>
    <s v="A-1"/>
    <x v="0"/>
  </r>
  <r>
    <s v="Pr2006"/>
    <x v="50"/>
    <d v="2025-07-30T00:00:00"/>
    <s v="Lb1154"/>
    <s v="Laura Ruiz"/>
    <x v="2"/>
    <x v="2"/>
    <x v="7"/>
    <s v="El Código Da Vinci"/>
    <s v="Dan Brown"/>
    <s v="Misterio"/>
    <n v="1966"/>
    <s v="C-3"/>
    <x v="1"/>
  </r>
  <r>
    <s v="Pr2114"/>
    <x v="221"/>
    <d v="2025-03-17T00:00:00"/>
    <s v="Lb1031"/>
    <s v="Carolina Rojas"/>
    <x v="2"/>
    <x v="1"/>
    <x v="4"/>
    <s v="Breve Historia Del Tiempo"/>
    <s v="Stephen Hawking"/>
    <s v="Divulgación Científica / Cosmología"/>
    <n v="1889"/>
    <s v="Est-1"/>
    <x v="1"/>
  </r>
  <r>
    <s v="Pr2163"/>
    <x v="243"/>
    <d v="2025-08-04T00:00:00"/>
    <s v="Lb1014"/>
    <s v="Diego Gómez"/>
    <x v="3"/>
    <x v="0"/>
    <x v="25"/>
    <s v="Rayuela"/>
    <s v="Julio Cortázar"/>
    <s v="Novela"/>
    <n v="2018"/>
    <s v="B-2"/>
    <x v="1"/>
  </r>
  <r>
    <s v="Pr2264"/>
    <x v="75"/>
    <s v="No Asignado"/>
    <s v="Lb1178"/>
    <s v="Diego Gómez"/>
    <x v="3"/>
    <x v="1"/>
    <x v="1"/>
    <s v="Los Detectives Salvajes"/>
    <s v="Roberto Bolaño"/>
    <s v="Novela"/>
    <n v="1914"/>
    <s v="C-3"/>
    <x v="1"/>
  </r>
  <r>
    <s v="Pr2416"/>
    <x v="262"/>
    <d v="2025-05-28T00:00:00"/>
    <s v="Lb1184"/>
    <s v="Juan Pérez"/>
    <x v="1"/>
    <x v="2"/>
    <x v="7"/>
    <s v="Breve Historia Del Tiempo"/>
    <s v="Stephen Hawking"/>
    <s v="Divulgación Científica / Cosmología"/>
    <n v="1941"/>
    <s v="B-2"/>
    <x v="1"/>
  </r>
  <r>
    <s v="Pr2425"/>
    <x v="263"/>
    <d v="2025-10-12T00:00:00"/>
    <s v="Lb1101"/>
    <s v="Juan Pérez"/>
    <x v="3"/>
    <x v="2"/>
    <x v="7"/>
    <s v="La Iliada"/>
    <s v="Homero"/>
    <s v="Clásicos"/>
    <n v="1893"/>
    <s v="Est-1"/>
    <x v="0"/>
  </r>
  <r>
    <s v="Pr2466"/>
    <x v="236"/>
    <d v="2025-08-21T00:00:00"/>
    <s v="Lb1052"/>
    <s v="Diego Gómez"/>
    <x v="2"/>
    <x v="2"/>
    <x v="7"/>
    <s v="Los Detectives Salvajes"/>
    <s v="Roberto Bolaño"/>
    <s v="Novela"/>
    <n v="2005"/>
    <s v="C-3"/>
    <x v="1"/>
  </r>
  <r>
    <s v="Pr2470"/>
    <x v="13"/>
    <d v="2025-12-02T00:00:00"/>
    <s v="Lb1161"/>
    <s v=" Pablo López "/>
    <x v="2"/>
    <x v="2"/>
    <x v="7"/>
    <s v="Macbeth"/>
    <s v="William Shakespeare"/>
    <s v="Clásicos"/>
    <n v="1933"/>
    <s v="Est-1"/>
    <x v="0"/>
  </r>
  <r>
    <s v="Pr2499"/>
    <x v="177"/>
    <d v="2025-10-10T00:00:00"/>
    <s v="Lb1198"/>
    <s v="Andrés Gómez"/>
    <x v="2"/>
    <x v="2"/>
    <x v="7"/>
    <s v="La Casa De Los Espíritus"/>
    <s v="Isabel Allende"/>
    <s v="Novela"/>
    <n v="1899"/>
    <s v="A-1"/>
    <x v="1"/>
  </r>
  <r>
    <s v="Pr2520"/>
    <x v="19"/>
    <d v="2025-11-19T00:00:00"/>
    <s v="Lb1190"/>
    <s v="Carlos Ruiz"/>
    <x v="0"/>
    <x v="0"/>
    <x v="25"/>
    <s v="Pedro Páramo"/>
    <s v="Juan Rulfo"/>
    <s v="Novela"/>
    <n v="1966"/>
    <s v="Est-1"/>
    <x v="1"/>
  </r>
  <r>
    <s v="Pr2547"/>
    <x v="52"/>
    <d v="2025-07-15T00:00:00"/>
    <s v="Lb1093"/>
    <s v="Pablo López"/>
    <x v="3"/>
    <x v="0"/>
    <x v="25"/>
    <s v="Don Quijote De La Mancha"/>
    <s v="Miguel De Cervantes"/>
    <s v="Novela"/>
    <n v="1933"/>
    <s v="B-2"/>
    <x v="1"/>
  </r>
  <r>
    <s v="Pr2568"/>
    <x v="257"/>
    <d v="2025-07-29T00:00:00"/>
    <s v="Lb1073"/>
    <s v="Camila Álvarez"/>
    <x v="2"/>
    <x v="0"/>
    <x v="25"/>
    <s v="Rebelión En La Granja"/>
    <s v="George Orwell"/>
    <s v="Ciencia Ficción"/>
    <n v="1897"/>
    <s v="C-3"/>
    <x v="0"/>
  </r>
  <r>
    <s v="Pr2005"/>
    <x v="264"/>
    <d v="2025-06-16T00:00:00"/>
    <s v="Lb1100"/>
    <s v="Jorge Ibáñez"/>
    <x v="2"/>
    <x v="2"/>
    <x v="7"/>
    <s v="La Iliada"/>
    <s v="Homero"/>
    <s v="Clásicos"/>
    <n v="1913"/>
    <s v="A-1"/>
    <x v="0"/>
  </r>
  <r>
    <s v="Pr2118"/>
    <x v="265"/>
    <d v="2025-05-08T00:00:00"/>
    <s v="Lb1065"/>
    <s v="Miguel Ángel"/>
    <x v="2"/>
    <x v="0"/>
    <x v="26"/>
    <s v="Ficciones"/>
    <s v="Jorge Luis Borges"/>
    <s v="Cuentos / Fantasía Metafísica"/>
    <n v="1953"/>
    <s v="A-1"/>
    <x v="0"/>
  </r>
  <r>
    <s v="Pr2238"/>
    <x v="8"/>
    <d v="2025-12-02T00:00:00"/>
    <s v="Lb1319"/>
    <s v="Pedro Sánchez"/>
    <x v="4"/>
    <x v="1"/>
    <x v="1"/>
    <s v="Libro No Existe"/>
    <s v="Libro No Existe"/>
    <s v="Libro No Existe"/>
    <s v="Libro No Existe"/>
    <s v="No Existe"/>
    <x v="2"/>
  </r>
  <r>
    <s v="Pr2250"/>
    <x v="9"/>
    <d v="2025-12-20T00:00:00"/>
    <s v="Lb1040"/>
    <s v="Ana Gómez"/>
    <x v="1"/>
    <x v="2"/>
    <x v="7"/>
    <s v="Rebelión En La Granja"/>
    <s v="George Orwell"/>
    <s v="Ciencia Ficción"/>
    <n v="1936"/>
    <s v="Est-1"/>
    <x v="1"/>
  </r>
  <r>
    <s v="Pr2266"/>
    <x v="105"/>
    <d v="2025-09-09T00:00:00"/>
    <s v="Lb1154"/>
    <s v="Carolina Rojas"/>
    <x v="3"/>
    <x v="0"/>
    <x v="26"/>
    <s v="El Código Da Vinci"/>
    <s v="Dan Brown"/>
    <s v="Misterio"/>
    <n v="1966"/>
    <s v="C-3"/>
    <x v="1"/>
  </r>
  <r>
    <s v="Pr2267"/>
    <x v="210"/>
    <s v="No Asignado"/>
    <s v="Lb1176"/>
    <s v="Andrés Gómez"/>
    <x v="1"/>
    <x v="1"/>
    <x v="1"/>
    <s v="Hamlet"/>
    <s v="William Shakespeare"/>
    <s v="Clásicos"/>
    <n v="1880"/>
    <s v="B-2"/>
    <x v="0"/>
  </r>
  <r>
    <s v="Pr2291"/>
    <x v="243"/>
    <d v="2025-08-05T00:00:00"/>
    <s v="Lb1046"/>
    <s v="Sofía Torres"/>
    <x v="4"/>
    <x v="0"/>
    <x v="26"/>
    <s v="Cien Años De Soledad"/>
    <s v="Gabriel García Márquez"/>
    <s v="Novela"/>
    <n v="2016"/>
    <s v="C-3"/>
    <x v="0"/>
  </r>
  <r>
    <s v="Pr2307"/>
    <x v="266"/>
    <d v="2026-01-02T00:00:00"/>
    <s v="Lb1071"/>
    <s v="Luisa Fernández"/>
    <x v="3"/>
    <x v="0"/>
    <x v="26"/>
    <s v="Pedro Páramo"/>
    <s v="Juan Rulfo"/>
    <s v="Novela"/>
    <n v="1920"/>
    <s v="No Asignado"/>
    <x v="1"/>
  </r>
  <r>
    <s v="Pr2341"/>
    <x v="114"/>
    <d v="2025-09-16T00:00:00"/>
    <s v="Lb1118"/>
    <s v="Carlos Ruiz"/>
    <x v="3"/>
    <x v="2"/>
    <x v="7"/>
    <s v="Matar A Un Ruiseñor"/>
    <s v="Harper Lee"/>
    <s v="Novela"/>
    <n v="1959"/>
    <s v="C-3"/>
    <x v="0"/>
  </r>
  <r>
    <s v="Pr2394"/>
    <x v="267"/>
    <d v="2025-10-07T00:00:00"/>
    <s v="Lb1055"/>
    <s v="Andrés Gómez"/>
    <x v="0"/>
    <x v="2"/>
    <x v="7"/>
    <s v="La Sombra Del Viento"/>
    <s v="Carlos Ruiz Zafón"/>
    <s v="Misterio"/>
    <n v="2022"/>
    <s v="Est-1"/>
    <x v="0"/>
  </r>
  <r>
    <s v="Pr2440"/>
    <x v="268"/>
    <d v="2025-10-17T00:00:00"/>
    <s v="Lb1171"/>
    <s v="Pablo López"/>
    <x v="3"/>
    <x v="0"/>
    <x v="26"/>
    <s v="Sobre La Felicidad"/>
    <s v="Lucio Anneo Séneca"/>
    <s v="Filosofía Y Pensamiento"/>
    <n v="1940"/>
    <s v="A-1"/>
    <x v="1"/>
  </r>
  <r>
    <s v="Pr2477"/>
    <x v="196"/>
    <s v="No Asignado"/>
    <s v="Lb1174"/>
    <s v="Ana Gómez"/>
    <x v="3"/>
    <x v="1"/>
    <x v="1"/>
    <s v="Orgullo Y Prejuicio"/>
    <s v="Jane Austen"/>
    <s v="Novela"/>
    <n v="2009"/>
    <s v="Est-1"/>
    <x v="1"/>
  </r>
  <r>
    <s v="Pr2494"/>
    <x v="176"/>
    <d v="2025-09-08T00:00:00"/>
    <s v="Lb1120"/>
    <s v="Noelia Martín"/>
    <x v="3"/>
    <x v="0"/>
    <x v="26"/>
    <s v="Los Detectives Salvajes"/>
    <s v="Roberto Bolaño"/>
    <s v="Novela"/>
    <n v="1919"/>
    <s v="B-2"/>
    <x v="0"/>
  </r>
  <r>
    <s v="Pr2507"/>
    <x v="167"/>
    <d v="2025-03-23T00:00:00"/>
    <s v="Lb1159"/>
    <s v="Carolina Rojas"/>
    <x v="2"/>
    <x v="2"/>
    <x v="7"/>
    <s v="El Principito"/>
    <s v="Antoine De Saint-Exupéry"/>
    <s v="Literatura Infantil / Fábula Filosófica"/>
    <n v="2000"/>
    <s v="A-1"/>
    <x v="1"/>
  </r>
  <r>
    <s v="Pr2012"/>
    <x v="91"/>
    <s v="No Asignado"/>
    <s v="Lb1078"/>
    <s v="Carolina Rojas"/>
    <x v="0"/>
    <x v="1"/>
    <x v="6"/>
    <s v="La Casa De Los Espíritus"/>
    <s v="Isabel Allende"/>
    <s v="Novela"/>
    <n v="2018"/>
    <s v="Est-1"/>
    <x v="0"/>
  </r>
  <r>
    <s v="Pr2035"/>
    <x v="91"/>
    <d v="2025-10-06T00:00:00"/>
    <s v="Lb1257"/>
    <s v="Luisa Fernández"/>
    <x v="2"/>
    <x v="2"/>
    <x v="7"/>
    <s v="Libro No Existe"/>
    <s v="Libro No Existe"/>
    <s v="Libro No Existe"/>
    <s v="Libro No Existe"/>
    <s v="No Existe"/>
    <x v="2"/>
  </r>
  <r>
    <s v="Pr2056"/>
    <x v="91"/>
    <d v="2025-10-27T00:00:00"/>
    <s v="Lb1041"/>
    <s v="Luisa Fernández"/>
    <x v="3"/>
    <x v="2"/>
    <x v="7"/>
    <s v="La Ciudad Y Los Perros"/>
    <s v="Mario Vargas Llosa"/>
    <s v="Novela"/>
    <n v="2009"/>
    <s v="Est-1"/>
    <x v="1"/>
  </r>
  <r>
    <s v="Pr2076"/>
    <x v="91"/>
    <d v="2025-09-08T00:00:00"/>
    <s v="Lb1176"/>
    <s v="María López"/>
    <x v="2"/>
    <x v="2"/>
    <x v="7"/>
    <s v="Hamlet"/>
    <s v="William Shakespeare"/>
    <s v="Clásicos"/>
    <n v="1880"/>
    <s v="B-2"/>
    <x v="0"/>
  </r>
  <r>
    <s v="Pr2078"/>
    <x v="91"/>
    <s v="No Asignado"/>
    <s v="Lb1071"/>
    <s v="Felipe Ramírez"/>
    <x v="3"/>
    <x v="1"/>
    <x v="6"/>
    <s v="Pedro Páramo"/>
    <s v="Juan Rulfo"/>
    <s v="Novela"/>
    <n v="1920"/>
    <s v="No Asignado"/>
    <x v="1"/>
  </r>
  <r>
    <s v="Pr2079"/>
    <x v="91"/>
    <d v="2025-06-07T00:00:00"/>
    <s v="Lb1162"/>
    <s v="Miguel Ángel"/>
    <x v="1"/>
    <x v="0"/>
    <x v="3"/>
    <s v="Matar A Un Ruiseñor"/>
    <s v="Harper Lee"/>
    <s v="Novela"/>
    <n v="1981"/>
    <s v="C-3"/>
    <x v="1"/>
  </r>
  <r>
    <s v="Pr2082"/>
    <x v="91"/>
    <s v="No Asignado"/>
    <s v="Lb1061"/>
    <s v="Andrés Gómez"/>
    <x v="2"/>
    <x v="0"/>
    <x v="6"/>
    <s v="El Túnel"/>
    <s v="Ernesto Sabato"/>
    <s v="Novela"/>
    <n v="1943"/>
    <s v="Est-1"/>
    <x v="1"/>
  </r>
  <r>
    <s v="Pr2091"/>
    <x v="91"/>
    <d v="2025-04-18T00:00:00"/>
    <s v="Lb1062"/>
    <s v="Andrés Gómez"/>
    <x v="0"/>
    <x v="0"/>
    <x v="3"/>
    <s v="Sobre La Felicidad"/>
    <s v="Lucio Anneo Séneca"/>
    <s v="Filosofía Y Pensamiento"/>
    <n v="1895"/>
    <s v="A-1"/>
    <x v="1"/>
  </r>
  <r>
    <s v="Pr2116"/>
    <x v="91"/>
    <d v="2025-10-06T00:00:00"/>
    <s v="Lb1107"/>
    <s v="Jorge Ibáñez"/>
    <x v="2"/>
    <x v="0"/>
    <x v="3"/>
    <s v="Orgullo Y Prejuicio"/>
    <s v="Jane Austen"/>
    <s v="Novela"/>
    <n v="1934"/>
    <s v="A-1"/>
    <x v="0"/>
  </r>
  <r>
    <s v="Pr2131"/>
    <x v="91"/>
    <s v="No Asignado"/>
    <s v="Lb1106"/>
    <s v="Camila Álvarez"/>
    <x v="0"/>
    <x v="1"/>
    <x v="1"/>
    <s v="Ficciones"/>
    <s v="Jorge Luis Borges"/>
    <s v="Cuentos / Fantasía Metafísica"/>
    <n v="1990"/>
    <s v="B-2"/>
    <x v="1"/>
  </r>
  <r>
    <s v="Pr2153"/>
    <x v="91"/>
    <s v="No Asignado"/>
    <s v="Lb1066"/>
    <s v="Pablo López"/>
    <x v="0"/>
    <x v="1"/>
    <x v="6"/>
    <s v="La Tregua"/>
    <s v="Mario Benedetti"/>
    <s v="Novela"/>
    <n v="1962"/>
    <s v="No Asignado"/>
    <x v="1"/>
  </r>
  <r>
    <s v="Pr2154"/>
    <x v="91"/>
    <s v="No Asignado"/>
    <s v="Lb1189"/>
    <s v="Luisa Fernández"/>
    <x v="2"/>
    <x v="1"/>
    <x v="6"/>
    <s v="Sobre La Felicidad"/>
    <s v="Lucio Anneo Séneca"/>
    <s v="Filosofía Y Pensamiento"/>
    <n v="1917"/>
    <s v="B-2"/>
    <x v="1"/>
  </r>
  <r>
    <s v="Pr2169"/>
    <x v="91"/>
    <d v="2025-12-17T00:00:00"/>
    <s v="Lb1183"/>
    <s v="Felipe Ramírez"/>
    <x v="1"/>
    <x v="2"/>
    <x v="7"/>
    <s v="Ficciones"/>
    <s v="Jorge Luis Borges"/>
    <s v="Cuentos / Fantasía Metafísica"/>
    <n v="2022"/>
    <s v="A-1"/>
    <x v="1"/>
  </r>
  <r>
    <s v="Pr2176"/>
    <x v="91"/>
    <s v="No Asignado"/>
    <s v="Lb1136"/>
    <s v="Juan Pérez"/>
    <x v="3"/>
    <x v="1"/>
    <x v="1"/>
    <s v="La Casa De Los Espíritus"/>
    <s v="Isabel Allende"/>
    <s v="Novela"/>
    <n v="1970"/>
    <s v="C-3"/>
    <x v="0"/>
  </r>
  <r>
    <s v="Pr2190"/>
    <x v="91"/>
    <s v="No Asignado"/>
    <s v="Lb1071"/>
    <s v="Andrés Díaz"/>
    <x v="1"/>
    <x v="1"/>
    <x v="6"/>
    <s v="Pedro Páramo"/>
    <s v="Juan Rulfo"/>
    <s v="Novela"/>
    <n v="1920"/>
    <s v="No Asignado"/>
    <x v="1"/>
  </r>
  <r>
    <s v="Pr2200"/>
    <x v="91"/>
    <s v="No Asignado"/>
    <s v="Lb1158"/>
    <s v="Ana Gómez"/>
    <x v="4"/>
    <x v="1"/>
    <x v="6"/>
    <s v="El Aleph"/>
    <s v="Jorge Luis Borges"/>
    <s v="Cuentos / Fantasía Metafísica"/>
    <n v="1977"/>
    <s v="No Asignado"/>
    <x v="0"/>
  </r>
  <r>
    <s v="Pr2223"/>
    <x v="91"/>
    <s v="No Asignado"/>
    <s v="Lb1114"/>
    <s v="Juan Pérez"/>
    <x v="3"/>
    <x v="1"/>
    <x v="1"/>
    <s v="Rebelión En La Granja"/>
    <s v="George Orwell"/>
    <s v="Ciencia Ficción"/>
    <n v="1995"/>
    <s v="A-1"/>
    <x v="0"/>
  </r>
  <r>
    <s v="Pr2224"/>
    <x v="91"/>
    <s v="No Asignado"/>
    <s v="Lb1111"/>
    <s v="María López"/>
    <x v="0"/>
    <x v="0"/>
    <x v="3"/>
    <s v="Matadero Cinco"/>
    <s v="Kurt Vonnegut"/>
    <s v="Ciencia Ficción"/>
    <n v="1923"/>
    <s v="Est-1"/>
    <x v="1"/>
  </r>
  <r>
    <s v="Pr2235"/>
    <x v="91"/>
    <d v="2025-06-26T00:00:00"/>
    <s v="Lb1178"/>
    <s v="Camila Álvarez"/>
    <x v="2"/>
    <x v="2"/>
    <x v="7"/>
    <s v="Los Detectives Salvajes"/>
    <s v="Roberto Bolaño"/>
    <s v="Novela"/>
    <n v="1914"/>
    <s v="C-3"/>
    <x v="1"/>
  </r>
  <r>
    <s v="Pr2237"/>
    <x v="91"/>
    <d v="2025-11-19T00:00:00"/>
    <s v="Lb1015"/>
    <s v=" Miguel Ángel "/>
    <x v="3"/>
    <x v="2"/>
    <x v="7"/>
    <s v="La Iliada"/>
    <s v="Homero"/>
    <s v="Clásicos"/>
    <n v="2021"/>
    <s v="Est-1"/>
    <x v="0"/>
  </r>
  <r>
    <s v="Pr2278"/>
    <x v="91"/>
    <d v="2025-02-13T00:00:00"/>
    <s v="Lb1090"/>
    <s v="Laura Ruiz"/>
    <x v="3"/>
    <x v="2"/>
    <x v="7"/>
    <s v="La Ciudad Y Los Perros"/>
    <s v="Mario Vargas Llosa"/>
    <s v="Novela"/>
    <n v="2018"/>
    <s v="Est-1"/>
    <x v="1"/>
  </r>
  <r>
    <s v="Pr2309"/>
    <x v="91"/>
    <d v="2025-07-22T00:00:00"/>
    <s v="Lb1026"/>
    <s v=" Jorge Ibáñez "/>
    <x v="4"/>
    <x v="0"/>
    <x v="8"/>
    <s v="Rayuela"/>
    <s v="Julio Cortázar"/>
    <s v="Novela"/>
    <n v="1932"/>
    <s v="B-2"/>
    <x v="0"/>
  </r>
  <r>
    <s v="Pr2326"/>
    <x v="91"/>
    <d v="2025-09-05T00:00:00"/>
    <s v="Lb1001"/>
    <s v="Andrés Gómez"/>
    <x v="1"/>
    <x v="2"/>
    <x v="7"/>
    <s v="La Odisea"/>
    <s v="Homero"/>
    <s v="Clásicos"/>
    <n v="2019"/>
    <s v="Est-1"/>
    <x v="0"/>
  </r>
  <r>
    <s v="Pr2344"/>
    <x v="91"/>
    <s v="No Asignado"/>
    <s v="Lb1122"/>
    <s v="Carolina Rojas"/>
    <x v="4"/>
    <x v="1"/>
    <x v="1"/>
    <s v="El Aleph"/>
    <s v="Jorge Luis Borges"/>
    <s v="Cuentos / Fantasía Metafísica"/>
    <n v="1994"/>
    <s v="Est-1"/>
    <x v="1"/>
  </r>
  <r>
    <s v="Pr2431"/>
    <x v="91"/>
    <d v="2025-09-01T00:00:00"/>
    <s v="Lb1130"/>
    <s v="Jorge Ibáñez"/>
    <x v="3"/>
    <x v="0"/>
    <x v="8"/>
    <s v="El Amor En Los Tiempos Del Cólera"/>
    <s v="Gabriel García Márquez"/>
    <s v="Novela"/>
    <n v="1979"/>
    <s v="B-2"/>
    <x v="0"/>
  </r>
  <r>
    <s v="Pr2460"/>
    <x v="91"/>
    <d v="2025-09-17T00:00:00"/>
    <s v="Lb1106"/>
    <s v="Sofía Torres"/>
    <x v="3"/>
    <x v="0"/>
    <x v="8"/>
    <s v="Ficciones"/>
    <s v="Jorge Luis Borges"/>
    <s v="Cuentos / Fantasía Metafísica"/>
    <n v="1990"/>
    <s v="B-2"/>
    <x v="1"/>
  </r>
  <r>
    <s v="Pr2519"/>
    <x v="91"/>
    <s v="No Asignado"/>
    <s v="Lb1190"/>
    <s v="Diego Gómez"/>
    <x v="2"/>
    <x v="1"/>
    <x v="1"/>
    <s v="Pedro Páramo"/>
    <s v="Juan Rulfo"/>
    <s v="Novela"/>
    <n v="1966"/>
    <s v="Est-1"/>
    <x v="1"/>
  </r>
  <r>
    <s v="Pr2521"/>
    <x v="91"/>
    <d v="2025-09-17T00:00:00"/>
    <s v="Lb1068"/>
    <s v="Noelia Martín"/>
    <x v="2"/>
    <x v="0"/>
    <x v="0"/>
    <s v="La Sombra Del Viento"/>
    <s v="Carlos Ruiz Zafón"/>
    <s v="Misterio"/>
    <n v="1906"/>
    <s v="A-1"/>
    <x v="1"/>
  </r>
  <r>
    <s v="Pr2544"/>
    <x v="91"/>
    <s v="No Asignado"/>
    <s v="Lb1132"/>
    <s v="Noelia Martín"/>
    <x v="3"/>
    <x v="1"/>
    <x v="1"/>
    <s v="El Código Da Vinci"/>
    <s v="Dan Brown"/>
    <s v="Misterio"/>
    <n v="1896"/>
    <s v="No Asignado"/>
    <x v="1"/>
  </r>
  <r>
    <s v="Pr2591"/>
    <x v="91"/>
    <s v="No Asignado"/>
    <s v="Lb1098"/>
    <s v="Luisa Fernández"/>
    <x v="0"/>
    <x v="1"/>
    <x v="0"/>
    <s v="Ficciones"/>
    <s v="Jorge Luis Borges"/>
    <s v="Cuentos / Fantasía Metafísica"/>
    <n v="1990"/>
    <s v="A-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n v="10375"/>
    <s v="Hungry Coyote Import Store"/>
    <x v="0"/>
    <x v="0"/>
    <x v="0"/>
    <s v="TCC"/>
    <x v="0"/>
    <n v="321.92"/>
    <n v="8.6918399999999991"/>
    <n v="330.61183999999997"/>
  </r>
  <r>
    <n v="10381"/>
    <s v="LILA-Supermercado"/>
    <x v="1"/>
    <x v="0"/>
    <x v="1"/>
    <s v="DEPRISA"/>
    <x v="1"/>
    <n v="511.36"/>
    <n v="17.386240000000001"/>
    <n v="528.74623999999994"/>
  </r>
  <r>
    <n v="10391"/>
    <s v="Drachenblut Delikatessen"/>
    <x v="2"/>
    <x v="0"/>
    <x v="1"/>
    <s v="DEPRISA"/>
    <x v="2"/>
    <n v="348.8"/>
    <n v="8.3712"/>
    <n v="357.1712"/>
  </r>
  <r>
    <n v="10410"/>
    <s v="Bottom-Dollar Markets"/>
    <x v="3"/>
    <x v="0"/>
    <x v="1"/>
    <s v="DEPRISA"/>
    <x v="3"/>
    <n v="153.6"/>
    <n v="5.5296000000000003"/>
    <n v="159.12960000000001"/>
  </r>
  <r>
    <n v="10432"/>
    <s v="Split Rail Beer &amp; Ale"/>
    <x v="0"/>
    <x v="0"/>
    <x v="0"/>
    <s v="TCC"/>
    <x v="4"/>
    <n v="277.76"/>
    <n v="7.4995200000000004"/>
    <n v="285.25952000000001"/>
  </r>
  <r>
    <n v="10434"/>
    <s v="Folk och fä HB"/>
    <x v="4"/>
    <x v="0"/>
    <x v="0"/>
    <s v="TCC"/>
    <x v="5"/>
    <n v="286.72000000000003"/>
    <n v="10.608639999999999"/>
    <n v="297.32864000000001"/>
  </r>
  <r>
    <n v="10438"/>
    <s v="Toms Spezialitäten"/>
    <x v="2"/>
    <x v="0"/>
    <x v="0"/>
    <s v="TCC"/>
    <x v="6"/>
    <n v="527.36"/>
    <n v="12.12928"/>
    <n v="539.48928000000001"/>
  </r>
  <r>
    <n v="10444"/>
    <s v="Berglunds snabbköp"/>
    <x v="4"/>
    <x v="0"/>
    <x v="1"/>
    <s v="DEPRISA"/>
    <x v="7"/>
    <n v="224"/>
    <n v="8.5120000000000005"/>
    <n v="232.512"/>
  </r>
  <r>
    <n v="10449"/>
    <s v="Blondel père et fils"/>
    <x v="5"/>
    <x v="0"/>
    <x v="0"/>
    <s v="TCC"/>
    <x v="8"/>
    <n v="852.8"/>
    <n v="16.203199999999999"/>
    <n v="869.00319999999999"/>
  </r>
  <r>
    <n v="10468"/>
    <s v="Königlich Essen"/>
    <x v="2"/>
    <x v="0"/>
    <x v="1"/>
    <s v="DEPRISA"/>
    <x v="9"/>
    <n v="705.92"/>
    <n v="16.942080000000001"/>
    <n v="722.86207999999999"/>
  </r>
  <r>
    <n v="10484"/>
    <s v="B's Beverages"/>
    <x v="6"/>
    <x v="0"/>
    <x v="1"/>
    <s v="DEPRISA"/>
    <x v="10"/>
    <n v="440.32"/>
    <n v="14.09024"/>
    <n v="454.41023999999999"/>
  </r>
  <r>
    <n v="10495"/>
    <s v="Laughing Bacchus Wine Cellars"/>
    <x v="3"/>
    <x v="0"/>
    <x v="1"/>
    <s v="DEPRISA"/>
    <x v="11"/>
    <n v="297.60000000000002"/>
    <n v="10.7136"/>
    <n v="308.31360000000001"/>
  </r>
  <r>
    <n v="10505"/>
    <s v="Mère Paillarde"/>
    <x v="3"/>
    <x v="0"/>
    <x v="1"/>
    <s v="DEPRISA"/>
    <x v="12"/>
    <n v="456.32"/>
    <n v="16.427520000000001"/>
    <n v="472.74752000000001"/>
  </r>
  <r>
    <n v="10517"/>
    <s v="North/South"/>
    <x v="6"/>
    <x v="0"/>
    <x v="1"/>
    <s v="DEPRISA"/>
    <x v="13"/>
    <n v="513.12"/>
    <n v="16.419840000000001"/>
    <n v="529.53984000000003"/>
  </r>
  <r>
    <n v="10548"/>
    <s v="Toms Spezialitäten"/>
    <x v="2"/>
    <x v="0"/>
    <x v="0"/>
    <s v="TCC"/>
    <x v="14"/>
    <n v="91.52"/>
    <n v="2.1049600000000002"/>
    <n v="93.624960000000002"/>
  </r>
  <r>
    <n v="10568"/>
    <s v="Galería del gastronómo"/>
    <x v="7"/>
    <x v="0"/>
    <x v="1"/>
    <s v="DEPRISA"/>
    <x v="15"/>
    <n v="418.56"/>
    <n v="19.25376"/>
    <n v="437.81376"/>
  </r>
  <r>
    <n v="10576"/>
    <s v="Tortuga Restaurante"/>
    <x v="8"/>
    <x v="0"/>
    <x v="1"/>
    <s v="DEPRISA"/>
    <x v="16"/>
    <n v="296.95999999999998"/>
    <n v="14.25408"/>
    <n v="311.21408000000002"/>
  </r>
  <r>
    <n v="10582"/>
    <s v="Blauer See Delikatessen"/>
    <x v="2"/>
    <x v="0"/>
    <x v="0"/>
    <s v="DEPRISA"/>
    <x v="17"/>
    <n v="443.36"/>
    <n v="10.640639999999999"/>
    <n v="454.00063999999998"/>
  </r>
  <r>
    <n v="10594"/>
    <s v="Old World Delicatessen"/>
    <x v="0"/>
    <x v="0"/>
    <x v="0"/>
    <s v="DEPRISA"/>
    <x v="18"/>
    <n v="335.36"/>
    <n v="9.3900799999999993"/>
    <n v="344.75008000000003"/>
  </r>
  <r>
    <n v="10644"/>
    <s v="Wellington Importadora"/>
    <x v="9"/>
    <x v="0"/>
    <x v="0"/>
    <s v="DEPRISA"/>
    <x v="19"/>
    <n v="80.281599999999997"/>
    <n v="1.7661952000000001"/>
    <n v="82.047795199999996"/>
  </r>
  <r>
    <n v="10662"/>
    <s v="Lonesome Pine Restaurant"/>
    <x v="0"/>
    <x v="0"/>
    <x v="0"/>
    <s v="DEPRISA"/>
    <x v="20"/>
    <n v="81.92"/>
    <n v="2.2937599999999998"/>
    <n v="84.213759999999994"/>
  </r>
  <r>
    <n v="10682"/>
    <s v="Antonio Moreno Taquería"/>
    <x v="8"/>
    <x v="0"/>
    <x v="0"/>
    <s v="DEPRISA"/>
    <x v="21"/>
    <n v="578.08000000000004"/>
    <n v="27.74784"/>
    <n v="605.82784000000004"/>
  </r>
  <r>
    <n v="10699"/>
    <s v="Morgenstern Gesundkost"/>
    <x v="2"/>
    <x v="0"/>
    <x v="1"/>
    <s v="DEPRISA"/>
    <x v="22"/>
    <n v="1377.8943999999999"/>
    <n v="33.069465600000001"/>
    <n v="1410.9638656"/>
  </r>
  <r>
    <n v="10739"/>
    <s v="Vins et alcools Chevalier"/>
    <x v="5"/>
    <x v="0"/>
    <x v="1"/>
    <s v="DEPRISA"/>
    <x v="23"/>
    <n v="709.12"/>
    <n v="14.182399999999999"/>
    <n v="723.30240000000003"/>
  </r>
  <r>
    <n v="10759"/>
    <s v="Ana Trujillo Emparedados y hel"/>
    <x v="8"/>
    <x v="0"/>
    <x v="1"/>
    <s v="DEPRISA"/>
    <x v="24"/>
    <n v="767.36"/>
    <n v="36.833280000000002"/>
    <n v="804.19327999999996"/>
  </r>
  <r>
    <n v="10763"/>
    <s v="Folies gourmandes"/>
    <x v="5"/>
    <x v="0"/>
    <x v="1"/>
    <s v="DEPRISA"/>
    <x v="25"/>
    <n v="597.6"/>
    <n v="11.952"/>
    <n v="609.55200000000002"/>
  </r>
  <r>
    <n v="10765"/>
    <s v="QUICK-Stop"/>
    <x v="2"/>
    <x v="0"/>
    <x v="1"/>
    <s v="DEPRISA"/>
    <x v="26"/>
    <n v="683.84"/>
    <n v="16.41216"/>
    <n v="700.25216"/>
  </r>
  <r>
    <n v="10793"/>
    <s v="Around the Horn"/>
    <x v="6"/>
    <x v="0"/>
    <x v="1"/>
    <s v="DEPRISA"/>
    <x v="27"/>
    <n v="289.27999999999997"/>
    <n v="9.2569599999999994"/>
    <n v="298.53696000000002"/>
  </r>
  <r>
    <n v="10806"/>
    <s v="Victuailles en stock"/>
    <x v="5"/>
    <x v="0"/>
    <x v="0"/>
    <s v="DEPRISA"/>
    <x v="28"/>
    <n v="353.76"/>
    <n v="7.0751999999999997"/>
    <n v="360.83519999999999"/>
  </r>
  <r>
    <n v="10820"/>
    <s v="Rattlesnake Canyon Grocery"/>
    <x v="0"/>
    <x v="0"/>
    <x v="0"/>
    <s v="DEPRISA"/>
    <x v="29"/>
    <n v="600.32000000000005"/>
    <n v="16.808959999999999"/>
    <n v="617.12896000000001"/>
  </r>
  <r>
    <n v="10839"/>
    <s v="Tradição Hipermercados"/>
    <x v="9"/>
    <x v="0"/>
    <x v="1"/>
    <s v="DEPRISA"/>
    <x v="30"/>
    <n v="566.88"/>
    <n v="12.471360000000001"/>
    <n v="579.35136"/>
  </r>
  <r>
    <n v="10860"/>
    <s v="France restauration"/>
    <x v="5"/>
    <x v="0"/>
    <x v="1"/>
    <s v="DEPRISA"/>
    <x v="31"/>
    <n v="308.16000000000003"/>
    <n v="6.1631999999999998"/>
    <n v="314.32319999999999"/>
  </r>
  <r>
    <n v="10879"/>
    <s v="Wilman Kala"/>
    <x v="10"/>
    <x v="0"/>
    <x v="1"/>
    <s v="DEPRISA"/>
    <x v="32"/>
    <n v="544"/>
    <n v="16.32"/>
    <n v="560.32000000000005"/>
  </r>
  <r>
    <n v="10903"/>
    <s v="Hanari Carnes"/>
    <x v="9"/>
    <x v="0"/>
    <x v="1"/>
    <s v="DEPRISA"/>
    <x v="33"/>
    <n v="587.36"/>
    <n v="12.92192"/>
    <n v="600.28192000000001"/>
  </r>
  <r>
    <n v="10934"/>
    <s v="Lehmanns Marktstand"/>
    <x v="2"/>
    <x v="0"/>
    <x v="1"/>
    <s v="DEPRISA"/>
    <x v="34"/>
    <n v="512.16"/>
    <n v="12.291840000000001"/>
    <n v="524.45183999999995"/>
  </r>
  <r>
    <n v="10936"/>
    <s v="Great Lakes Food Market"/>
    <x v="0"/>
    <x v="0"/>
    <x v="0"/>
    <s v="DEPRISA"/>
    <x v="34"/>
    <n v="538.88"/>
    <n v="15.08864"/>
    <n v="553.96864000000005"/>
  </r>
  <r>
    <n v="10938"/>
    <s v="QUICK-Stop"/>
    <x v="2"/>
    <x v="0"/>
    <x v="0"/>
    <s v="DEPRISA"/>
    <x v="35"/>
    <n v="510.24"/>
    <n v="12.245760000000001"/>
    <n v="522.48576000000003"/>
  </r>
  <r>
    <n v="10947"/>
    <s v="B's Beverages"/>
    <x v="6"/>
    <x v="0"/>
    <x v="0"/>
    <s v="DEPRISA"/>
    <x v="36"/>
    <n v="208.64"/>
    <n v="6.6764799999999997"/>
    <n v="215.31648000000001"/>
  </r>
  <r>
    <n v="10948"/>
    <s v="Godos Cocina Típica"/>
    <x v="7"/>
    <x v="0"/>
    <x v="1"/>
    <s v="DEPRISA"/>
    <x v="36"/>
    <n v="374.24"/>
    <n v="17.215039999999998"/>
    <n v="391.45504"/>
  </r>
  <r>
    <n v="10974"/>
    <s v="Split Rail Beer &amp; Ale"/>
    <x v="0"/>
    <x v="0"/>
    <x v="1"/>
    <s v="DEPRISA"/>
    <x v="37"/>
    <n v="207.36"/>
    <n v="5.8060799999999997"/>
    <n v="213.16607999999999"/>
  </r>
  <r>
    <n v="11003"/>
    <s v="The Cracker Box"/>
    <x v="0"/>
    <x v="0"/>
    <x v="1"/>
    <s v="DEPRISA"/>
    <x v="38"/>
    <n v="238.56"/>
    <n v="6.6796800000000003"/>
    <n v="245.23967999999999"/>
  </r>
  <r>
    <n v="11006"/>
    <s v="Great Lakes Food Market"/>
    <x v="0"/>
    <x v="0"/>
    <x v="0"/>
    <s v="DEPRISA"/>
    <x v="39"/>
    <n v="403.04"/>
    <n v="11.285119999999999"/>
    <n v="414.32512000000003"/>
  </r>
  <r>
    <n v="11057"/>
    <s v="North/South"/>
    <x v="6"/>
    <x v="0"/>
    <x v="1"/>
    <s v="DEPRISA"/>
    <x v="40"/>
    <n v="264.32"/>
    <n v="8.45824"/>
    <n v="272.77823999999998"/>
  </r>
  <r>
    <n v="10427"/>
    <s v="Piccolo und mehr"/>
    <x v="11"/>
    <x v="1"/>
    <x v="0"/>
    <s v="TCC"/>
    <x v="41"/>
    <n v="500.64"/>
    <n v="28.536480000000001"/>
    <n v="529.17647999999997"/>
  </r>
  <r>
    <n v="10431"/>
    <s v="Bottom-Dollar Markets"/>
    <x v="3"/>
    <x v="1"/>
    <x v="0"/>
    <s v="TCC"/>
    <x v="42"/>
    <n v="706.72"/>
    <n v="24.735199999999999"/>
    <n v="731.45519999999999"/>
  </r>
  <r>
    <n v="10448"/>
    <s v="Rancho grande"/>
    <x v="12"/>
    <x v="1"/>
    <x v="0"/>
    <s v="TCC"/>
    <x v="43"/>
    <n v="621.12"/>
    <n v="24.223680000000002"/>
    <n v="645.34367999999995"/>
  </r>
  <r>
    <n v="10454"/>
    <s v="La maison d'Asie"/>
    <x v="5"/>
    <x v="1"/>
    <x v="1"/>
    <s v="DEPRISA"/>
    <x v="44"/>
    <n v="175.36"/>
    <n v="3.5072000000000001"/>
    <n v="178.8672"/>
  </r>
  <r>
    <n v="10459"/>
    <s v="Victuailles en stock"/>
    <x v="5"/>
    <x v="1"/>
    <x v="0"/>
    <s v="TCC"/>
    <x v="45"/>
    <n v="401.44"/>
    <n v="7.6273600000000004"/>
    <n v="409.06736000000001"/>
  </r>
  <r>
    <n v="10493"/>
    <s v="La maison d'Asie"/>
    <x v="5"/>
    <x v="1"/>
    <x v="1"/>
    <s v="DEPRISA"/>
    <x v="46"/>
    <n v="680.96"/>
    <n v="13.619199999999999"/>
    <n v="694.57920000000001"/>
  </r>
  <r>
    <n v="10564"/>
    <s v="Rattlesnake Canyon Grocery"/>
    <x v="0"/>
    <x v="1"/>
    <x v="1"/>
    <s v="DEPRISA"/>
    <x v="47"/>
    <n v="220"/>
    <n v="6.16"/>
    <n v="226.16"/>
  </r>
  <r>
    <n v="10574"/>
    <s v="Trail's Head Gourmet Provision"/>
    <x v="0"/>
    <x v="1"/>
    <x v="0"/>
    <s v="DEPRISA"/>
    <x v="48"/>
    <n v="601.6"/>
    <n v="16.844799999999999"/>
    <n v="618.44479999999999"/>
  </r>
  <r>
    <n v="10578"/>
    <s v="B's Beverages"/>
    <x v="6"/>
    <x v="1"/>
    <x v="1"/>
    <s v="DEPRISA"/>
    <x v="49"/>
    <n v="473.6"/>
    <n v="15.155200000000001"/>
    <n v="488.7552"/>
  </r>
  <r>
    <n v="10590"/>
    <s v="Mère Paillarde"/>
    <x v="3"/>
    <x v="1"/>
    <x v="1"/>
    <s v="DEPRISA"/>
    <x v="50"/>
    <n v="716.32"/>
    <n v="25.787520000000001"/>
    <n v="742.10752000000002"/>
  </r>
  <r>
    <n v="10608"/>
    <s v="Toms Spezialitäten"/>
    <x v="2"/>
    <x v="1"/>
    <x v="0"/>
    <s v="DEPRISA"/>
    <x v="51"/>
    <n v="444.64"/>
    <n v="10.67136"/>
    <n v="455.31135999999998"/>
  </r>
  <r>
    <n v="10613"/>
    <s v="HILARIÓN-Abastos"/>
    <x v="1"/>
    <x v="1"/>
    <x v="0"/>
    <s v="DEPRISA"/>
    <x v="52"/>
    <n v="519.04"/>
    <n v="17.647359999999999"/>
    <n v="536.68736000000001"/>
  </r>
  <r>
    <n v="10617"/>
    <s v="Great Lakes Food Market"/>
    <x v="0"/>
    <x v="1"/>
    <x v="0"/>
    <s v="DEPRISA"/>
    <x v="53"/>
    <n v="296.48"/>
    <n v="8.3014399999999995"/>
    <n v="304.78143999999998"/>
  </r>
  <r>
    <n v="10621"/>
    <s v="Island Trading"/>
    <x v="6"/>
    <x v="1"/>
    <x v="0"/>
    <s v="DEPRISA"/>
    <x v="54"/>
    <n v="379.68"/>
    <n v="12.149760000000001"/>
    <n v="391.82976000000002"/>
  </r>
  <r>
    <n v="10628"/>
    <s v="Blondel père et fils"/>
    <x v="5"/>
    <x v="1"/>
    <x v="1"/>
    <s v="DEPRISA"/>
    <x v="55"/>
    <n v="485.76"/>
    <n v="9.7151999999999994"/>
    <n v="495.47519999999997"/>
  </r>
  <r>
    <n v="10647"/>
    <s v="Que Delícia"/>
    <x v="9"/>
    <x v="1"/>
    <x v="0"/>
    <s v="DEPRISA"/>
    <x v="56"/>
    <n v="728.64"/>
    <n v="16.030080000000002"/>
    <n v="744.67007999999998"/>
  </r>
  <r>
    <n v="10652"/>
    <s v="Gourmet Lanchonetes"/>
    <x v="9"/>
    <x v="1"/>
    <x v="0"/>
    <s v="DEPRISA"/>
    <x v="57"/>
    <n v="456.96"/>
    <n v="10.05312"/>
    <n v="467.01312000000001"/>
  </r>
  <r>
    <n v="10674"/>
    <s v="Island Trading"/>
    <x v="6"/>
    <x v="1"/>
    <x v="0"/>
    <s v="DEPRISA"/>
    <x v="58"/>
    <n v="3317.76"/>
    <n v="106.16831999999999"/>
    <n v="3423.92832"/>
  </r>
  <r>
    <n v="10685"/>
    <s v="Gourmet Lanchonetes"/>
    <x v="9"/>
    <x v="1"/>
    <x v="0"/>
    <s v="DEPRISA"/>
    <x v="59"/>
    <n v="540"/>
    <n v="11.88"/>
    <n v="551.88"/>
  </r>
  <r>
    <n v="10707"/>
    <s v="Around the Horn"/>
    <x v="6"/>
    <x v="1"/>
    <x v="1"/>
    <s v="DEPRISA"/>
    <x v="60"/>
    <n v="347.84"/>
    <n v="11.130879999999999"/>
    <n v="358.97088000000002"/>
  </r>
  <r>
    <n v="10716"/>
    <s v="Rancho grande"/>
    <x v="12"/>
    <x v="1"/>
    <x v="0"/>
    <s v="DEPRISA"/>
    <x v="61"/>
    <n v="361.12"/>
    <n v="14.444800000000001"/>
    <n v="375.56479999999999"/>
  </r>
  <r>
    <n v="10725"/>
    <s v="Familia Arquibaldo"/>
    <x v="9"/>
    <x v="1"/>
    <x v="1"/>
    <s v="DEPRISA"/>
    <x v="62"/>
    <n v="693.12"/>
    <n v="15.24864"/>
    <n v="708.36864000000003"/>
  </r>
  <r>
    <n v="10741"/>
    <s v="Berglunds snabbköp"/>
    <x v="4"/>
    <x v="1"/>
    <x v="1"/>
    <s v="DEPRISA"/>
    <x v="63"/>
    <n v="701.44"/>
    <n v="26.654720000000001"/>
    <n v="728.09472000000005"/>
  </r>
  <r>
    <n v="10755"/>
    <s v="Bon app'"/>
    <x v="5"/>
    <x v="1"/>
    <x v="0"/>
    <s v="DEPRISA"/>
    <x v="64"/>
    <n v="267.36"/>
    <n v="5.3472"/>
    <n v="272.7072"/>
  </r>
  <r>
    <n v="10767"/>
    <s v="Suprêmes délices"/>
    <x v="13"/>
    <x v="1"/>
    <x v="1"/>
    <s v="DEPRISA"/>
    <x v="65"/>
    <n v="101.76"/>
    <n v="2.6457600000000001"/>
    <n v="104.40576"/>
  </r>
  <r>
    <n v="10840"/>
    <s v="LINO-Delicateses"/>
    <x v="1"/>
    <x v="1"/>
    <x v="0"/>
    <s v="DEPRISA"/>
    <x v="30"/>
    <n v="173.44"/>
    <n v="5.89696"/>
    <n v="179.33696"/>
  </r>
  <r>
    <n v="10843"/>
    <s v="Victuailles en stock"/>
    <x v="5"/>
    <x v="1"/>
    <x v="0"/>
    <s v="DEPRISA"/>
    <x v="66"/>
    <n v="592.64"/>
    <n v="11.8528"/>
    <n v="604.49279999999999"/>
  </r>
  <r>
    <n v="10861"/>
    <s v="White Clover Markets"/>
    <x v="0"/>
    <x v="1"/>
    <x v="0"/>
    <s v="DEPRISA"/>
    <x v="67"/>
    <n v="238.88"/>
    <n v="6.6886400000000004"/>
    <n v="245.56863999999999"/>
  </r>
  <r>
    <n v="10863"/>
    <s v="HILARIÓN-Abastos"/>
    <x v="1"/>
    <x v="1"/>
    <x v="0"/>
    <s v="DEPRISA"/>
    <x v="68"/>
    <n v="484.16"/>
    <n v="16.46144"/>
    <n v="500.62144000000001"/>
  </r>
  <r>
    <n v="10864"/>
    <s v="Around the Horn"/>
    <x v="6"/>
    <x v="1"/>
    <x v="0"/>
    <s v="DEPRISA"/>
    <x v="68"/>
    <n v="194.56"/>
    <n v="6.2259200000000003"/>
    <n v="200.78592"/>
  </r>
  <r>
    <n v="10875"/>
    <s v="Berglunds snabbköp"/>
    <x v="4"/>
    <x v="1"/>
    <x v="0"/>
    <s v="DEPRISA"/>
    <x v="69"/>
    <n v="517.91999999999996"/>
    <n v="19.680959999999999"/>
    <n v="537.60095999999999"/>
  </r>
  <r>
    <n v="10882"/>
    <s v="Save-a-lot Markets"/>
    <x v="0"/>
    <x v="1"/>
    <x v="1"/>
    <s v="DEPRISA"/>
    <x v="70"/>
    <n v="369.6"/>
    <n v="10.348800000000001"/>
    <n v="379.94880000000001"/>
  </r>
  <r>
    <n v="10898"/>
    <s v="Océano Atlántico Ltda."/>
    <x v="12"/>
    <x v="1"/>
    <x v="0"/>
    <s v="DEPRISA"/>
    <x v="71"/>
    <n v="81.28"/>
    <n v="3.2511999999999999"/>
    <n v="84.531199999999998"/>
  </r>
  <r>
    <n v="10906"/>
    <s v="Wolski Zajazd"/>
    <x v="14"/>
    <x v="1"/>
    <x v="1"/>
    <s v="DEPRISA"/>
    <x v="72"/>
    <n v="420.64"/>
    <n v="21.032"/>
    <n v="441.67200000000003"/>
  </r>
  <r>
    <n v="10908"/>
    <s v="Reggiani Caseifici"/>
    <x v="15"/>
    <x v="1"/>
    <x v="0"/>
    <s v="DEPRISA"/>
    <x v="73"/>
    <n v="527.36"/>
    <n v="23.20384"/>
    <n v="550.56384000000003"/>
  </r>
  <r>
    <n v="10917"/>
    <s v="Romero y tomillo"/>
    <x v="7"/>
    <x v="1"/>
    <x v="0"/>
    <s v="DEPRISA"/>
    <x v="74"/>
    <n v="530.55999999999995"/>
    <n v="24.405760000000001"/>
    <n v="554.96576000000005"/>
  </r>
  <r>
    <n v="10920"/>
    <s v="Around the Horn"/>
    <x v="6"/>
    <x v="1"/>
    <x v="0"/>
    <s v="DEPRISA"/>
    <x v="75"/>
    <n v="473.76"/>
    <n v="15.16032"/>
    <n v="488.92032"/>
  </r>
  <r>
    <n v="10926"/>
    <s v="Ana Trujillo Emparedados y hel"/>
    <x v="8"/>
    <x v="1"/>
    <x v="1"/>
    <s v="DEPRISA"/>
    <x v="76"/>
    <n v="638.72"/>
    <n v="30.658560000000001"/>
    <n v="669.37855999999999"/>
  </r>
  <r>
    <n v="10930"/>
    <s v="Suprêmes délices"/>
    <x v="13"/>
    <x v="1"/>
    <x v="1"/>
    <s v="DEPRISA"/>
    <x v="77"/>
    <n v="248.8"/>
    <n v="6.4687999999999999"/>
    <n v="255.2688"/>
  </r>
  <r>
    <n v="10931"/>
    <s v="Richter Supermarkt"/>
    <x v="16"/>
    <x v="1"/>
    <x v="0"/>
    <s v="DEPRISA"/>
    <x v="77"/>
    <n v="217.6"/>
    <n v="12.185600000000001"/>
    <n v="229.78559999999999"/>
  </r>
  <r>
    <n v="10943"/>
    <s v="B's Beverages"/>
    <x v="6"/>
    <x v="1"/>
    <x v="0"/>
    <s v="DEPRISA"/>
    <x v="78"/>
    <n v="138.88"/>
    <n v="4.4441600000000001"/>
    <n v="143.32416000000001"/>
  </r>
  <r>
    <n v="10972"/>
    <s v="La corne d'abondance"/>
    <x v="5"/>
    <x v="1"/>
    <x v="0"/>
    <s v="DEPRISA"/>
    <x v="79"/>
    <n v="131.53337343999999"/>
    <n v="2.6306674688"/>
    <n v="134.16404090879999"/>
  </r>
  <r>
    <n v="10996"/>
    <s v="QUICK-Stop"/>
    <x v="2"/>
    <x v="1"/>
    <x v="0"/>
    <s v="DEPRISA"/>
    <x v="80"/>
    <n v="71.680000000000007"/>
    <n v="1.7203200000000001"/>
    <n v="73.400319999999994"/>
  </r>
  <r>
    <n v="11018"/>
    <s v="Lonesome Pine Restaurant"/>
    <x v="0"/>
    <x v="1"/>
    <x v="0"/>
    <s v="DEPRISA"/>
    <x v="81"/>
    <n v="745.6"/>
    <n v="20.876799999999999"/>
    <n v="766.47680000000003"/>
  </r>
  <r>
    <n v="11040"/>
    <s v="Great Lakes Food Market"/>
    <x v="0"/>
    <x v="1"/>
    <x v="1"/>
    <s v="DEPRISA"/>
    <x v="82"/>
    <n v="301.44"/>
    <n v="8.4403199999999998"/>
    <n v="309.88031999999998"/>
  </r>
  <r>
    <n v="11061"/>
    <s v="Great Lakes Food Market"/>
    <x v="0"/>
    <x v="1"/>
    <x v="1"/>
    <s v="DEPRISA"/>
    <x v="83"/>
    <n v="224.16"/>
    <n v="6.2764800000000003"/>
    <n v="230.43647999999999"/>
  </r>
  <r>
    <n v="11062"/>
    <s v="Reggiani Caseifici"/>
    <x v="15"/>
    <x v="1"/>
    <x v="0"/>
    <s v="DEPRISA"/>
    <x v="83"/>
    <n v="478.88"/>
    <n v="21.070720000000001"/>
    <n v="499.95071999999999"/>
  </r>
  <r>
    <n v="11076"/>
    <s v="Bon app'"/>
    <x v="5"/>
    <x v="1"/>
    <x v="0"/>
    <s v="DEPRISA"/>
    <x v="84"/>
    <n v="612.48"/>
    <n v="12.249599999999999"/>
    <n v="624.7296"/>
  </r>
  <r>
    <n v="10378"/>
    <s v="Folk och fä HB"/>
    <x v="4"/>
    <x v="2"/>
    <x v="1"/>
    <s v="DEPRISA"/>
    <x v="85"/>
    <n v="348.16"/>
    <n v="13.230079999999999"/>
    <n v="361.39008000000001"/>
  </r>
  <r>
    <n v="10463"/>
    <s v="Suprêmes délices"/>
    <x v="13"/>
    <x v="2"/>
    <x v="1"/>
    <s v="DEPRISA"/>
    <x v="86"/>
    <n v="236.48"/>
    <n v="6.1484800000000002"/>
    <n v="242.62848"/>
  </r>
  <r>
    <n v="10477"/>
    <s v="Princesa Isabel Vinhos"/>
    <x v="17"/>
    <x v="2"/>
    <x v="0"/>
    <s v="TCC"/>
    <x v="87"/>
    <n v="208.32"/>
    <n v="8.5411199999999994"/>
    <n v="216.86112"/>
  </r>
  <r>
    <n v="10648"/>
    <s v="Ricardo Adocicados"/>
    <x v="9"/>
    <x v="2"/>
    <x v="0"/>
    <s v="DEPRISA"/>
    <x v="88"/>
    <n v="228"/>
    <n v="5.016"/>
    <n v="233.01599999999999"/>
  </r>
  <r>
    <n v="10649"/>
    <s v="Maison Dewey"/>
    <x v="13"/>
    <x v="2"/>
    <x v="1"/>
    <s v="DEPRISA"/>
    <x v="88"/>
    <n v="396.8"/>
    <n v="10.316800000000001"/>
    <n v="407.11680000000001"/>
  </r>
  <r>
    <n v="10675"/>
    <s v="Frankenversand"/>
    <x v="2"/>
    <x v="2"/>
    <x v="0"/>
    <s v="DEPRISA"/>
    <x v="89"/>
    <n v="509.6"/>
    <n v="12.230399999999999"/>
    <n v="521.83040000000005"/>
  </r>
  <r>
    <n v="10714"/>
    <s v="Save-a-lot Markets"/>
    <x v="0"/>
    <x v="2"/>
    <x v="1"/>
    <s v="DEPRISA"/>
    <x v="90"/>
    <n v="391.84"/>
    <n v="10.97152"/>
    <n v="402.81151999999997"/>
  </r>
  <r>
    <n v="10761"/>
    <s v="Rattlesnake Canyon Grocery"/>
    <x v="0"/>
    <x v="2"/>
    <x v="0"/>
    <s v="DEPRISA"/>
    <x v="91"/>
    <n v="298.56"/>
    <n v="8.3596800000000009"/>
    <n v="306.91968000000003"/>
  </r>
  <r>
    <n v="10870"/>
    <s v="White Clover Markets"/>
    <x v="0"/>
    <x v="2"/>
    <x v="1"/>
    <s v="DEPRISA"/>
    <x v="92"/>
    <n v="770.56"/>
    <n v="21.575679999999998"/>
    <n v="792.13567999999998"/>
  </r>
  <r>
    <n v="10874"/>
    <s v="Godos Cocina Típica"/>
    <x v="7"/>
    <x v="2"/>
    <x v="0"/>
    <s v="DEPRISA"/>
    <x v="69"/>
    <n v="313.27999999999997"/>
    <n v="14.410880000000001"/>
    <n v="327.69087999999999"/>
  </r>
  <r>
    <n v="10899"/>
    <s v="LILA-Supermercado"/>
    <x v="1"/>
    <x v="2"/>
    <x v="1"/>
    <s v="DEPRISA"/>
    <x v="71"/>
    <n v="77.44"/>
    <n v="2.6329600000000002"/>
    <n v="80.072959999999995"/>
  </r>
  <r>
    <n v="11043"/>
    <s v="Spécialités du monde"/>
    <x v="5"/>
    <x v="2"/>
    <x v="0"/>
    <s v="DEPRISA"/>
    <x v="82"/>
    <n v="563.20000000000005"/>
    <n v="11.263999999999999"/>
    <n v="574.46400000000006"/>
  </r>
  <r>
    <n v="10414"/>
    <s v="Familia Arquibaldo"/>
    <x v="9"/>
    <x v="3"/>
    <x v="1"/>
    <s v="DEPRISA"/>
    <x v="93"/>
    <n v="343.68"/>
    <n v="7.5609599999999997"/>
    <n v="351.24095999999997"/>
  </r>
  <r>
    <n v="10471"/>
    <s v="B's Beverages"/>
    <x v="6"/>
    <x v="3"/>
    <x v="1"/>
    <s v="DEPRISA"/>
    <x v="94"/>
    <n v="729.44"/>
    <n v="23.342079999999999"/>
    <n v="752.78207999999995"/>
  </r>
  <r>
    <n v="10478"/>
    <s v="Victuailles en stock"/>
    <x v="5"/>
    <x v="3"/>
    <x v="1"/>
    <s v="DEPRISA"/>
    <x v="95"/>
    <n v="307.83999999999997"/>
    <n v="6.1567999999999996"/>
    <n v="313.99680000000001"/>
  </r>
  <r>
    <n v="10583"/>
    <s v="Wartian Herkku"/>
    <x v="10"/>
    <x v="3"/>
    <x v="0"/>
    <s v="DEPRISA"/>
    <x v="96"/>
    <n v="465.92"/>
    <n v="13.977600000000001"/>
    <n v="479.89760000000001"/>
  </r>
  <r>
    <n v="10615"/>
    <s v="Wilman Kala"/>
    <x v="10"/>
    <x v="3"/>
    <x v="1"/>
    <s v="DEPRISA"/>
    <x v="97"/>
    <n v="2304"/>
    <n v="69.12"/>
    <n v="2373.12"/>
  </r>
  <r>
    <n v="10620"/>
    <s v="Laughing Bacchus Wine Cellars"/>
    <x v="3"/>
    <x v="3"/>
    <x v="1"/>
    <s v="DEPRISA"/>
    <x v="54"/>
    <n v="3619.2256000000002"/>
    <n v="130.2921216"/>
    <n v="3749.5177216000002"/>
  </r>
  <r>
    <n v="10676"/>
    <s v="Tortuga Restaurante"/>
    <x v="8"/>
    <x v="3"/>
    <x v="0"/>
    <s v="DEPRISA"/>
    <x v="98"/>
    <n v="128.63999999999999"/>
    <n v="6.1747199999999998"/>
    <n v="134.81471999999999"/>
  </r>
  <r>
    <n v="10734"/>
    <s v="Gourmet Lanchonetes"/>
    <x v="9"/>
    <x v="3"/>
    <x v="1"/>
    <s v="DEPRISA"/>
    <x v="99"/>
    <n v="104.32"/>
    <n v="2.2950400000000002"/>
    <n v="106.61503999999999"/>
  </r>
  <r>
    <n v="10737"/>
    <s v="Vins et alcools Chevalier"/>
    <x v="5"/>
    <x v="3"/>
    <x v="0"/>
    <s v="DEPRISA"/>
    <x v="100"/>
    <n v="498.56"/>
    <n v="9.9711999999999996"/>
    <n v="508.53120000000001"/>
  </r>
  <r>
    <n v="10752"/>
    <s v="North/South"/>
    <x v="6"/>
    <x v="3"/>
    <x v="1"/>
    <s v="DEPRISA"/>
    <x v="101"/>
    <n v="88.96"/>
    <n v="2.8467199999999999"/>
    <n v="91.806719999999999"/>
  </r>
  <r>
    <n v="10808"/>
    <s v="Old World Delicatessen"/>
    <x v="0"/>
    <x v="3"/>
    <x v="1"/>
    <s v="DEPRISA"/>
    <x v="102"/>
    <n v="728.48"/>
    <n v="20.39744"/>
    <n v="748.87743999999998"/>
  </r>
  <r>
    <n v="10810"/>
    <s v="Laughing Bacchus Wine Cellars"/>
    <x v="3"/>
    <x v="3"/>
    <x v="1"/>
    <s v="DEPRISA"/>
    <x v="102"/>
    <n v="277.12"/>
    <n v="9.9763199999999994"/>
    <n v="287.09631999999999"/>
  </r>
  <r>
    <n v="10815"/>
    <s v="Save-a-lot Markets"/>
    <x v="0"/>
    <x v="3"/>
    <x v="1"/>
    <s v="DEPRISA"/>
    <x v="103"/>
    <n v="233.92"/>
    <n v="6.54976"/>
    <n v="240.46976000000001"/>
  </r>
  <r>
    <n v="10819"/>
    <s v="Cactus Comidas para llevar"/>
    <x v="12"/>
    <x v="3"/>
    <x v="1"/>
    <s v="DEPRISA"/>
    <x v="29"/>
    <n v="316.16000000000003"/>
    <n v="12.6464"/>
    <n v="328.8064"/>
  </r>
  <r>
    <n v="10832"/>
    <s v="La maison d'Asie"/>
    <x v="5"/>
    <x v="3"/>
    <x v="0"/>
    <s v="DEPRISA"/>
    <x v="104"/>
    <n v="692.16"/>
    <n v="13.8432"/>
    <n v="706.00319999999999"/>
  </r>
  <r>
    <n v="10915"/>
    <s v="Tortuga Restaurante"/>
    <x v="8"/>
    <x v="3"/>
    <x v="0"/>
    <s v="DEPRISA"/>
    <x v="105"/>
    <n v="224.64"/>
    <n v="10.782719999999999"/>
    <n v="235.42272"/>
  </r>
  <r>
    <n v="10919"/>
    <s v="LINO-Delicateses"/>
    <x v="1"/>
    <x v="3"/>
    <x v="0"/>
    <s v="DEPRISA"/>
    <x v="74"/>
    <n v="316.8"/>
    <n v="10.7712"/>
    <n v="327.57119999999998"/>
  </r>
  <r>
    <n v="11000"/>
    <s v="Rattlesnake Canyon Grocery"/>
    <x v="0"/>
    <x v="3"/>
    <x v="1"/>
    <s v="DEPRISA"/>
    <x v="38"/>
    <n v="881.92"/>
    <n v="24.693760000000001"/>
    <n v="906.61375999999996"/>
  </r>
  <r>
    <n v="11010"/>
    <s v="Reggiani Caseifici"/>
    <x v="15"/>
    <x v="3"/>
    <x v="0"/>
    <s v="DEPRISA"/>
    <x v="106"/>
    <n v="459.36"/>
    <n v="20.211839999999999"/>
    <n v="479.57184000000001"/>
  </r>
  <r>
    <n v="11014"/>
    <s v="LINO-Delicateses"/>
    <x v="1"/>
    <x v="3"/>
    <x v="1"/>
    <s v="DEPRISA"/>
    <x v="107"/>
    <n v="377.6"/>
    <n v="12.8384"/>
    <n v="390.4384"/>
  </r>
  <r>
    <n v="11015"/>
    <s v="Santé Gourmet"/>
    <x v="18"/>
    <x v="3"/>
    <x v="0"/>
    <s v="DEPRISA"/>
    <x v="107"/>
    <n v="295.68"/>
    <n v="15.375360000000001"/>
    <n v="311.05536000000001"/>
  </r>
  <r>
    <n v="11020"/>
    <s v="Ottilies Käseladen"/>
    <x v="2"/>
    <x v="3"/>
    <x v="0"/>
    <s v="DEPRISA"/>
    <x v="108"/>
    <n v="692.8"/>
    <n v="16.627199999999998"/>
    <n v="709.42719999999997"/>
  </r>
  <r>
    <n v="11035"/>
    <s v="Suprêmes délices"/>
    <x v="13"/>
    <x v="3"/>
    <x v="0"/>
    <s v="DEPRISA"/>
    <x v="109"/>
    <n v="118.37439999999999"/>
    <n v="3.0777344000000002"/>
    <n v="121.45213440000001"/>
  </r>
  <r>
    <n v="11053"/>
    <s v="Piccolo und mehr"/>
    <x v="11"/>
    <x v="3"/>
    <x v="0"/>
    <s v="DEPRISA"/>
    <x v="110"/>
    <n v="848.8"/>
    <n v="49.230400000000003"/>
    <n v="898.03039999999999"/>
  </r>
  <r>
    <n v="11060"/>
    <s v="Franchi S.p.A."/>
    <x v="15"/>
    <x v="3"/>
    <x v="0"/>
    <s v="DEPRISA"/>
    <x v="83"/>
    <n v="702.72"/>
    <n v="30.91968"/>
    <n v="733.63968"/>
  </r>
  <r>
    <n v="11073"/>
    <s v="Pericles Comidas clásicas"/>
    <x v="8"/>
    <x v="3"/>
    <x v="0"/>
    <s v="DEPRISA"/>
    <x v="111"/>
    <n v="399.2"/>
    <n v="19.1616"/>
    <n v="418.36160000000001"/>
  </r>
  <r>
    <n v="10374"/>
    <s v="Wolski Zajazd"/>
    <x v="14"/>
    <x v="4"/>
    <x v="1"/>
    <s v="DEPRISA"/>
    <x v="112"/>
    <n v="252.16"/>
    <n v="12.608000000000001"/>
    <n v="264.76799999999997"/>
  </r>
  <r>
    <n v="10376"/>
    <s v="Mère Paillarde"/>
    <x v="3"/>
    <x v="4"/>
    <x v="0"/>
    <s v="TCC"/>
    <x v="113"/>
    <n v="326.24"/>
    <n v="11.4184"/>
    <n v="337.65839999999997"/>
  </r>
  <r>
    <n v="10377"/>
    <s v="Seven Seas Imports"/>
    <x v="6"/>
    <x v="4"/>
    <x v="1"/>
    <s v="DEPRISA"/>
    <x v="113"/>
    <n v="355.36"/>
    <n v="11.37152"/>
    <n v="366.73151999999999"/>
  </r>
  <r>
    <n v="10385"/>
    <s v="Split Rail Beer &amp; Ale"/>
    <x v="0"/>
    <x v="4"/>
    <x v="0"/>
    <s v="TCC"/>
    <x v="114"/>
    <n v="495.36"/>
    <n v="13.37472"/>
    <n v="508.73471999999998"/>
  </r>
  <r>
    <n v="10394"/>
    <s v="Hungry Coyote Import Store"/>
    <x v="0"/>
    <x v="4"/>
    <x v="1"/>
    <s v="DEPRISA"/>
    <x v="115"/>
    <n v="485.44"/>
    <n v="13.592320000000001"/>
    <n v="499.03232000000003"/>
  </r>
  <r>
    <n v="10453"/>
    <s v="Around the Horn"/>
    <x v="6"/>
    <x v="4"/>
    <x v="0"/>
    <s v="TCC"/>
    <x v="44"/>
    <n v="405.76"/>
    <n v="12.57856"/>
    <n v="418.33855999999997"/>
  </r>
  <r>
    <n v="10473"/>
    <s v="Island Trading"/>
    <x v="6"/>
    <x v="4"/>
    <x v="1"/>
    <s v="DEPRISA"/>
    <x v="116"/>
    <n v="261.92"/>
    <n v="8.3814399999999996"/>
    <n v="270.30144000000001"/>
  </r>
  <r>
    <n v="10482"/>
    <s v="Lazy K Kountry Store"/>
    <x v="0"/>
    <x v="4"/>
    <x v="1"/>
    <s v="DEPRISA"/>
    <x v="117"/>
    <n v="478.72"/>
    <n v="13.404159999999999"/>
    <n v="492.12416000000002"/>
  </r>
  <r>
    <n v="10486"/>
    <s v="HILARIÓN-Abastos"/>
    <x v="1"/>
    <x v="4"/>
    <x v="0"/>
    <s v="TCC"/>
    <x v="118"/>
    <n v="488.48"/>
    <n v="16.11984"/>
    <n v="504.59983999999997"/>
  </r>
  <r>
    <n v="10508"/>
    <s v="Ottilies Käseladen"/>
    <x v="2"/>
    <x v="4"/>
    <x v="0"/>
    <s v="TCC"/>
    <x v="119"/>
    <n v="319.36"/>
    <n v="7.3452799999999998"/>
    <n v="326.70528000000002"/>
  </r>
  <r>
    <n v="10525"/>
    <s v="Bon app'"/>
    <x v="5"/>
    <x v="4"/>
    <x v="0"/>
    <s v="TCC"/>
    <x v="120"/>
    <n v="707.84"/>
    <n v="13.44896"/>
    <n v="721.28895999999997"/>
  </r>
  <r>
    <n v="10542"/>
    <s v="Königlich Essen"/>
    <x v="2"/>
    <x v="4"/>
    <x v="1"/>
    <s v="DEPRISA"/>
    <x v="121"/>
    <n v="700.8"/>
    <n v="16.819199999999999"/>
    <n v="717.61919999999998"/>
  </r>
  <r>
    <n v="10579"/>
    <s v="Let's Stop N Shop"/>
    <x v="0"/>
    <x v="4"/>
    <x v="0"/>
    <s v="DEPRISA"/>
    <x v="122"/>
    <n v="219.68"/>
    <n v="6.1510400000000001"/>
    <n v="225.83104"/>
  </r>
  <r>
    <n v="10598"/>
    <s v="Rattlesnake Canyon Grocery"/>
    <x v="0"/>
    <x v="4"/>
    <x v="1"/>
    <s v="DEPRISA"/>
    <x v="123"/>
    <n v="710.72"/>
    <n v="19.90016"/>
    <n v="730.62016000000006"/>
  </r>
  <r>
    <n v="10630"/>
    <s v="Königlich Essen"/>
    <x v="2"/>
    <x v="4"/>
    <x v="0"/>
    <s v="DEPRISA"/>
    <x v="124"/>
    <n v="517.6"/>
    <n v="12.4224"/>
    <n v="530.02239999999995"/>
  </r>
  <r>
    <n v="10655"/>
    <s v="Reggiani Caseifici"/>
    <x v="15"/>
    <x v="4"/>
    <x v="0"/>
    <s v="DEPRISA"/>
    <x v="125"/>
    <n v="282.24"/>
    <n v="12.418559999999999"/>
    <n v="294.65856000000002"/>
  </r>
  <r>
    <n v="10664"/>
    <s v="Furia Bacalhau e Frutos do Mar"/>
    <x v="17"/>
    <x v="4"/>
    <x v="1"/>
    <s v="DEPRISA"/>
    <x v="126"/>
    <n v="81.28"/>
    <n v="3.4137599999999999"/>
    <n v="84.693759999999997"/>
  </r>
  <r>
    <n v="10665"/>
    <s v="Lonesome Pine Restaurant"/>
    <x v="0"/>
    <x v="4"/>
    <x v="0"/>
    <s v="DEPRISA"/>
    <x v="127"/>
    <n v="420.96"/>
    <n v="11.78688"/>
    <n v="432.74687999999998"/>
  </r>
  <r>
    <n v="10677"/>
    <s v="Antonio Moreno Taquería"/>
    <x v="8"/>
    <x v="4"/>
    <x v="1"/>
    <s v="DEPRISA"/>
    <x v="98"/>
    <n v="257.92"/>
    <n v="12.38016"/>
    <n v="270.30016000000001"/>
  </r>
  <r>
    <n v="10689"/>
    <s v="Berglunds snabbköp"/>
    <x v="4"/>
    <x v="4"/>
    <x v="0"/>
    <s v="DEPRISA"/>
    <x v="128"/>
    <n v="214.72"/>
    <n v="8.1593599999999995"/>
    <n v="222.87935999999999"/>
  </r>
  <r>
    <n v="10743"/>
    <s v="Around the Horn"/>
    <x v="6"/>
    <x v="4"/>
    <x v="0"/>
    <s v="DEPRISA"/>
    <x v="129"/>
    <n v="379.52"/>
    <n v="12.144640000000001"/>
    <n v="391.66464000000002"/>
  </r>
  <r>
    <n v="10746"/>
    <s v="Chop-suey Chinese"/>
    <x v="16"/>
    <x v="4"/>
    <x v="1"/>
    <s v="DEPRISA"/>
    <x v="130"/>
    <n v="502.88"/>
    <n v="28.161280000000001"/>
    <n v="531.04128000000003"/>
  </r>
  <r>
    <n v="10785"/>
    <s v="GROSELLA-Restaurante"/>
    <x v="1"/>
    <x v="4"/>
    <x v="1"/>
    <s v="DEPRISA"/>
    <x v="131"/>
    <n v="96.64"/>
    <n v="3.2857599999999998"/>
    <n v="99.925759999999997"/>
  </r>
  <r>
    <n v="10788"/>
    <s v="QUICK-Stop"/>
    <x v="2"/>
    <x v="4"/>
    <x v="0"/>
    <s v="DEPRISA"/>
    <x v="132"/>
    <n v="683.2"/>
    <n v="16.396799999999999"/>
    <n v="699.59680000000003"/>
  </r>
  <r>
    <n v="10792"/>
    <s v="Wolski Zajazd"/>
    <x v="14"/>
    <x v="4"/>
    <x v="1"/>
    <s v="DEPRISA"/>
    <x v="133"/>
    <n v="380.64"/>
    <n v="19.032"/>
    <n v="399.67200000000003"/>
  </r>
  <r>
    <n v="10834"/>
    <s v="Tradição Hipermercados"/>
    <x v="9"/>
    <x v="4"/>
    <x v="1"/>
    <s v="DEPRISA"/>
    <x v="134"/>
    <n v="476.48"/>
    <n v="10.482559999999999"/>
    <n v="486.96256"/>
  </r>
  <r>
    <n v="10842"/>
    <s v="Tortuga Restaurante"/>
    <x v="8"/>
    <x v="4"/>
    <x v="1"/>
    <s v="DEPRISA"/>
    <x v="135"/>
    <n v="870.72"/>
    <n v="41.794559999999997"/>
    <n v="912.51455999999996"/>
  </r>
  <r>
    <n v="10900"/>
    <s v="Wellington Importadora"/>
    <x v="9"/>
    <x v="4"/>
    <x v="0"/>
    <s v="DEPRISA"/>
    <x v="71"/>
    <n v="106.24"/>
    <n v="2.3372799999999998"/>
    <n v="108.57728"/>
  </r>
  <r>
    <n v="10910"/>
    <s v="Wilman Kala"/>
    <x v="10"/>
    <x v="4"/>
    <x v="1"/>
    <s v="DEPRISA"/>
    <x v="73"/>
    <n v="609.76"/>
    <n v="18.2928"/>
    <n v="628.05280000000005"/>
  </r>
  <r>
    <n v="10946"/>
    <s v="Vaffeljernet"/>
    <x v="19"/>
    <x v="4"/>
    <x v="0"/>
    <s v="DEPRISA"/>
    <x v="136"/>
    <n v="435.2"/>
    <n v="23.500800000000002"/>
    <n v="458.70080000000002"/>
  </r>
  <r>
    <n v="10950"/>
    <s v="Magazzini Alimentari Riuniti"/>
    <x v="15"/>
    <x v="4"/>
    <x v="0"/>
    <s v="DEPRISA"/>
    <x v="137"/>
    <n v="160"/>
    <n v="7.04"/>
    <n v="167.04"/>
  </r>
  <r>
    <n v="10969"/>
    <s v="Comércio Mineiro"/>
    <x v="9"/>
    <x v="4"/>
    <x v="0"/>
    <s v="DEPRISA"/>
    <x v="138"/>
    <n v="180.6336"/>
    <n v="3.9739391999999998"/>
    <n v="184.60753919999999"/>
  </r>
  <r>
    <n v="10975"/>
    <s v="Bottom-Dollar Markets"/>
    <x v="3"/>
    <x v="4"/>
    <x v="1"/>
    <s v="DEPRISA"/>
    <x v="37"/>
    <n v="516.32000000000005"/>
    <n v="18.587520000000001"/>
    <n v="534.90751999999998"/>
  </r>
  <r>
    <n v="10992"/>
    <s v="The Big Cheese"/>
    <x v="0"/>
    <x v="4"/>
    <x v="1"/>
    <s v="DEPRISA"/>
    <x v="139"/>
    <n v="273.27999999999997"/>
    <n v="7.65184"/>
    <n v="280.93184000000002"/>
  </r>
  <r>
    <n v="11038"/>
    <s v="Suprêmes délices"/>
    <x v="13"/>
    <x v="4"/>
    <x v="0"/>
    <s v="DEPRISA"/>
    <x v="140"/>
    <n v="473.44"/>
    <n v="12.30944"/>
    <n v="485.74943999999999"/>
  </r>
  <r>
    <n v="11067"/>
    <s v="Drachenblut Delikatessen"/>
    <x v="2"/>
    <x v="4"/>
    <x v="0"/>
    <s v="DEPRISA"/>
    <x v="141"/>
    <n v="510.72"/>
    <n v="12.25728"/>
    <n v="522.97727999999995"/>
  </r>
  <r>
    <n v="11069"/>
    <s v="Tortuga Restaurante"/>
    <x v="8"/>
    <x v="4"/>
    <x v="0"/>
    <s v="DEPRISA"/>
    <x v="141"/>
    <n v="250.72"/>
    <n v="12.034560000000001"/>
    <n v="262.75456000000003"/>
  </r>
  <r>
    <n v="11077"/>
    <s v="Rattlesnake Canyon Grocery"/>
    <x v="0"/>
    <x v="4"/>
    <x v="0"/>
    <s v="DEPRISA"/>
    <x v="84"/>
    <n v="545.91999999999996"/>
    <n v="15.28576"/>
    <n v="561.20576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1B265-B545-417E-865F-D87669AF8166}" name="TablaDinámica6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4">
  <location ref="A36:B41" firstHeaderRow="1" firstDataRow="1" firstDataCol="1"/>
  <pivotFields count="15">
    <pivotField dataField="1" showAll="0"/>
    <pivotField numFmtId="14" showAll="0">
      <items count="270">
        <item x="99"/>
        <item x="229"/>
        <item x="98"/>
        <item x="97"/>
        <item x="146"/>
        <item x="151"/>
        <item x="223"/>
        <item x="96"/>
        <item x="95"/>
        <item x="169"/>
        <item x="94"/>
        <item x="186"/>
        <item x="123"/>
        <item x="211"/>
        <item x="226"/>
        <item x="181"/>
        <item x="212"/>
        <item x="154"/>
        <item x="219"/>
        <item x="107"/>
        <item x="93"/>
        <item x="246"/>
        <item x="92"/>
        <item x="192"/>
        <item x="125"/>
        <item x="91"/>
        <item x="199"/>
        <item x="90"/>
        <item x="178"/>
        <item x="209"/>
        <item x="126"/>
        <item x="115"/>
        <item x="168"/>
        <item x="252"/>
        <item x="215"/>
        <item x="167"/>
        <item x="172"/>
        <item x="89"/>
        <item x="88"/>
        <item x="87"/>
        <item x="86"/>
        <item x="85"/>
        <item x="244"/>
        <item x="138"/>
        <item x="84"/>
        <item x="157"/>
        <item x="108"/>
        <item x="156"/>
        <item x="83"/>
        <item x="160"/>
        <item x="221"/>
        <item x="260"/>
        <item x="148"/>
        <item x="224"/>
        <item x="206"/>
        <item x="214"/>
        <item x="82"/>
        <item x="129"/>
        <item x="81"/>
        <item x="80"/>
        <item x="79"/>
        <item x="158"/>
        <item x="78"/>
        <item x="240"/>
        <item x="163"/>
        <item x="179"/>
        <item x="113"/>
        <item x="77"/>
        <item x="76"/>
        <item x="104"/>
        <item x="75"/>
        <item x="74"/>
        <item x="73"/>
        <item x="112"/>
        <item x="265"/>
        <item x="161"/>
        <item x="72"/>
        <item x="145"/>
        <item x="71"/>
        <item x="70"/>
        <item x="120"/>
        <item x="69"/>
        <item x="180"/>
        <item x="251"/>
        <item x="68"/>
        <item x="127"/>
        <item x="67"/>
        <item x="241"/>
        <item x="66"/>
        <item x="173"/>
        <item x="65"/>
        <item x="64"/>
        <item x="262"/>
        <item x="144"/>
        <item x="63"/>
        <item x="62"/>
        <item x="61"/>
        <item x="60"/>
        <item x="232"/>
        <item x="233"/>
        <item x="59"/>
        <item x="238"/>
        <item x="205"/>
        <item x="109"/>
        <item x="264"/>
        <item x="58"/>
        <item x="197"/>
        <item x="137"/>
        <item x="216"/>
        <item x="131"/>
        <item x="57"/>
        <item x="237"/>
        <item x="242"/>
        <item x="153"/>
        <item x="234"/>
        <item x="184"/>
        <item x="155"/>
        <item x="56"/>
        <item x="55"/>
        <item x="254"/>
        <item x="187"/>
        <item x="166"/>
        <item x="54"/>
        <item x="103"/>
        <item x="117"/>
        <item x="164"/>
        <item x="53"/>
        <item x="171"/>
        <item x="52"/>
        <item x="247"/>
        <item x="119"/>
        <item x="51"/>
        <item x="210"/>
        <item x="170"/>
        <item x="213"/>
        <item x="231"/>
        <item x="257"/>
        <item x="50"/>
        <item x="183"/>
        <item x="255"/>
        <item x="49"/>
        <item x="243"/>
        <item x="152"/>
        <item x="48"/>
        <item x="140"/>
        <item x="47"/>
        <item x="46"/>
        <item x="102"/>
        <item x="225"/>
        <item x="228"/>
        <item x="45"/>
        <item x="220"/>
        <item x="236"/>
        <item x="208"/>
        <item x="207"/>
        <item x="235"/>
        <item x="195"/>
        <item x="200"/>
        <item x="44"/>
        <item x="253"/>
        <item x="193"/>
        <item x="43"/>
        <item x="42"/>
        <item x="101"/>
        <item x="249"/>
        <item x="139"/>
        <item x="176"/>
        <item x="105"/>
        <item x="248"/>
        <item x="258"/>
        <item x="41"/>
        <item x="204"/>
        <item x="149"/>
        <item x="40"/>
        <item x="114"/>
        <item x="100"/>
        <item x="111"/>
        <item x="261"/>
        <item x="39"/>
        <item x="182"/>
        <item x="38"/>
        <item x="106"/>
        <item x="134"/>
        <item x="136"/>
        <item x="132"/>
        <item x="37"/>
        <item x="196"/>
        <item x="36"/>
        <item x="250"/>
        <item x="35"/>
        <item x="34"/>
        <item x="218"/>
        <item x="33"/>
        <item x="267"/>
        <item x="245"/>
        <item x="198"/>
        <item x="124"/>
        <item x="177"/>
        <item x="121"/>
        <item x="263"/>
        <item x="174"/>
        <item x="130"/>
        <item x="227"/>
        <item x="268"/>
        <item x="32"/>
        <item x="31"/>
        <item x="30"/>
        <item x="29"/>
        <item x="239"/>
        <item x="190"/>
        <item x="159"/>
        <item x="259"/>
        <item x="28"/>
        <item x="135"/>
        <item x="27"/>
        <item x="26"/>
        <item x="25"/>
        <item x="133"/>
        <item x="202"/>
        <item x="222"/>
        <item x="24"/>
        <item x="162"/>
        <item x="143"/>
        <item x="23"/>
        <item x="22"/>
        <item x="21"/>
        <item x="20"/>
        <item x="185"/>
        <item x="256"/>
        <item x="19"/>
        <item x="188"/>
        <item x="18"/>
        <item x="128"/>
        <item x="17"/>
        <item x="118"/>
        <item x="16"/>
        <item x="15"/>
        <item x="14"/>
        <item x="201"/>
        <item x="13"/>
        <item x="194"/>
        <item x="142"/>
        <item x="147"/>
        <item x="175"/>
        <item x="150"/>
        <item x="12"/>
        <item x="11"/>
        <item x="141"/>
        <item x="10"/>
        <item x="217"/>
        <item x="203"/>
        <item x="116"/>
        <item x="9"/>
        <item x="191"/>
        <item x="8"/>
        <item x="7"/>
        <item x="165"/>
        <item x="110"/>
        <item x="6"/>
        <item x="5"/>
        <item x="4"/>
        <item x="3"/>
        <item x="2"/>
        <item x="1"/>
        <item x="266"/>
        <item x="0"/>
        <item x="189"/>
        <item x="230"/>
        <item x="122"/>
        <item t="default"/>
      </items>
    </pivotField>
    <pivotField showAll="0"/>
    <pivotField showAll="0"/>
    <pivotField showAll="0"/>
    <pivotField showAll="0"/>
    <pivotField showAll="0"/>
    <pivotField showAll="0">
      <items count="28">
        <item x="3"/>
        <item x="0"/>
        <item x="4"/>
        <item x="6"/>
        <item x="9"/>
        <item x="1"/>
        <item x="10"/>
        <item x="2"/>
        <item x="11"/>
        <item x="12"/>
        <item x="5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8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ID Préstamo" fld="0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19CB1-FCDC-431F-98BE-B134A6BC60A0}" name="TablaDinámica4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6">
  <location ref="A21:B25" firstHeaderRow="1" firstDataRow="1" firstDataCol="1"/>
  <pivotFields count="15">
    <pivotField dataField="1" showAll="0"/>
    <pivotField numFmtId="14" showAll="0">
      <items count="270">
        <item x="99"/>
        <item x="229"/>
        <item x="98"/>
        <item x="97"/>
        <item x="146"/>
        <item x="151"/>
        <item x="223"/>
        <item x="96"/>
        <item x="95"/>
        <item x="169"/>
        <item x="94"/>
        <item x="186"/>
        <item x="123"/>
        <item x="211"/>
        <item x="226"/>
        <item x="181"/>
        <item x="212"/>
        <item x="154"/>
        <item x="219"/>
        <item x="107"/>
        <item x="93"/>
        <item x="246"/>
        <item x="92"/>
        <item x="192"/>
        <item x="125"/>
        <item x="91"/>
        <item x="199"/>
        <item x="90"/>
        <item x="178"/>
        <item x="209"/>
        <item x="126"/>
        <item x="115"/>
        <item x="168"/>
        <item x="252"/>
        <item x="215"/>
        <item x="167"/>
        <item x="172"/>
        <item x="89"/>
        <item x="88"/>
        <item x="87"/>
        <item x="86"/>
        <item x="85"/>
        <item x="244"/>
        <item x="138"/>
        <item x="84"/>
        <item x="157"/>
        <item x="108"/>
        <item x="156"/>
        <item x="83"/>
        <item x="160"/>
        <item x="221"/>
        <item x="260"/>
        <item x="148"/>
        <item x="224"/>
        <item x="206"/>
        <item x="214"/>
        <item x="82"/>
        <item x="129"/>
        <item x="81"/>
        <item x="80"/>
        <item x="79"/>
        <item x="158"/>
        <item x="78"/>
        <item x="240"/>
        <item x="163"/>
        <item x="179"/>
        <item x="113"/>
        <item x="77"/>
        <item x="76"/>
        <item x="104"/>
        <item x="75"/>
        <item x="74"/>
        <item x="73"/>
        <item x="112"/>
        <item x="265"/>
        <item x="161"/>
        <item x="72"/>
        <item x="145"/>
        <item x="71"/>
        <item x="70"/>
        <item x="120"/>
        <item x="69"/>
        <item x="180"/>
        <item x="251"/>
        <item x="68"/>
        <item x="127"/>
        <item x="67"/>
        <item x="241"/>
        <item x="66"/>
        <item x="173"/>
        <item x="65"/>
        <item x="64"/>
        <item x="262"/>
        <item x="144"/>
        <item x="63"/>
        <item x="62"/>
        <item x="61"/>
        <item x="60"/>
        <item x="232"/>
        <item x="233"/>
        <item x="59"/>
        <item x="238"/>
        <item x="205"/>
        <item x="109"/>
        <item x="264"/>
        <item x="58"/>
        <item x="197"/>
        <item x="137"/>
        <item x="216"/>
        <item x="131"/>
        <item x="57"/>
        <item x="237"/>
        <item x="242"/>
        <item x="153"/>
        <item x="234"/>
        <item x="184"/>
        <item x="155"/>
        <item x="56"/>
        <item x="55"/>
        <item x="254"/>
        <item x="187"/>
        <item x="166"/>
        <item x="54"/>
        <item x="103"/>
        <item x="117"/>
        <item x="164"/>
        <item x="53"/>
        <item x="171"/>
        <item x="52"/>
        <item x="247"/>
        <item x="119"/>
        <item x="51"/>
        <item x="210"/>
        <item x="170"/>
        <item x="213"/>
        <item x="231"/>
        <item x="257"/>
        <item x="50"/>
        <item x="183"/>
        <item x="255"/>
        <item x="49"/>
        <item x="243"/>
        <item x="152"/>
        <item x="48"/>
        <item x="140"/>
        <item x="47"/>
        <item x="46"/>
        <item x="102"/>
        <item x="225"/>
        <item x="228"/>
        <item x="45"/>
        <item x="220"/>
        <item x="236"/>
        <item x="208"/>
        <item x="207"/>
        <item x="235"/>
        <item x="195"/>
        <item x="200"/>
        <item x="44"/>
        <item x="253"/>
        <item x="193"/>
        <item x="43"/>
        <item x="42"/>
        <item x="101"/>
        <item x="249"/>
        <item x="139"/>
        <item x="176"/>
        <item x="105"/>
        <item x="248"/>
        <item x="258"/>
        <item x="41"/>
        <item x="204"/>
        <item x="149"/>
        <item x="40"/>
        <item x="114"/>
        <item x="100"/>
        <item x="111"/>
        <item x="261"/>
        <item x="39"/>
        <item x="182"/>
        <item x="38"/>
        <item x="106"/>
        <item x="134"/>
        <item x="136"/>
        <item x="132"/>
        <item x="37"/>
        <item x="196"/>
        <item x="36"/>
        <item x="250"/>
        <item x="35"/>
        <item x="34"/>
        <item x="218"/>
        <item x="33"/>
        <item x="267"/>
        <item x="245"/>
        <item x="198"/>
        <item x="124"/>
        <item x="177"/>
        <item x="121"/>
        <item x="263"/>
        <item x="174"/>
        <item x="130"/>
        <item x="227"/>
        <item x="268"/>
        <item x="32"/>
        <item x="31"/>
        <item x="30"/>
        <item x="29"/>
        <item x="239"/>
        <item x="190"/>
        <item x="159"/>
        <item x="259"/>
        <item x="28"/>
        <item x="135"/>
        <item x="27"/>
        <item x="26"/>
        <item x="25"/>
        <item x="133"/>
        <item x="202"/>
        <item x="222"/>
        <item x="24"/>
        <item x="162"/>
        <item x="143"/>
        <item x="23"/>
        <item x="22"/>
        <item x="21"/>
        <item x="20"/>
        <item x="185"/>
        <item x="256"/>
        <item x="19"/>
        <item x="188"/>
        <item x="18"/>
        <item x="128"/>
        <item x="17"/>
        <item x="118"/>
        <item x="16"/>
        <item x="15"/>
        <item x="14"/>
        <item x="201"/>
        <item x="13"/>
        <item x="194"/>
        <item x="142"/>
        <item x="147"/>
        <item x="175"/>
        <item x="150"/>
        <item x="12"/>
        <item x="11"/>
        <item x="141"/>
        <item x="10"/>
        <item x="217"/>
        <item x="203"/>
        <item x="116"/>
        <item x="9"/>
        <item x="191"/>
        <item x="8"/>
        <item x="7"/>
        <item x="165"/>
        <item x="110"/>
        <item x="6"/>
        <item x="5"/>
        <item x="4"/>
        <item x="3"/>
        <item x="2"/>
        <item x="1"/>
        <item x="266"/>
        <item x="0"/>
        <item x="189"/>
        <item x="230"/>
        <item x="122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28">
        <item x="3"/>
        <item x="0"/>
        <item x="4"/>
        <item x="6"/>
        <item x="9"/>
        <item x="1"/>
        <item x="10"/>
        <item x="2"/>
        <item x="11"/>
        <item x="12"/>
        <item x="5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8"/>
        <item x="7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ID Préstamo" fld="0" subtotal="count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9B624-D114-4F6C-89ED-5DC779ED2C5A}" name="TablaDinámica3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6">
  <location ref="A3:B9" firstHeaderRow="1" firstDataRow="1" firstDataCol="1"/>
  <pivotFields count="15">
    <pivotField dataField="1" showAll="0"/>
    <pivotField numFmtId="14" showAll="0">
      <items count="270">
        <item x="99"/>
        <item x="229"/>
        <item x="98"/>
        <item x="97"/>
        <item x="146"/>
        <item x="151"/>
        <item x="223"/>
        <item x="96"/>
        <item x="95"/>
        <item x="169"/>
        <item x="94"/>
        <item x="186"/>
        <item x="123"/>
        <item x="211"/>
        <item x="226"/>
        <item x="181"/>
        <item x="212"/>
        <item x="154"/>
        <item x="219"/>
        <item x="107"/>
        <item x="93"/>
        <item x="246"/>
        <item x="92"/>
        <item x="192"/>
        <item x="125"/>
        <item x="91"/>
        <item x="199"/>
        <item x="90"/>
        <item x="178"/>
        <item x="209"/>
        <item x="126"/>
        <item x="115"/>
        <item x="168"/>
        <item x="252"/>
        <item x="215"/>
        <item x="167"/>
        <item x="172"/>
        <item x="89"/>
        <item x="88"/>
        <item x="87"/>
        <item x="86"/>
        <item x="85"/>
        <item x="244"/>
        <item x="138"/>
        <item x="84"/>
        <item x="157"/>
        <item x="108"/>
        <item x="156"/>
        <item x="83"/>
        <item x="160"/>
        <item x="221"/>
        <item x="260"/>
        <item x="148"/>
        <item x="224"/>
        <item x="206"/>
        <item x="214"/>
        <item x="82"/>
        <item x="129"/>
        <item x="81"/>
        <item x="80"/>
        <item x="79"/>
        <item x="158"/>
        <item x="78"/>
        <item x="240"/>
        <item x="163"/>
        <item x="179"/>
        <item x="113"/>
        <item x="77"/>
        <item x="76"/>
        <item x="104"/>
        <item x="75"/>
        <item x="74"/>
        <item x="73"/>
        <item x="112"/>
        <item x="265"/>
        <item x="161"/>
        <item x="72"/>
        <item x="145"/>
        <item x="71"/>
        <item x="70"/>
        <item x="120"/>
        <item x="69"/>
        <item x="180"/>
        <item x="251"/>
        <item x="68"/>
        <item x="127"/>
        <item x="67"/>
        <item x="241"/>
        <item x="66"/>
        <item x="173"/>
        <item x="65"/>
        <item x="64"/>
        <item x="262"/>
        <item x="144"/>
        <item x="63"/>
        <item x="62"/>
        <item x="61"/>
        <item x="60"/>
        <item x="232"/>
        <item x="233"/>
        <item x="59"/>
        <item x="238"/>
        <item x="205"/>
        <item x="109"/>
        <item x="264"/>
        <item x="58"/>
        <item x="197"/>
        <item x="137"/>
        <item x="216"/>
        <item x="131"/>
        <item x="57"/>
        <item x="237"/>
        <item x="242"/>
        <item x="153"/>
        <item x="234"/>
        <item x="184"/>
        <item x="155"/>
        <item x="56"/>
        <item x="55"/>
        <item x="254"/>
        <item x="187"/>
        <item x="166"/>
        <item x="54"/>
        <item x="103"/>
        <item x="117"/>
        <item x="164"/>
        <item x="53"/>
        <item x="171"/>
        <item x="52"/>
        <item x="247"/>
        <item x="119"/>
        <item x="51"/>
        <item x="210"/>
        <item x="170"/>
        <item x="213"/>
        <item x="231"/>
        <item x="257"/>
        <item x="50"/>
        <item x="183"/>
        <item x="255"/>
        <item x="49"/>
        <item x="243"/>
        <item x="152"/>
        <item x="48"/>
        <item x="140"/>
        <item x="47"/>
        <item x="46"/>
        <item x="102"/>
        <item x="225"/>
        <item x="228"/>
        <item x="45"/>
        <item x="220"/>
        <item x="236"/>
        <item x="208"/>
        <item x="207"/>
        <item x="235"/>
        <item x="195"/>
        <item x="200"/>
        <item x="44"/>
        <item x="253"/>
        <item x="193"/>
        <item x="43"/>
        <item x="42"/>
        <item x="101"/>
        <item x="249"/>
        <item x="139"/>
        <item x="176"/>
        <item x="105"/>
        <item x="248"/>
        <item x="258"/>
        <item x="41"/>
        <item x="204"/>
        <item x="149"/>
        <item x="40"/>
        <item x="114"/>
        <item x="100"/>
        <item x="111"/>
        <item x="261"/>
        <item x="39"/>
        <item x="182"/>
        <item x="38"/>
        <item x="106"/>
        <item x="134"/>
        <item x="136"/>
        <item x="132"/>
        <item x="37"/>
        <item x="196"/>
        <item x="36"/>
        <item x="250"/>
        <item x="35"/>
        <item x="34"/>
        <item x="218"/>
        <item x="33"/>
        <item x="267"/>
        <item x="245"/>
        <item x="198"/>
        <item x="124"/>
        <item x="177"/>
        <item x="121"/>
        <item x="263"/>
        <item x="174"/>
        <item x="130"/>
        <item x="227"/>
        <item x="268"/>
        <item x="32"/>
        <item x="31"/>
        <item x="30"/>
        <item x="29"/>
        <item x="239"/>
        <item x="190"/>
        <item x="159"/>
        <item x="259"/>
        <item x="28"/>
        <item x="135"/>
        <item x="27"/>
        <item x="26"/>
        <item x="25"/>
        <item x="133"/>
        <item x="202"/>
        <item x="222"/>
        <item x="24"/>
        <item x="162"/>
        <item x="143"/>
        <item x="23"/>
        <item x="22"/>
        <item x="21"/>
        <item x="20"/>
        <item x="185"/>
        <item x="256"/>
        <item x="19"/>
        <item x="188"/>
        <item x="18"/>
        <item x="128"/>
        <item x="17"/>
        <item x="118"/>
        <item x="16"/>
        <item x="15"/>
        <item x="14"/>
        <item x="201"/>
        <item x="13"/>
        <item x="194"/>
        <item x="142"/>
        <item x="147"/>
        <item x="175"/>
        <item x="150"/>
        <item x="12"/>
        <item x="11"/>
        <item x="141"/>
        <item x="10"/>
        <item x="217"/>
        <item x="203"/>
        <item x="116"/>
        <item x="9"/>
        <item x="191"/>
        <item x="8"/>
        <item x="7"/>
        <item x="165"/>
        <item x="110"/>
        <item x="6"/>
        <item x="5"/>
        <item x="4"/>
        <item x="3"/>
        <item x="2"/>
        <item x="1"/>
        <item x="266"/>
        <item x="0"/>
        <item x="189"/>
        <item x="230"/>
        <item x="122"/>
        <item t="default"/>
      </items>
    </pivotField>
    <pivotField showAll="0"/>
    <pivotField showAll="0"/>
    <pivotField showAll="0"/>
    <pivotField axis="axisRow" showAll="0">
      <items count="7">
        <item x="3"/>
        <item x="1"/>
        <item x="4"/>
        <item m="1" x="5"/>
        <item x="0"/>
        <item x="2"/>
        <item t="default"/>
      </items>
    </pivotField>
    <pivotField showAll="0"/>
    <pivotField showAll="0">
      <items count="28">
        <item x="3"/>
        <item x="0"/>
        <item x="4"/>
        <item x="6"/>
        <item x="9"/>
        <item x="1"/>
        <item x="10"/>
        <item x="2"/>
        <item x="11"/>
        <item x="12"/>
        <item x="5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8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Cuenta de ID Préstamo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3BFFB-A754-47D2-845F-AA803A1BFBEB}" name="TablaDinámica7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55:A56" firstHeaderRow="1" firstDataRow="1" firstDataCol="0"/>
  <pivotFields count="15">
    <pivotField dataField="1" showAll="0"/>
    <pivotField numFmtId="14" showAll="0">
      <items count="270">
        <item x="99"/>
        <item x="229"/>
        <item x="98"/>
        <item x="97"/>
        <item x="146"/>
        <item x="151"/>
        <item x="223"/>
        <item x="96"/>
        <item x="95"/>
        <item x="169"/>
        <item x="94"/>
        <item x="186"/>
        <item x="123"/>
        <item x="211"/>
        <item x="226"/>
        <item x="181"/>
        <item x="212"/>
        <item x="154"/>
        <item x="219"/>
        <item x="107"/>
        <item x="93"/>
        <item x="246"/>
        <item x="92"/>
        <item x="192"/>
        <item x="125"/>
        <item x="91"/>
        <item x="199"/>
        <item x="90"/>
        <item x="178"/>
        <item x="209"/>
        <item x="126"/>
        <item x="115"/>
        <item x="168"/>
        <item x="252"/>
        <item x="215"/>
        <item x="167"/>
        <item x="172"/>
        <item x="89"/>
        <item x="88"/>
        <item x="87"/>
        <item x="86"/>
        <item x="85"/>
        <item x="244"/>
        <item x="138"/>
        <item x="84"/>
        <item x="157"/>
        <item x="108"/>
        <item x="156"/>
        <item x="83"/>
        <item x="160"/>
        <item x="221"/>
        <item x="260"/>
        <item x="148"/>
        <item x="224"/>
        <item x="206"/>
        <item x="214"/>
        <item x="82"/>
        <item x="129"/>
        <item x="81"/>
        <item x="80"/>
        <item x="79"/>
        <item x="158"/>
        <item x="78"/>
        <item x="240"/>
        <item x="163"/>
        <item x="179"/>
        <item x="113"/>
        <item x="77"/>
        <item x="76"/>
        <item x="104"/>
        <item x="75"/>
        <item x="74"/>
        <item x="73"/>
        <item x="112"/>
        <item x="265"/>
        <item x="161"/>
        <item x="72"/>
        <item x="145"/>
        <item x="71"/>
        <item x="70"/>
        <item x="120"/>
        <item x="69"/>
        <item x="180"/>
        <item x="251"/>
        <item x="68"/>
        <item x="127"/>
        <item x="67"/>
        <item x="241"/>
        <item x="66"/>
        <item x="173"/>
        <item x="65"/>
        <item x="64"/>
        <item x="262"/>
        <item x="144"/>
        <item x="63"/>
        <item x="62"/>
        <item x="61"/>
        <item x="60"/>
        <item x="232"/>
        <item x="233"/>
        <item x="59"/>
        <item x="238"/>
        <item x="205"/>
        <item x="109"/>
        <item x="264"/>
        <item x="58"/>
        <item x="197"/>
        <item x="137"/>
        <item x="216"/>
        <item x="131"/>
        <item x="57"/>
        <item x="237"/>
        <item x="242"/>
        <item x="153"/>
        <item x="234"/>
        <item x="184"/>
        <item x="155"/>
        <item x="56"/>
        <item x="55"/>
        <item x="254"/>
        <item x="187"/>
        <item x="166"/>
        <item x="54"/>
        <item x="103"/>
        <item x="117"/>
        <item x="164"/>
        <item x="53"/>
        <item x="171"/>
        <item x="52"/>
        <item x="247"/>
        <item x="119"/>
        <item x="51"/>
        <item x="210"/>
        <item x="170"/>
        <item x="213"/>
        <item x="231"/>
        <item x="257"/>
        <item x="50"/>
        <item x="183"/>
        <item x="255"/>
        <item x="49"/>
        <item x="243"/>
        <item x="152"/>
        <item x="48"/>
        <item x="140"/>
        <item x="47"/>
        <item x="46"/>
        <item x="102"/>
        <item x="225"/>
        <item x="228"/>
        <item x="45"/>
        <item x="220"/>
        <item x="236"/>
        <item x="208"/>
        <item x="207"/>
        <item x="235"/>
        <item x="195"/>
        <item x="200"/>
        <item x="44"/>
        <item x="253"/>
        <item x="193"/>
        <item x="43"/>
        <item x="42"/>
        <item x="101"/>
        <item x="249"/>
        <item x="139"/>
        <item x="176"/>
        <item x="105"/>
        <item x="248"/>
        <item x="258"/>
        <item x="41"/>
        <item x="204"/>
        <item x="149"/>
        <item x="40"/>
        <item x="114"/>
        <item x="100"/>
        <item x="111"/>
        <item x="261"/>
        <item x="39"/>
        <item x="182"/>
        <item x="38"/>
        <item x="106"/>
        <item x="134"/>
        <item x="136"/>
        <item x="132"/>
        <item x="37"/>
        <item x="196"/>
        <item x="36"/>
        <item x="250"/>
        <item x="35"/>
        <item x="34"/>
        <item x="218"/>
        <item x="33"/>
        <item x="267"/>
        <item x="245"/>
        <item x="198"/>
        <item x="124"/>
        <item x="177"/>
        <item x="121"/>
        <item x="263"/>
        <item x="174"/>
        <item x="130"/>
        <item x="227"/>
        <item x="268"/>
        <item x="32"/>
        <item x="31"/>
        <item x="30"/>
        <item x="29"/>
        <item x="239"/>
        <item x="190"/>
        <item x="159"/>
        <item x="259"/>
        <item x="28"/>
        <item x="135"/>
        <item x="27"/>
        <item x="26"/>
        <item x="25"/>
        <item x="133"/>
        <item x="202"/>
        <item x="222"/>
        <item x="24"/>
        <item x="162"/>
        <item x="143"/>
        <item x="23"/>
        <item x="22"/>
        <item x="21"/>
        <item x="20"/>
        <item x="185"/>
        <item x="256"/>
        <item x="19"/>
        <item x="188"/>
        <item x="18"/>
        <item x="128"/>
        <item x="17"/>
        <item x="118"/>
        <item x="16"/>
        <item x="15"/>
        <item x="14"/>
        <item x="201"/>
        <item x="13"/>
        <item x="194"/>
        <item x="142"/>
        <item x="147"/>
        <item x="175"/>
        <item x="150"/>
        <item x="12"/>
        <item x="11"/>
        <item x="141"/>
        <item x="10"/>
        <item x="217"/>
        <item x="203"/>
        <item x="116"/>
        <item x="9"/>
        <item x="191"/>
        <item x="8"/>
        <item x="7"/>
        <item x="165"/>
        <item x="110"/>
        <item x="6"/>
        <item x="5"/>
        <item x="4"/>
        <item x="3"/>
        <item x="2"/>
        <item x="1"/>
        <item x="266"/>
        <item x="0"/>
        <item x="189"/>
        <item x="230"/>
        <item x="122"/>
        <item t="default"/>
      </items>
    </pivotField>
    <pivotField showAll="0"/>
    <pivotField showAll="0"/>
    <pivotField showAll="0"/>
    <pivotField showAll="0"/>
    <pivotField showAll="0"/>
    <pivotField showAll="0">
      <items count="28">
        <item x="3"/>
        <item x="0"/>
        <item x="4"/>
        <item x="6"/>
        <item x="9"/>
        <item x="1"/>
        <item x="10"/>
        <item x="2"/>
        <item x="11"/>
        <item x="12"/>
        <item x="5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8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Cuenta de ID Préstamo" fld="0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3FE9E-89C9-4223-9FBF-37AECB0E08DB}" name="TablaDinámica4" cacheId="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5">
  <location ref="A55:D60" firstHeaderRow="1" firstDataRow="2" firstDataCol="1"/>
  <pivotFields count="10">
    <pivotField showAll="0"/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numFmtId="14" showAll="0">
      <items count="143">
        <item x="112"/>
        <item x="0"/>
        <item x="113"/>
        <item x="85"/>
        <item x="1"/>
        <item x="114"/>
        <item x="2"/>
        <item x="115"/>
        <item x="3"/>
        <item x="93"/>
        <item x="41"/>
        <item x="42"/>
        <item x="4"/>
        <item x="5"/>
        <item x="6"/>
        <item x="7"/>
        <item x="43"/>
        <item x="8"/>
        <item x="44"/>
        <item x="45"/>
        <item x="86"/>
        <item x="9"/>
        <item x="94"/>
        <item x="116"/>
        <item x="87"/>
        <item x="95"/>
        <item x="117"/>
        <item x="10"/>
        <item x="118"/>
        <item x="46"/>
        <item x="11"/>
        <item x="12"/>
        <item x="119"/>
        <item x="13"/>
        <item x="120"/>
        <item x="121"/>
        <item x="14"/>
        <item x="47"/>
        <item x="15"/>
        <item x="48"/>
        <item x="16"/>
        <item x="49"/>
        <item x="122"/>
        <item x="17"/>
        <item x="96"/>
        <item x="50"/>
        <item x="18"/>
        <item x="123"/>
        <item x="51"/>
        <item x="52"/>
        <item x="97"/>
        <item x="53"/>
        <item x="54"/>
        <item x="55"/>
        <item x="124"/>
        <item x="19"/>
        <item x="56"/>
        <item x="88"/>
        <item x="57"/>
        <item x="125"/>
        <item x="20"/>
        <item x="126"/>
        <item x="127"/>
        <item x="58"/>
        <item x="89"/>
        <item x="98"/>
        <item x="21"/>
        <item x="59"/>
        <item x="128"/>
        <item x="22"/>
        <item x="60"/>
        <item x="90"/>
        <item x="61"/>
        <item x="62"/>
        <item x="99"/>
        <item x="100"/>
        <item x="23"/>
        <item x="63"/>
        <item x="129"/>
        <item x="130"/>
        <item x="101"/>
        <item x="64"/>
        <item x="24"/>
        <item x="91"/>
        <item x="25"/>
        <item x="26"/>
        <item x="65"/>
        <item x="131"/>
        <item x="132"/>
        <item x="133"/>
        <item x="27"/>
        <item x="28"/>
        <item x="102"/>
        <item x="103"/>
        <item x="29"/>
        <item x="104"/>
        <item x="134"/>
        <item x="30"/>
        <item x="135"/>
        <item x="66"/>
        <item x="31"/>
        <item x="67"/>
        <item x="68"/>
        <item x="92"/>
        <item x="69"/>
        <item x="32"/>
        <item x="70"/>
        <item x="71"/>
        <item x="33"/>
        <item x="72"/>
        <item x="73"/>
        <item x="105"/>
        <item x="74"/>
        <item x="75"/>
        <item x="76"/>
        <item x="77"/>
        <item x="34"/>
        <item x="35"/>
        <item x="78"/>
        <item x="136"/>
        <item x="36"/>
        <item x="137"/>
        <item x="138"/>
        <item x="79"/>
        <item x="37"/>
        <item x="139"/>
        <item x="80"/>
        <item x="38"/>
        <item x="39"/>
        <item x="106"/>
        <item x="107"/>
        <item x="81"/>
        <item x="108"/>
        <item x="109"/>
        <item x="140"/>
        <item x="82"/>
        <item x="110"/>
        <item x="40"/>
        <item x="83"/>
        <item x="141"/>
        <item x="111"/>
        <item x="84"/>
        <item t="default"/>
      </items>
    </pivotField>
    <pivotField numFmtId="44" showAll="0"/>
    <pivotField numFmtId="164" showAll="0"/>
    <pivotField dataField="1" numFmtId="164" showAll="0"/>
  </pivotFields>
  <rowFields count="1">
    <field x="3"/>
  </rowFields>
  <rowItems count="4">
    <i>
      <x/>
    </i>
    <i>
      <x v="1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a de Total" fld="9" baseField="0" baseItem="0" numFmtId="164"/>
  </dataFields>
  <chartFormats count="8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Medium14" showRowHeaders="1" showColHeaders="1" showRowStripes="0" showColStripes="0" showLastColumn="1"/>
  <filters count="1">
    <filter fld="6" type="dateBetween" evalOrder="-1" id="60" name="Fecha">
      <autoFilter ref="A1">
        <filterColumn colId="0">
          <customFilters and="1">
            <customFilter operator="greaterThanOrEqual" val="41334"/>
            <customFilter operator="lessThanOrEqual" val="4136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5FD9D-A2BE-410F-9FCE-1BF422835E0F}" name="TablaDinámica2" cacheId="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0">
  <location ref="A3:B11" firstHeaderRow="1" firstDataRow="1" firstDataCol="1"/>
  <pivotFields count="10">
    <pivotField showAll="0"/>
    <pivotField showAll="0"/>
    <pivotField axis="axisRow" showAll="0" sortType="ascending">
      <items count="21">
        <item x="2"/>
        <item x="12"/>
        <item x="11"/>
        <item x="13"/>
        <item x="9"/>
        <item x="3"/>
        <item x="19"/>
        <item x="7"/>
        <item x="0"/>
        <item x="10"/>
        <item x="5"/>
        <item x="15"/>
        <item x="8"/>
        <item x="18"/>
        <item x="14"/>
        <item x="17"/>
        <item x="6"/>
        <item x="4"/>
        <item x="16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>
      <items count="143">
        <item x="112"/>
        <item x="0"/>
        <item x="113"/>
        <item x="85"/>
        <item x="1"/>
        <item x="114"/>
        <item x="2"/>
        <item x="115"/>
        <item x="3"/>
        <item x="93"/>
        <item x="41"/>
        <item x="42"/>
        <item x="4"/>
        <item x="5"/>
        <item x="6"/>
        <item x="7"/>
        <item x="43"/>
        <item x="8"/>
        <item x="44"/>
        <item x="45"/>
        <item x="86"/>
        <item x="9"/>
        <item x="94"/>
        <item x="116"/>
        <item x="87"/>
        <item x="95"/>
        <item x="117"/>
        <item x="10"/>
        <item x="118"/>
        <item x="46"/>
        <item x="11"/>
        <item x="12"/>
        <item x="119"/>
        <item x="13"/>
        <item x="120"/>
        <item x="121"/>
        <item x="14"/>
        <item x="47"/>
        <item x="15"/>
        <item x="48"/>
        <item x="16"/>
        <item x="49"/>
        <item x="122"/>
        <item x="17"/>
        <item x="96"/>
        <item x="50"/>
        <item x="18"/>
        <item x="123"/>
        <item x="51"/>
        <item x="52"/>
        <item x="97"/>
        <item x="53"/>
        <item x="54"/>
        <item x="55"/>
        <item x="124"/>
        <item x="19"/>
        <item x="56"/>
        <item x="88"/>
        <item x="57"/>
        <item x="125"/>
        <item x="20"/>
        <item x="126"/>
        <item x="127"/>
        <item x="58"/>
        <item x="89"/>
        <item x="98"/>
        <item x="21"/>
        <item x="59"/>
        <item x="128"/>
        <item x="22"/>
        <item x="60"/>
        <item x="90"/>
        <item x="61"/>
        <item x="62"/>
        <item x="99"/>
        <item x="100"/>
        <item x="23"/>
        <item x="63"/>
        <item x="129"/>
        <item x="130"/>
        <item x="101"/>
        <item x="64"/>
        <item x="24"/>
        <item x="91"/>
        <item x="25"/>
        <item x="26"/>
        <item x="65"/>
        <item x="131"/>
        <item x="132"/>
        <item x="133"/>
        <item x="27"/>
        <item x="28"/>
        <item x="102"/>
        <item x="103"/>
        <item x="29"/>
        <item x="104"/>
        <item x="134"/>
        <item x="30"/>
        <item x="135"/>
        <item x="66"/>
        <item x="31"/>
        <item x="67"/>
        <item x="68"/>
        <item x="92"/>
        <item x="69"/>
        <item x="32"/>
        <item x="70"/>
        <item x="71"/>
        <item x="33"/>
        <item x="72"/>
        <item x="73"/>
        <item x="105"/>
        <item x="74"/>
        <item x="75"/>
        <item x="76"/>
        <item x="77"/>
        <item x="34"/>
        <item x="35"/>
        <item x="78"/>
        <item x="136"/>
        <item x="36"/>
        <item x="137"/>
        <item x="138"/>
        <item x="79"/>
        <item x="37"/>
        <item x="139"/>
        <item x="80"/>
        <item x="38"/>
        <item x="39"/>
        <item x="106"/>
        <item x="107"/>
        <item x="81"/>
        <item x="108"/>
        <item x="109"/>
        <item x="140"/>
        <item x="82"/>
        <item x="110"/>
        <item x="40"/>
        <item x="83"/>
        <item x="141"/>
        <item x="111"/>
        <item x="84"/>
        <item t="default"/>
      </items>
    </pivotField>
    <pivotField numFmtId="44" showAll="0"/>
    <pivotField numFmtId="164" showAll="0"/>
    <pivotField dataField="1" numFmtId="164" showAll="0"/>
  </pivotFields>
  <rowFields count="1">
    <field x="2"/>
  </rowFields>
  <rowItems count="8">
    <i>
      <x/>
    </i>
    <i>
      <x v="1"/>
    </i>
    <i>
      <x v="5"/>
    </i>
    <i>
      <x v="8"/>
    </i>
    <i>
      <x v="10"/>
    </i>
    <i>
      <x v="16"/>
    </i>
    <i>
      <x v="17"/>
    </i>
    <i t="grand">
      <x/>
    </i>
  </rowItems>
  <colItems count="1">
    <i/>
  </colItems>
  <dataFields count="1">
    <dataField name="Suma de Total" fld="9" baseField="2" baseItem="0" numFmtId="164"/>
  </dataFields>
  <formats count="1">
    <format dxfId="1">
      <pivotArea collapsedLevelsAreSubtotals="1" fieldPosition="0">
        <references count="1">
          <reference field="2" count="0"/>
        </references>
      </pivotArea>
    </format>
  </formats>
  <chartFormats count="3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filters count="1">
    <filter fld="6" type="dateBetween" evalOrder="-1" id="25" name="Fecha">
      <autoFilter ref="A1">
        <filterColumn colId="0">
          <customFilters and="1">
            <customFilter operator="greaterThanOrEqual" val="41334"/>
            <customFilter operator="lessThanOrEqual" val="4136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41E57-3881-45F0-B381-BDACA16AD8B6}" name="TablaDinámica3" cacheId="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3">
  <location ref="A28:B36" firstHeaderRow="1" firstDataRow="1" firstDataCol="1"/>
  <pivotFields count="10">
    <pivotField showAll="0"/>
    <pivotField showAll="0"/>
    <pivotField axis="axisRow" showAll="0">
      <items count="21">
        <item x="2"/>
        <item x="12"/>
        <item x="11"/>
        <item x="13"/>
        <item x="9"/>
        <item x="3"/>
        <item x="19"/>
        <item x="7"/>
        <item x="0"/>
        <item x="10"/>
        <item x="5"/>
        <item x="15"/>
        <item x="8"/>
        <item x="18"/>
        <item x="14"/>
        <item x="17"/>
        <item x="6"/>
        <item x="4"/>
        <item x="16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>
      <items count="143">
        <item x="112"/>
        <item x="0"/>
        <item x="113"/>
        <item x="85"/>
        <item x="1"/>
        <item x="114"/>
        <item x="2"/>
        <item x="115"/>
        <item x="3"/>
        <item x="93"/>
        <item x="41"/>
        <item x="42"/>
        <item x="4"/>
        <item x="5"/>
        <item x="6"/>
        <item x="7"/>
        <item x="43"/>
        <item x="8"/>
        <item x="44"/>
        <item x="45"/>
        <item x="86"/>
        <item x="9"/>
        <item x="94"/>
        <item x="116"/>
        <item x="87"/>
        <item x="95"/>
        <item x="117"/>
        <item x="10"/>
        <item x="118"/>
        <item x="46"/>
        <item x="11"/>
        <item x="12"/>
        <item x="119"/>
        <item x="13"/>
        <item x="120"/>
        <item x="121"/>
        <item x="14"/>
        <item x="47"/>
        <item x="15"/>
        <item x="48"/>
        <item x="16"/>
        <item x="49"/>
        <item x="122"/>
        <item x="17"/>
        <item x="96"/>
        <item x="50"/>
        <item x="18"/>
        <item x="123"/>
        <item x="51"/>
        <item x="52"/>
        <item x="97"/>
        <item x="53"/>
        <item x="54"/>
        <item x="55"/>
        <item x="124"/>
        <item x="19"/>
        <item x="56"/>
        <item x="88"/>
        <item x="57"/>
        <item x="125"/>
        <item x="20"/>
        <item x="126"/>
        <item x="127"/>
        <item x="58"/>
        <item x="89"/>
        <item x="98"/>
        <item x="21"/>
        <item x="59"/>
        <item x="128"/>
        <item x="22"/>
        <item x="60"/>
        <item x="90"/>
        <item x="61"/>
        <item x="62"/>
        <item x="99"/>
        <item x="100"/>
        <item x="23"/>
        <item x="63"/>
        <item x="129"/>
        <item x="130"/>
        <item x="101"/>
        <item x="64"/>
        <item x="24"/>
        <item x="91"/>
        <item x="25"/>
        <item x="26"/>
        <item x="65"/>
        <item x="131"/>
        <item x="132"/>
        <item x="133"/>
        <item x="27"/>
        <item x="28"/>
        <item x="102"/>
        <item x="103"/>
        <item x="29"/>
        <item x="104"/>
        <item x="134"/>
        <item x="30"/>
        <item x="135"/>
        <item x="66"/>
        <item x="31"/>
        <item x="67"/>
        <item x="68"/>
        <item x="92"/>
        <item x="69"/>
        <item x="32"/>
        <item x="70"/>
        <item x="71"/>
        <item x="33"/>
        <item x="72"/>
        <item x="73"/>
        <item x="105"/>
        <item x="74"/>
        <item x="75"/>
        <item x="76"/>
        <item x="77"/>
        <item x="34"/>
        <item x="35"/>
        <item x="78"/>
        <item x="136"/>
        <item x="36"/>
        <item x="137"/>
        <item x="138"/>
        <item x="79"/>
        <item x="37"/>
        <item x="139"/>
        <item x="80"/>
        <item x="38"/>
        <item x="39"/>
        <item x="106"/>
        <item x="107"/>
        <item x="81"/>
        <item x="108"/>
        <item x="109"/>
        <item x="140"/>
        <item x="82"/>
        <item x="110"/>
        <item x="40"/>
        <item x="83"/>
        <item x="141"/>
        <item x="111"/>
        <item x="84"/>
        <item t="default"/>
      </items>
    </pivotField>
    <pivotField numFmtId="44" showAll="0"/>
    <pivotField numFmtId="164" showAll="0"/>
    <pivotField dataField="1" numFmtId="164" showAll="0"/>
  </pivotFields>
  <rowFields count="1">
    <field x="2"/>
  </rowFields>
  <rowItems count="8">
    <i>
      <x/>
    </i>
    <i>
      <x v="1"/>
    </i>
    <i>
      <x v="5"/>
    </i>
    <i>
      <x v="8"/>
    </i>
    <i>
      <x v="10"/>
    </i>
    <i>
      <x v="16"/>
    </i>
    <i>
      <x v="17"/>
    </i>
    <i t="grand">
      <x/>
    </i>
  </rowItems>
  <colItems count="1">
    <i/>
  </colItems>
  <dataFields count="1">
    <dataField name="Suma de Total" fld="9" showDataAs="percentOfTotal" baseField="2" baseItem="0" numFmtId="10"/>
  </dataFields>
  <chartFormats count="3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5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5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5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5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5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5" format="42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</chartFormats>
  <pivotTableStyleInfo name="PivotStyleMedium14" showRowHeaders="1" showColHeaders="1" showRowStripes="0" showColStripes="0" showLastColumn="1"/>
  <filters count="1">
    <filter fld="6" type="dateBetween" evalOrder="-1" id="25" name="Fecha">
      <autoFilter ref="A1">
        <filterColumn colId="0">
          <customFilters and="1">
            <customFilter operator="greaterThanOrEqual" val="41334"/>
            <customFilter operator="lessThanOrEqual" val="4136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ías_Retraso_Reportados" xr10:uid="{560AEF45-F4F3-4A7E-A37F-E75AD575731C}" sourceName="Días Retraso Reportados">
  <pivotTables>
    <pivotTable tabId="7" name="TablaDinámica3"/>
    <pivotTable tabId="7" name="TablaDinámica4"/>
    <pivotTable tabId="7" name="TablaDinámica6"/>
    <pivotTable tabId="7" name="TablaDinámica7"/>
  </pivotTables>
  <data>
    <tabular pivotCacheId="757618466">
      <items count="27">
        <i x="3" s="1"/>
        <i x="0" s="1"/>
        <i x="4" s="1"/>
        <i x="6" s="1"/>
        <i x="9" s="1"/>
        <i x="1" s="1"/>
        <i x="10" s="1"/>
        <i x="2" s="1"/>
        <i x="11" s="1"/>
        <i x="12" s="1"/>
        <i x="5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8" s="1"/>
        <i x="7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p" xr10:uid="{6FB4BE9D-6E74-4A3D-8801-FE37166F5E7C}" sourceName="Fp">
  <pivotTables>
    <pivotTable tabId="14" name="TablaDinámica2"/>
    <pivotTable tabId="14" name="TablaDinámica3"/>
    <pivotTable tabId="14" name="TablaDinámica4"/>
  </pivotTables>
  <data>
    <tabular pivotCacheId="1801305781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p1" xr10:uid="{C6E25B10-0E86-4CA3-865E-E60382E23169}" sourceName="Fp">
  <data>
    <tabular pivotCacheId="1801305781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ías Retraso Reportados" xr10:uid="{F8D859A4-5711-4840-8228-D082A4ECF4E0}" cache="SegmentaciónDeDatos_Días_Retraso_Reportados" caption="Días Retraso Reportados" style="SlicerStyleLight6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ías Retraso Reportados 1" xr10:uid="{23105C85-49AA-4EA6-B925-35C1B0ACD3B6}" cache="SegmentaciónDeDatos_Días_Retraso_Reportados" caption="Días Retraso Reportados" columnCount="7" style="SlicerStyleLight6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p" xr10:uid="{A5C61EAE-4B82-425D-9859-5CB220E89DFD}" cache="SegmentaciónDeDatos_Fp" caption="Fp" style="SlicerStyleLight6" rowHeight="2476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p 1" xr10:uid="{50D03CF8-98AD-43A1-9715-6B9746F6BD49}" cache="SegmentaciónDeDatos_Fp1" caption="Fp" style="SlicerStyleLight6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5200AB-4448-4443-86F4-4EABE8E6C446}" name="Inventario_Libro" displayName="Inventario_Libro" ref="A1:H201" totalsRowShown="0" headerRowDxfId="10" headerRowBorderDxfId="36" tableBorderDxfId="35">
  <autoFilter ref="A1:H201" xr:uid="{00000000-0001-0000-0000-000000000000}"/>
  <sortState xmlns:xlrd2="http://schemas.microsoft.com/office/spreadsheetml/2017/richdata2" ref="A2:H201">
    <sortCondition ref="A1:A209"/>
  </sortState>
  <tableColumns count="8">
    <tableColumn id="1" xr3:uid="{B0F8C2D1-68C9-4438-BE59-2F7417F542B7}" name="ID Libro" dataDxfId="34"/>
    <tableColumn id="2" xr3:uid="{07E440CF-76BB-4153-ABA0-3B777B688FAC}" name="Título" dataDxfId="33"/>
    <tableColumn id="3" xr3:uid="{52ECEE89-4FBE-403A-BD78-3D99F2C1801B}" name="Autor" dataDxfId="32"/>
    <tableColumn id="4" xr3:uid="{119F8698-34B1-477A-BBD0-6107C920F295}" name="Categoría" dataDxfId="31"/>
    <tableColumn id="5" xr3:uid="{B1B74EBA-8600-4E38-ABB6-CEE3CAABA9C0}" name="Año Publicación" dataDxfId="30"/>
    <tableColumn id="6" xr3:uid="{C72076EF-3C2C-4328-9D77-0A47FCC53F58}" name="Número de Copias" dataDxfId="29"/>
    <tableColumn id="7" xr3:uid="{E70B2405-9E63-44A4-BAE7-9A8340942362}" name="Estantería" dataDxfId="28"/>
    <tableColumn id="8" xr3:uid="{10A737C9-8450-4299-A96D-9695FFE1F97E}" name="Estado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51E963-ED6E-428E-8FE9-AC68AB80644E}" name="Prestamos" displayName="Prestamos" ref="A1:N601" totalsRowShown="0" headerRowDxfId="9" headerRowBorderDxfId="26" tableBorderDxfId="25">
  <autoFilter ref="A1:N601" xr:uid="{00000000-0001-0000-0100-000000000000}"/>
  <tableColumns count="14">
    <tableColumn id="1" xr3:uid="{2C2821F8-E3AE-4833-AFBC-83CAC5915909}" name="ID Préstamo" dataDxfId="24"/>
    <tableColumn id="2" xr3:uid="{06658E4D-2713-411F-938E-BB715405A6D2}" name="Fecha Préstamo" dataDxfId="23"/>
    <tableColumn id="3" xr3:uid="{9131C161-1C53-48EA-81AE-91D509931AFE}" name="Fecha Devolución" dataDxfId="22"/>
    <tableColumn id="4" xr3:uid="{4CA501A6-1C57-4518-B5E6-DAF609B7A0B1}" name="ID Libro" dataDxfId="21"/>
    <tableColumn id="5" xr3:uid="{4935316C-D8C3-4704-B850-2DAC4146C43F}" name="Nombre Usuario" dataDxfId="20"/>
    <tableColumn id="6" xr3:uid="{10532985-1D18-49E5-9468-FC732D237DCB}" name="Tipo Usuario" dataDxfId="19"/>
    <tableColumn id="7" xr3:uid="{4F15E36C-F7B5-49FB-A34D-D407E7109546}" name="Estado Préstamo" dataDxfId="18"/>
    <tableColumn id="8" xr3:uid="{6CEAE5C6-F19C-46D9-B279-B05851F7D722}" name="Días Retraso Reportados" dataDxfId="17"/>
    <tableColumn id="9" xr3:uid="{BECF5E4E-28CE-4321-93E4-A19BFF42D158}" name="Título" dataDxfId="16">
      <calculatedColumnFormula>IFERROR(VLOOKUP(Prestamos[[#This Row],[ID Libro]],Inventario_Libros!A:B,2,0),"Libro No Existe")</calculatedColumnFormula>
    </tableColumn>
    <tableColumn id="10" xr3:uid="{1F413C68-48CC-45EA-B206-874401615E77}" name="Autor" dataDxfId="15">
      <calculatedColumnFormula>IFERROR(VLOOKUP(Prestamos[[#This Row],[ID Libro]],Inventario_Libros!A:C,3,0),"Libro No Existe")</calculatedColumnFormula>
    </tableColumn>
    <tableColumn id="11" xr3:uid="{3815915F-8FD7-4202-9CE5-613F20F8C9DE}" name="Categoría" dataDxfId="14">
      <calculatedColumnFormula>IFERROR(VLOOKUP(Prestamos[[#This Row],[ID Libro]],Inventario_Libros!A:D,4,0),"Libro No Existe")</calculatedColumnFormula>
    </tableColumn>
    <tableColumn id="12" xr3:uid="{6656609F-4673-4664-8C53-253BA569E9EF}" name="Año Publicación" dataDxfId="13">
      <calculatedColumnFormula>IFERROR(VLOOKUP(Prestamos[[#This Row],[ID Libro]],Inventario_Libros!A:E,5,0),"Libro No Existe")</calculatedColumnFormula>
    </tableColumn>
    <tableColumn id="13" xr3:uid="{8FD7AAAF-AADA-4A87-AE19-72D957E9BA40}" name="Estantería" dataDxfId="12">
      <calculatedColumnFormula>_xlfn.XLOOKUP(D:D,Inventario_Libros!A:A,Inventario_Libros!G:G,"No Existe",0)</calculatedColumnFormula>
    </tableColumn>
    <tableColumn id="14" xr3:uid="{A6A4AE9F-BC01-4027-B687-C8B170399D2F}" name="Estado" dataDxfId="11">
      <calculatedColumnFormula>IFERROR(VLOOKUP(Prestamos[[#This Row],[ID Libro]],Inventario_Libros!A:H,8,0),"Libro No Existe")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A536DB-E56C-446D-9FC3-28D88275784A}" name="Tabla1" displayName="Tabla1" ref="A1:J168" totalsRowShown="0" headerRowDxfId="0" headerRowBorderDxfId="7" tableBorderDxfId="8">
  <autoFilter ref="A1:J168" xr:uid="{D32075AA-635A-43D0-AC43-E759A4E09850}"/>
  <tableColumns count="10">
    <tableColumn id="1" xr3:uid="{61B4C648-429B-4526-B1D4-C23F5EE9B78F}" name="No Aportes" dataDxfId="6"/>
    <tableColumn id="2" xr3:uid="{84AEE4E1-4D9A-4945-8554-A261A6C5E29F}" name="Razon Social"/>
    <tableColumn id="3" xr3:uid="{7B44D47E-C48E-4693-9652-6B0EC8955901}" name="País"/>
    <tableColumn id="4" xr3:uid="{34DFAF06-EAD0-4ACC-8F7A-16A50543AE41}" name="Contacto "/>
    <tableColumn id="5" xr3:uid="{BE35DE80-8469-46B5-AB59-BFF377BED443}" name="Fp"/>
    <tableColumn id="6" xr3:uid="{28A9C3A6-796E-4BA5-B66E-FAC9D57366C7}" name="Compañía"/>
    <tableColumn id="7" xr3:uid="{DD1E14D3-6A0B-462E-AA02-F67F98D2CF02}" name="Fecha" dataDxfId="5"/>
    <tableColumn id="8" xr3:uid="{CAF13B16-BAC8-4A09-A530-FB1B020EE719}" name="Aporte" dataDxfId="4"/>
    <tableColumn id="9" xr3:uid="{71F57F00-EF55-44FC-A115-BD550C71D98E}" name="Bono" dataDxfId="3"/>
    <tableColumn id="10" xr3:uid="{AE7EB1CB-0B17-43C2-8195-A7B7E718E06B}" name="Total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_Préstamo" xr10:uid="{D24D9A4C-84D2-4376-A334-774EBCAC9D09}" sourceName="Fecha Préstamo">
  <pivotTables>
    <pivotTable tabId="7" name="TablaDinámica6"/>
    <pivotTable tabId="7" name="TablaDinámica3"/>
    <pivotTable tabId="7" name="TablaDinámica4"/>
    <pivotTable tabId="7" name="TablaDinámica7"/>
  </pivotTables>
  <state minimalRefreshVersion="6" lastRefreshVersion="6" pivotCacheId="757618466" filterType="unknown">
    <bounds startDate="2025-01-01T00:00:00" endDate="2026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1223D6E8-7E30-4E98-B9C1-9B46FD05A722}" sourceName="Fecha">
  <pivotTables>
    <pivotTable tabId="14" name="TablaDinámica4"/>
    <pivotTable tabId="14" name="TablaDinámica2"/>
    <pivotTable tabId="14" name="TablaDinámica3"/>
  </pivotTables>
  <state minimalRefreshVersion="6" lastRefreshVersion="6" pivotCacheId="1801305781" filterType="dateBetween">
    <selection startDate="2013-03-01T00:00:00" endDate="2013-03-31T00:00:00"/>
    <bounds startDate="2013-01-01T00:00:00" endDate="2015-01-01T00:00:00"/>
  </state>
</timelineCacheDefinition>
</file>

<file path=xl/timelineCaches/timelineCache3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1" xr10:uid="{F10BF323-9987-4839-A30A-E7A6481F731B}" sourceName="Fecha">
  <state minimalRefreshVersion="6" lastRefreshVersion="6" pivotCacheId="1801305781" filterType="dateBetween">
    <selection startDate="2013-03-01T00:00:00" endDate="2013-03-31T00:00:00"/>
    <bounds startDate="2013-01-01T00:00:00" endDate="201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Préstamo" xr10:uid="{4E714626-1831-4638-8AC8-0AEE8820A288}" cache="NativeTimeline_Fecha_Préstamo" caption="Fecha Préstamo" level="2" selectionLevel="2" scrollPosition="2025-05-28T00:00:00" style="TimeSlicerStyleLight6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Préstamo 1" xr10:uid="{EA2049A6-4445-4EC8-95FD-C52E49466AAB}" cache="NativeTimeline_Fecha_Préstamo" caption="Fecha Préstamo" level="2" selectionLevel="2" scrollPosition="2025-05-28T00:00:00" style="TimeSlicerStyleLight6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26332955-9148-4F5C-983D-12DF2F867BAA}" cache="NativeTimeline_Fecha" caption="Fecha" level="2" selectionLevel="2" scrollPosition="2013-01-01T00:00:00" style="TimeSlicerStyleLight6"/>
</timelines>
</file>

<file path=xl/timelines/timeline4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1" xr10:uid="{0DD8BA70-FC93-4C96-A430-D7B08338F6BB}" cache="NativeTimeline_Fecha1" caption="Fecha" level="2" selectionLevel="2" scrollPosition="2013-03-01T00:00:00" style="TimeSlicerStyleLight6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11/relationships/timeline" Target="../timelines/timelin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1/relationships/timeline" Target="../timelines/timelin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microsoft.com/office/2011/relationships/timeline" Target="../timelines/timeline3.xml"/><Relationship Id="rId5" Type="http://schemas.microsoft.com/office/2007/relationships/slicer" Target="../slicers/slicer3.xml"/><Relationship Id="rId4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Relationship Id="rId4" Type="http://schemas.microsoft.com/office/2011/relationships/timeline" Target="../timelines/timelin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H209"/>
  <sheetViews>
    <sheetView workbookViewId="0">
      <selection activeCell="J4" sqref="J4"/>
    </sheetView>
  </sheetViews>
  <sheetFormatPr baseColWidth="10" defaultColWidth="9.109375" defaultRowHeight="14.4" x14ac:dyDescent="0.3"/>
  <cols>
    <col min="1" max="1" width="10.88671875" customWidth="1"/>
    <col min="2" max="2" width="35.88671875" bestFit="1" customWidth="1"/>
    <col min="3" max="3" width="26.44140625" customWidth="1"/>
    <col min="4" max="4" width="21.109375" customWidth="1"/>
    <col min="5" max="5" width="16.44140625" customWidth="1"/>
    <col min="6" max="6" width="18.33203125" style="3" customWidth="1"/>
    <col min="7" max="7" width="15.109375" customWidth="1"/>
    <col min="8" max="8" width="9.88671875" bestFit="1" customWidth="1"/>
  </cols>
  <sheetData>
    <row r="1" spans="1:8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4" t="s">
        <v>6</v>
      </c>
      <c r="H1" s="14" t="s">
        <v>7</v>
      </c>
    </row>
    <row r="2" spans="1:8" x14ac:dyDescent="0.3">
      <c r="A2" s="4" t="s">
        <v>8</v>
      </c>
      <c r="B2" s="2" t="s">
        <v>32</v>
      </c>
      <c r="C2" s="2" t="s">
        <v>9</v>
      </c>
      <c r="D2" s="2" t="s">
        <v>10</v>
      </c>
      <c r="E2" s="3">
        <v>2019</v>
      </c>
      <c r="F2" s="3">
        <v>1</v>
      </c>
      <c r="G2" s="2" t="s">
        <v>290</v>
      </c>
      <c r="H2" s="2" t="s">
        <v>11</v>
      </c>
    </row>
    <row r="3" spans="1:8" x14ac:dyDescent="0.3">
      <c r="A3" s="4" t="s">
        <v>12</v>
      </c>
      <c r="B3" s="2" t="s">
        <v>299</v>
      </c>
      <c r="C3" s="2" t="s">
        <v>13</v>
      </c>
      <c r="D3" s="2" t="s">
        <v>14</v>
      </c>
      <c r="E3" s="3">
        <v>1936</v>
      </c>
      <c r="F3" s="3">
        <v>1</v>
      </c>
      <c r="G3" s="2" t="s">
        <v>290</v>
      </c>
      <c r="H3" s="2" t="s">
        <v>11</v>
      </c>
    </row>
    <row r="4" spans="1:8" x14ac:dyDescent="0.3">
      <c r="A4" s="4" t="s">
        <v>15</v>
      </c>
      <c r="B4" s="2" t="s">
        <v>300</v>
      </c>
      <c r="C4" s="2" t="s">
        <v>291</v>
      </c>
      <c r="D4" s="2" t="s">
        <v>292</v>
      </c>
      <c r="E4" s="3">
        <v>1903</v>
      </c>
      <c r="F4" s="3">
        <v>1</v>
      </c>
      <c r="G4" s="2" t="s">
        <v>16</v>
      </c>
      <c r="H4" s="2" t="s">
        <v>11</v>
      </c>
    </row>
    <row r="5" spans="1:8" x14ac:dyDescent="0.3">
      <c r="A5" s="4" t="s">
        <v>17</v>
      </c>
      <c r="B5" s="2" t="s">
        <v>63</v>
      </c>
      <c r="C5" s="2" t="s">
        <v>18</v>
      </c>
      <c r="D5" s="2" t="s">
        <v>10</v>
      </c>
      <c r="E5" s="3">
        <v>1955</v>
      </c>
      <c r="F5" s="3">
        <v>0</v>
      </c>
      <c r="G5" s="2" t="s">
        <v>290</v>
      </c>
      <c r="H5" s="2" t="s">
        <v>11</v>
      </c>
    </row>
    <row r="6" spans="1:8" x14ac:dyDescent="0.3">
      <c r="A6" s="4" t="s">
        <v>19</v>
      </c>
      <c r="B6" s="2" t="s">
        <v>124</v>
      </c>
      <c r="C6" s="2" t="s">
        <v>18</v>
      </c>
      <c r="D6" s="2" t="s">
        <v>10</v>
      </c>
      <c r="E6" s="3">
        <v>1905</v>
      </c>
      <c r="F6" s="3">
        <v>1</v>
      </c>
      <c r="G6" s="2" t="s">
        <v>20</v>
      </c>
      <c r="H6" s="2" t="s">
        <v>11</v>
      </c>
    </row>
    <row r="7" spans="1:8" x14ac:dyDescent="0.3">
      <c r="A7" s="4" t="s">
        <v>21</v>
      </c>
      <c r="B7" s="2" t="s">
        <v>301</v>
      </c>
      <c r="C7" s="2" t="s">
        <v>22</v>
      </c>
      <c r="D7" s="2" t="s">
        <v>23</v>
      </c>
      <c r="E7" s="3">
        <v>1923</v>
      </c>
      <c r="F7" s="3">
        <v>2</v>
      </c>
      <c r="G7" s="2" t="s">
        <v>20</v>
      </c>
      <c r="H7" s="2" t="s">
        <v>30</v>
      </c>
    </row>
    <row r="8" spans="1:8" x14ac:dyDescent="0.3">
      <c r="A8" s="4" t="s">
        <v>24</v>
      </c>
      <c r="B8" s="2" t="s">
        <v>25</v>
      </c>
      <c r="C8" s="2" t="s">
        <v>26</v>
      </c>
      <c r="D8" s="2" t="s">
        <v>293</v>
      </c>
      <c r="E8" s="3">
        <v>1938</v>
      </c>
      <c r="F8" s="3">
        <v>0</v>
      </c>
      <c r="G8" s="2" t="s">
        <v>16</v>
      </c>
      <c r="H8" s="2" t="s">
        <v>30</v>
      </c>
    </row>
    <row r="9" spans="1:8" x14ac:dyDescent="0.3">
      <c r="A9" s="4" t="s">
        <v>27</v>
      </c>
      <c r="B9" s="2" t="s">
        <v>25</v>
      </c>
      <c r="C9" s="2" t="s">
        <v>26</v>
      </c>
      <c r="D9" s="2" t="s">
        <v>293</v>
      </c>
      <c r="E9" s="3">
        <v>1997</v>
      </c>
      <c r="F9" s="3">
        <v>2</v>
      </c>
      <c r="G9" s="2" t="s">
        <v>20</v>
      </c>
      <c r="H9" s="2" t="s">
        <v>11</v>
      </c>
    </row>
    <row r="10" spans="1:8" x14ac:dyDescent="0.3">
      <c r="A10" s="4" t="s">
        <v>28</v>
      </c>
      <c r="B10" s="2" t="s">
        <v>29</v>
      </c>
      <c r="C10" s="2" t="s">
        <v>26</v>
      </c>
      <c r="D10" s="2" t="s">
        <v>293</v>
      </c>
      <c r="E10" s="3">
        <v>1903</v>
      </c>
      <c r="F10" s="3">
        <v>0</v>
      </c>
      <c r="G10" s="2" t="s">
        <v>16</v>
      </c>
      <c r="H10" s="2" t="s">
        <v>30</v>
      </c>
    </row>
    <row r="11" spans="1:8" x14ac:dyDescent="0.3">
      <c r="A11" s="4" t="s">
        <v>31</v>
      </c>
      <c r="B11" s="2" t="s">
        <v>32</v>
      </c>
      <c r="C11" s="2" t="s">
        <v>9</v>
      </c>
      <c r="D11" s="2" t="s">
        <v>10</v>
      </c>
      <c r="E11" s="3">
        <v>2021</v>
      </c>
      <c r="F11" s="3">
        <v>0</v>
      </c>
      <c r="G11" s="2" t="s">
        <v>16</v>
      </c>
      <c r="H11" s="2" t="s">
        <v>11</v>
      </c>
    </row>
    <row r="12" spans="1:8" x14ac:dyDescent="0.3">
      <c r="A12" s="4" t="s">
        <v>33</v>
      </c>
      <c r="B12" s="2" t="s">
        <v>34</v>
      </c>
      <c r="C12" s="2" t="s">
        <v>9</v>
      </c>
      <c r="D12" s="2" t="s">
        <v>10</v>
      </c>
      <c r="E12" s="3">
        <v>1947</v>
      </c>
      <c r="F12" s="3">
        <v>2</v>
      </c>
      <c r="G12" s="2" t="s">
        <v>16</v>
      </c>
      <c r="H12" s="2" t="s">
        <v>11</v>
      </c>
    </row>
    <row r="13" spans="1:8" x14ac:dyDescent="0.3">
      <c r="A13" s="4" t="s">
        <v>35</v>
      </c>
      <c r="B13" s="2" t="s">
        <v>32</v>
      </c>
      <c r="C13" s="2" t="s">
        <v>9</v>
      </c>
      <c r="D13" s="2" t="s">
        <v>10</v>
      </c>
      <c r="E13" s="3">
        <v>2015</v>
      </c>
      <c r="F13" s="3">
        <v>1</v>
      </c>
      <c r="G13" s="2" t="s">
        <v>290</v>
      </c>
      <c r="H13" s="2" t="s">
        <v>11</v>
      </c>
    </row>
    <row r="14" spans="1:8" x14ac:dyDescent="0.3">
      <c r="A14" s="4" t="s">
        <v>36</v>
      </c>
      <c r="B14" s="2" t="s">
        <v>302</v>
      </c>
      <c r="C14" s="2" t="s">
        <v>37</v>
      </c>
      <c r="D14" s="2" t="s">
        <v>14</v>
      </c>
      <c r="E14" s="3">
        <v>1901</v>
      </c>
      <c r="F14" s="3">
        <v>0</v>
      </c>
      <c r="G14" s="2" t="s">
        <v>290</v>
      </c>
      <c r="H14" s="2" t="s">
        <v>30</v>
      </c>
    </row>
    <row r="15" spans="1:8" x14ac:dyDescent="0.3">
      <c r="A15" s="4" t="s">
        <v>38</v>
      </c>
      <c r="B15" s="2" t="s">
        <v>39</v>
      </c>
      <c r="C15" s="2" t="s">
        <v>40</v>
      </c>
      <c r="D15" s="2" t="s">
        <v>14</v>
      </c>
      <c r="E15" s="3">
        <v>2018</v>
      </c>
      <c r="F15" s="3">
        <v>0</v>
      </c>
      <c r="G15" s="2" t="s">
        <v>20</v>
      </c>
      <c r="H15" s="2" t="s">
        <v>30</v>
      </c>
    </row>
    <row r="16" spans="1:8" x14ac:dyDescent="0.3">
      <c r="A16" s="4" t="s">
        <v>41</v>
      </c>
      <c r="B16" s="2" t="s">
        <v>34</v>
      </c>
      <c r="C16" s="2" t="s">
        <v>9</v>
      </c>
      <c r="D16" s="2" t="s">
        <v>10</v>
      </c>
      <c r="E16" s="3">
        <v>2021</v>
      </c>
      <c r="F16" s="3">
        <v>2</v>
      </c>
      <c r="G16" s="2" t="s">
        <v>290</v>
      </c>
      <c r="H16" s="2" t="s">
        <v>11</v>
      </c>
    </row>
    <row r="17" spans="1:8" x14ac:dyDescent="0.3">
      <c r="A17" s="4" t="s">
        <v>42</v>
      </c>
      <c r="B17" s="2" t="s">
        <v>303</v>
      </c>
      <c r="C17" s="2" t="s">
        <v>43</v>
      </c>
      <c r="D17" s="2" t="s">
        <v>14</v>
      </c>
      <c r="E17" s="3">
        <v>2004</v>
      </c>
      <c r="F17" s="3">
        <v>2</v>
      </c>
      <c r="G17" s="2" t="s">
        <v>290</v>
      </c>
      <c r="H17" s="2" t="s">
        <v>30</v>
      </c>
    </row>
    <row r="18" spans="1:8" x14ac:dyDescent="0.3">
      <c r="A18" s="4" t="s">
        <v>44</v>
      </c>
      <c r="B18" s="2" t="s">
        <v>304</v>
      </c>
      <c r="C18" s="2" t="s">
        <v>13</v>
      </c>
      <c r="D18" s="2" t="s">
        <v>14</v>
      </c>
      <c r="E18" s="3">
        <v>1999</v>
      </c>
      <c r="F18" s="3">
        <v>0</v>
      </c>
      <c r="G18" s="2" t="s">
        <v>16</v>
      </c>
      <c r="H18" s="2" t="s">
        <v>11</v>
      </c>
    </row>
    <row r="19" spans="1:8" x14ac:dyDescent="0.3">
      <c r="A19" s="4" t="s">
        <v>45</v>
      </c>
      <c r="B19" s="2" t="s">
        <v>305</v>
      </c>
      <c r="C19" s="2" t="s">
        <v>297</v>
      </c>
      <c r="D19" s="2" t="s">
        <v>14</v>
      </c>
      <c r="E19" s="3">
        <v>1926</v>
      </c>
      <c r="F19" s="3">
        <v>3</v>
      </c>
      <c r="G19" s="2" t="s">
        <v>290</v>
      </c>
      <c r="H19" s="2" t="s">
        <v>11</v>
      </c>
    </row>
    <row r="20" spans="1:8" x14ac:dyDescent="0.3">
      <c r="A20" s="4" t="s">
        <v>46</v>
      </c>
      <c r="B20" s="2" t="s">
        <v>47</v>
      </c>
      <c r="C20" s="2" t="s">
        <v>48</v>
      </c>
      <c r="D20" s="2" t="s">
        <v>294</v>
      </c>
      <c r="E20" s="3">
        <v>1903</v>
      </c>
      <c r="F20" s="3">
        <v>0</v>
      </c>
      <c r="G20" s="2" t="s">
        <v>20</v>
      </c>
      <c r="H20" s="2" t="s">
        <v>30</v>
      </c>
    </row>
    <row r="21" spans="1:8" x14ac:dyDescent="0.3">
      <c r="A21" s="4" t="s">
        <v>49</v>
      </c>
      <c r="B21" s="2" t="s">
        <v>306</v>
      </c>
      <c r="C21" s="2" t="s">
        <v>48</v>
      </c>
      <c r="D21" s="2" t="s">
        <v>294</v>
      </c>
      <c r="E21" s="3">
        <v>1996</v>
      </c>
      <c r="F21" s="3">
        <v>3</v>
      </c>
      <c r="G21" s="2" t="s">
        <v>50</v>
      </c>
      <c r="H21" s="2" t="s">
        <v>30</v>
      </c>
    </row>
    <row r="22" spans="1:8" x14ac:dyDescent="0.3">
      <c r="A22" s="4" t="s">
        <v>51</v>
      </c>
      <c r="B22" s="2" t="s">
        <v>39</v>
      </c>
      <c r="C22" s="2" t="s">
        <v>40</v>
      </c>
      <c r="D22" s="2" t="s">
        <v>14</v>
      </c>
      <c r="E22" s="3">
        <v>1892</v>
      </c>
      <c r="F22" s="3">
        <v>2</v>
      </c>
      <c r="G22" s="2" t="s">
        <v>290</v>
      </c>
      <c r="H22" s="2" t="s">
        <v>30</v>
      </c>
    </row>
    <row r="23" spans="1:8" x14ac:dyDescent="0.3">
      <c r="A23" s="4" t="s">
        <v>52</v>
      </c>
      <c r="B23" s="2" t="s">
        <v>305</v>
      </c>
      <c r="C23" s="2" t="s">
        <v>297</v>
      </c>
      <c r="D23" s="2" t="s">
        <v>14</v>
      </c>
      <c r="E23" s="3">
        <v>1910</v>
      </c>
      <c r="F23" s="3">
        <v>2</v>
      </c>
      <c r="G23" s="2" t="s">
        <v>20</v>
      </c>
      <c r="H23" s="2" t="s">
        <v>11</v>
      </c>
    </row>
    <row r="24" spans="1:8" x14ac:dyDescent="0.3">
      <c r="A24" s="4" t="s">
        <v>53</v>
      </c>
      <c r="B24" s="2" t="s">
        <v>63</v>
      </c>
      <c r="C24" s="2" t="s">
        <v>18</v>
      </c>
      <c r="D24" s="2" t="s">
        <v>10</v>
      </c>
      <c r="E24" s="3">
        <v>1960</v>
      </c>
      <c r="F24" s="3">
        <v>2</v>
      </c>
      <c r="G24" s="2" t="s">
        <v>20</v>
      </c>
      <c r="H24" s="2" t="s">
        <v>11</v>
      </c>
    </row>
    <row r="25" spans="1:8" x14ac:dyDescent="0.3">
      <c r="A25" s="4" t="s">
        <v>54</v>
      </c>
      <c r="B25" s="2" t="s">
        <v>47</v>
      </c>
      <c r="C25" s="2" t="s">
        <v>48</v>
      </c>
      <c r="D25" s="2" t="s">
        <v>294</v>
      </c>
      <c r="E25" s="3">
        <v>1898</v>
      </c>
      <c r="F25" s="3">
        <v>2</v>
      </c>
      <c r="G25" s="2" t="s">
        <v>20</v>
      </c>
      <c r="H25" s="2" t="s">
        <v>30</v>
      </c>
    </row>
    <row r="26" spans="1:8" x14ac:dyDescent="0.3">
      <c r="A26" s="4" t="s">
        <v>55</v>
      </c>
      <c r="B26" s="2" t="s">
        <v>307</v>
      </c>
      <c r="C26" s="2" t="s">
        <v>56</v>
      </c>
      <c r="D26" s="2" t="s">
        <v>14</v>
      </c>
      <c r="E26" s="3">
        <v>2015</v>
      </c>
      <c r="F26" s="3">
        <v>1</v>
      </c>
      <c r="G26" s="2" t="s">
        <v>290</v>
      </c>
      <c r="H26" s="2" t="s">
        <v>11</v>
      </c>
    </row>
    <row r="27" spans="1:8" x14ac:dyDescent="0.3">
      <c r="A27" s="4" t="s">
        <v>57</v>
      </c>
      <c r="B27" s="2" t="s">
        <v>39</v>
      </c>
      <c r="C27" s="2" t="s">
        <v>40</v>
      </c>
      <c r="D27" s="2" t="s">
        <v>14</v>
      </c>
      <c r="E27" s="3">
        <v>1932</v>
      </c>
      <c r="F27" s="3">
        <v>0</v>
      </c>
      <c r="G27" s="2" t="s">
        <v>20</v>
      </c>
      <c r="H27" s="2" t="s">
        <v>11</v>
      </c>
    </row>
    <row r="28" spans="1:8" x14ac:dyDescent="0.3">
      <c r="A28" s="4" t="s">
        <v>58</v>
      </c>
      <c r="B28" s="2" t="s">
        <v>305</v>
      </c>
      <c r="C28" s="2" t="s">
        <v>297</v>
      </c>
      <c r="D28" s="2" t="s">
        <v>14</v>
      </c>
      <c r="E28" s="3">
        <v>1947</v>
      </c>
      <c r="F28" s="3">
        <v>2</v>
      </c>
      <c r="G28" s="2" t="s">
        <v>290</v>
      </c>
      <c r="H28" s="2" t="s">
        <v>30</v>
      </c>
    </row>
    <row r="29" spans="1:8" x14ac:dyDescent="0.3">
      <c r="A29" s="4" t="s">
        <v>59</v>
      </c>
      <c r="B29" s="2" t="s">
        <v>308</v>
      </c>
      <c r="C29" s="2" t="s">
        <v>60</v>
      </c>
      <c r="D29" s="2" t="s">
        <v>14</v>
      </c>
      <c r="E29" s="3">
        <v>1974</v>
      </c>
      <c r="F29" s="3">
        <v>2</v>
      </c>
      <c r="G29" s="2" t="s">
        <v>290</v>
      </c>
      <c r="H29" s="2" t="s">
        <v>30</v>
      </c>
    </row>
    <row r="30" spans="1:8" x14ac:dyDescent="0.3">
      <c r="A30" s="4" t="s">
        <v>61</v>
      </c>
      <c r="B30" s="2" t="s">
        <v>305</v>
      </c>
      <c r="C30" s="2" t="s">
        <v>297</v>
      </c>
      <c r="D30" s="2" t="s">
        <v>14</v>
      </c>
      <c r="E30" s="3">
        <v>1970</v>
      </c>
      <c r="F30" s="3">
        <v>0</v>
      </c>
      <c r="G30" s="2" t="s">
        <v>290</v>
      </c>
      <c r="H30" s="2" t="s">
        <v>30</v>
      </c>
    </row>
    <row r="31" spans="1:8" x14ac:dyDescent="0.3">
      <c r="A31" s="4" t="s">
        <v>62</v>
      </c>
      <c r="B31" s="2" t="s">
        <v>63</v>
      </c>
      <c r="C31" s="2" t="s">
        <v>18</v>
      </c>
      <c r="D31" s="2" t="s">
        <v>10</v>
      </c>
      <c r="E31" s="3">
        <v>1985</v>
      </c>
      <c r="F31" s="3">
        <v>1</v>
      </c>
      <c r="G31" s="2" t="s">
        <v>16</v>
      </c>
      <c r="H31" s="2" t="s">
        <v>11</v>
      </c>
    </row>
    <row r="32" spans="1:8" x14ac:dyDescent="0.3">
      <c r="A32" s="4" t="s">
        <v>64</v>
      </c>
      <c r="B32" s="2" t="s">
        <v>309</v>
      </c>
      <c r="C32" s="2" t="s">
        <v>65</v>
      </c>
      <c r="D32" s="2" t="s">
        <v>295</v>
      </c>
      <c r="E32" s="3">
        <v>1889</v>
      </c>
      <c r="F32" s="3">
        <v>0</v>
      </c>
      <c r="G32" s="2" t="s">
        <v>290</v>
      </c>
      <c r="H32" s="2" t="s">
        <v>30</v>
      </c>
    </row>
    <row r="33" spans="1:8" x14ac:dyDescent="0.3">
      <c r="A33" s="4" t="s">
        <v>66</v>
      </c>
      <c r="B33" s="2" t="s">
        <v>307</v>
      </c>
      <c r="C33" s="2" t="s">
        <v>56</v>
      </c>
      <c r="D33" s="2" t="s">
        <v>14</v>
      </c>
      <c r="E33" s="3">
        <v>1897</v>
      </c>
      <c r="F33" s="3">
        <v>0</v>
      </c>
      <c r="G33" s="2" t="s">
        <v>20</v>
      </c>
      <c r="H33" s="2" t="s">
        <v>30</v>
      </c>
    </row>
    <row r="34" spans="1:8" x14ac:dyDescent="0.3">
      <c r="A34" s="4" t="s">
        <v>67</v>
      </c>
      <c r="B34" s="2" t="s">
        <v>34</v>
      </c>
      <c r="C34" s="2" t="s">
        <v>9</v>
      </c>
      <c r="D34" s="2" t="s">
        <v>10</v>
      </c>
      <c r="E34" s="3">
        <v>1947</v>
      </c>
      <c r="F34" s="3">
        <v>1</v>
      </c>
      <c r="G34" s="2" t="s">
        <v>16</v>
      </c>
      <c r="H34" s="2" t="s">
        <v>11</v>
      </c>
    </row>
    <row r="35" spans="1:8" x14ac:dyDescent="0.3">
      <c r="A35" s="4" t="s">
        <v>68</v>
      </c>
      <c r="B35" s="2" t="s">
        <v>29</v>
      </c>
      <c r="C35" s="2" t="s">
        <v>26</v>
      </c>
      <c r="D35" s="2" t="s">
        <v>293</v>
      </c>
      <c r="E35" s="3">
        <v>1991</v>
      </c>
      <c r="F35" s="3">
        <v>1</v>
      </c>
      <c r="G35" s="2" t="s">
        <v>290</v>
      </c>
      <c r="H35" s="2" t="s">
        <v>30</v>
      </c>
    </row>
    <row r="36" spans="1:8" x14ac:dyDescent="0.3">
      <c r="A36" s="4" t="s">
        <v>69</v>
      </c>
      <c r="B36" s="2" t="s">
        <v>307</v>
      </c>
      <c r="C36" s="2" t="s">
        <v>56</v>
      </c>
      <c r="D36" s="2" t="s">
        <v>14</v>
      </c>
      <c r="E36" s="3">
        <v>1956</v>
      </c>
      <c r="F36" s="3">
        <v>2</v>
      </c>
      <c r="G36" s="2" t="s">
        <v>20</v>
      </c>
      <c r="H36" s="2" t="s">
        <v>11</v>
      </c>
    </row>
    <row r="37" spans="1:8" x14ac:dyDescent="0.3">
      <c r="A37" s="4" t="s">
        <v>70</v>
      </c>
      <c r="B37" s="2" t="s">
        <v>310</v>
      </c>
      <c r="C37" s="2" t="s">
        <v>71</v>
      </c>
      <c r="D37" s="2" t="s">
        <v>14</v>
      </c>
      <c r="E37" s="3">
        <v>1924</v>
      </c>
      <c r="F37" s="3">
        <v>2</v>
      </c>
      <c r="G37" s="2" t="s">
        <v>290</v>
      </c>
      <c r="H37" s="2" t="s">
        <v>11</v>
      </c>
    </row>
    <row r="38" spans="1:8" x14ac:dyDescent="0.3">
      <c r="A38" s="4" t="s">
        <v>72</v>
      </c>
      <c r="B38" s="2" t="s">
        <v>73</v>
      </c>
      <c r="C38" s="2" t="s">
        <v>74</v>
      </c>
      <c r="D38" s="2" t="s">
        <v>14</v>
      </c>
      <c r="E38" s="3">
        <v>1934</v>
      </c>
      <c r="F38" s="3">
        <v>2</v>
      </c>
      <c r="G38" s="2" t="s">
        <v>290</v>
      </c>
      <c r="H38" s="2" t="s">
        <v>30</v>
      </c>
    </row>
    <row r="39" spans="1:8" x14ac:dyDescent="0.3">
      <c r="A39" s="4" t="s">
        <v>75</v>
      </c>
      <c r="B39" s="2" t="s">
        <v>34</v>
      </c>
      <c r="C39" s="2" t="s">
        <v>9</v>
      </c>
      <c r="D39" s="2" t="s">
        <v>10</v>
      </c>
      <c r="E39" s="3">
        <v>1940</v>
      </c>
      <c r="F39" s="3">
        <v>0</v>
      </c>
      <c r="G39" s="2" t="s">
        <v>20</v>
      </c>
      <c r="H39" s="2" t="s">
        <v>30</v>
      </c>
    </row>
    <row r="40" spans="1:8" x14ac:dyDescent="0.3">
      <c r="A40" s="4" t="s">
        <v>76</v>
      </c>
      <c r="B40" s="2" t="s">
        <v>39</v>
      </c>
      <c r="C40" s="2" t="s">
        <v>40</v>
      </c>
      <c r="D40" s="2" t="s">
        <v>14</v>
      </c>
      <c r="E40" s="3">
        <v>1986</v>
      </c>
      <c r="F40" s="3">
        <v>0</v>
      </c>
      <c r="G40" s="2" t="s">
        <v>290</v>
      </c>
      <c r="H40" s="2" t="s">
        <v>30</v>
      </c>
    </row>
    <row r="41" spans="1:8" x14ac:dyDescent="0.3">
      <c r="A41" s="4" t="s">
        <v>77</v>
      </c>
      <c r="B41" s="2" t="s">
        <v>306</v>
      </c>
      <c r="C41" s="2" t="s">
        <v>48</v>
      </c>
      <c r="D41" s="2" t="s">
        <v>294</v>
      </c>
      <c r="E41" s="3">
        <v>1936</v>
      </c>
      <c r="F41" s="3">
        <v>2</v>
      </c>
      <c r="G41" s="2" t="s">
        <v>290</v>
      </c>
      <c r="H41" s="2" t="s">
        <v>30</v>
      </c>
    </row>
    <row r="42" spans="1:8" x14ac:dyDescent="0.3">
      <c r="A42" s="4" t="s">
        <v>78</v>
      </c>
      <c r="B42" s="2" t="s">
        <v>302</v>
      </c>
      <c r="C42" s="2" t="s">
        <v>37</v>
      </c>
      <c r="D42" s="2" t="s">
        <v>14</v>
      </c>
      <c r="E42" s="3">
        <v>2009</v>
      </c>
      <c r="F42" s="3">
        <v>1</v>
      </c>
      <c r="G42" s="2" t="s">
        <v>290</v>
      </c>
      <c r="H42" s="2" t="s">
        <v>30</v>
      </c>
    </row>
    <row r="43" spans="1:8" x14ac:dyDescent="0.3">
      <c r="A43" s="4" t="s">
        <v>79</v>
      </c>
      <c r="B43" s="2" t="s">
        <v>29</v>
      </c>
      <c r="C43" s="2" t="s">
        <v>26</v>
      </c>
      <c r="D43" s="2" t="s">
        <v>293</v>
      </c>
      <c r="E43" s="3">
        <v>1941</v>
      </c>
      <c r="F43" s="3">
        <v>3</v>
      </c>
      <c r="G43" s="2" t="s">
        <v>290</v>
      </c>
      <c r="H43" s="2" t="s">
        <v>11</v>
      </c>
    </row>
    <row r="44" spans="1:8" x14ac:dyDescent="0.3">
      <c r="A44" s="4" t="s">
        <v>80</v>
      </c>
      <c r="B44" s="2" t="s">
        <v>304</v>
      </c>
      <c r="C44" s="2" t="s">
        <v>13</v>
      </c>
      <c r="D44" s="2" t="s">
        <v>14</v>
      </c>
      <c r="E44" s="3">
        <v>1934</v>
      </c>
      <c r="F44" s="3">
        <v>1</v>
      </c>
      <c r="G44" s="2" t="s">
        <v>50</v>
      </c>
      <c r="H44" s="2" t="s">
        <v>30</v>
      </c>
    </row>
    <row r="45" spans="1:8" x14ac:dyDescent="0.3">
      <c r="A45" s="4" t="s">
        <v>81</v>
      </c>
      <c r="B45" s="2" t="s">
        <v>134</v>
      </c>
      <c r="C45" s="2" t="s">
        <v>82</v>
      </c>
      <c r="D45" s="2" t="s">
        <v>294</v>
      </c>
      <c r="E45" s="3">
        <v>1977</v>
      </c>
      <c r="F45" s="3">
        <v>1</v>
      </c>
      <c r="G45" s="2" t="s">
        <v>16</v>
      </c>
      <c r="H45" s="2" t="s">
        <v>11</v>
      </c>
    </row>
    <row r="46" spans="1:8" x14ac:dyDescent="0.3">
      <c r="A46" s="4" t="s">
        <v>83</v>
      </c>
      <c r="B46" s="2" t="s">
        <v>300</v>
      </c>
      <c r="C46" s="2" t="s">
        <v>291</v>
      </c>
      <c r="D46" s="2" t="s">
        <v>292</v>
      </c>
      <c r="E46" s="3">
        <v>1936</v>
      </c>
      <c r="F46" s="3">
        <v>1</v>
      </c>
      <c r="G46" s="2" t="s">
        <v>20</v>
      </c>
      <c r="H46" s="2" t="s">
        <v>30</v>
      </c>
    </row>
    <row r="47" spans="1:8" x14ac:dyDescent="0.3">
      <c r="A47" s="4" t="s">
        <v>84</v>
      </c>
      <c r="B47" s="2" t="s">
        <v>311</v>
      </c>
      <c r="C47" s="2" t="s">
        <v>13</v>
      </c>
      <c r="D47" s="2" t="s">
        <v>14</v>
      </c>
      <c r="E47" s="3">
        <v>2016</v>
      </c>
      <c r="F47" s="3">
        <v>1</v>
      </c>
      <c r="G47" s="2" t="s">
        <v>50</v>
      </c>
      <c r="H47" s="2" t="s">
        <v>11</v>
      </c>
    </row>
    <row r="48" spans="1:8" x14ac:dyDescent="0.3">
      <c r="A48" s="4" t="s">
        <v>85</v>
      </c>
      <c r="B48" s="2" t="s">
        <v>299</v>
      </c>
      <c r="C48" s="2" t="s">
        <v>13</v>
      </c>
      <c r="D48" s="2" t="s">
        <v>14</v>
      </c>
      <c r="E48" s="3">
        <v>1963</v>
      </c>
      <c r="F48" s="3">
        <v>3</v>
      </c>
      <c r="G48" s="2" t="s">
        <v>50</v>
      </c>
      <c r="H48" s="2" t="s">
        <v>30</v>
      </c>
    </row>
    <row r="49" spans="1:8" x14ac:dyDescent="0.3">
      <c r="A49" s="4" t="s">
        <v>86</v>
      </c>
      <c r="B49" s="2" t="s">
        <v>25</v>
      </c>
      <c r="C49" s="2" t="s">
        <v>26</v>
      </c>
      <c r="D49" s="2" t="s">
        <v>293</v>
      </c>
      <c r="E49" s="3">
        <v>1890</v>
      </c>
      <c r="F49" s="3">
        <v>0</v>
      </c>
      <c r="G49" s="2" t="s">
        <v>16</v>
      </c>
      <c r="H49" s="2" t="s">
        <v>30</v>
      </c>
    </row>
    <row r="50" spans="1:8" x14ac:dyDescent="0.3">
      <c r="A50" s="4" t="s">
        <v>87</v>
      </c>
      <c r="B50" s="2" t="s">
        <v>312</v>
      </c>
      <c r="C50" s="2" t="s">
        <v>88</v>
      </c>
      <c r="D50" s="2" t="s">
        <v>23</v>
      </c>
      <c r="E50" s="3">
        <v>1935</v>
      </c>
      <c r="F50" s="3">
        <v>1</v>
      </c>
      <c r="G50" s="2" t="s">
        <v>20</v>
      </c>
      <c r="H50" s="2" t="s">
        <v>30</v>
      </c>
    </row>
    <row r="51" spans="1:8" x14ac:dyDescent="0.3">
      <c r="A51" s="4" t="s">
        <v>89</v>
      </c>
      <c r="B51" s="2" t="s">
        <v>63</v>
      </c>
      <c r="C51" s="2" t="s">
        <v>18</v>
      </c>
      <c r="D51" s="2" t="s">
        <v>10</v>
      </c>
      <c r="E51" s="3">
        <v>1886</v>
      </c>
      <c r="F51" s="3">
        <v>3</v>
      </c>
      <c r="G51" s="2" t="s">
        <v>290</v>
      </c>
      <c r="H51" s="2" t="s">
        <v>30</v>
      </c>
    </row>
    <row r="52" spans="1:8" x14ac:dyDescent="0.3">
      <c r="A52" s="4" t="s">
        <v>90</v>
      </c>
      <c r="B52" s="2" t="s">
        <v>310</v>
      </c>
      <c r="C52" s="2" t="s">
        <v>71</v>
      </c>
      <c r="D52" s="2" t="s">
        <v>14</v>
      </c>
      <c r="E52" s="3">
        <v>1957</v>
      </c>
      <c r="F52" s="3">
        <v>0</v>
      </c>
      <c r="G52" s="2" t="s">
        <v>290</v>
      </c>
      <c r="H52" s="2" t="s">
        <v>11</v>
      </c>
    </row>
    <row r="53" spans="1:8" x14ac:dyDescent="0.3">
      <c r="A53" s="4" t="s">
        <v>91</v>
      </c>
      <c r="B53" s="2" t="s">
        <v>307</v>
      </c>
      <c r="C53" s="2" t="s">
        <v>56</v>
      </c>
      <c r="D53" s="2" t="s">
        <v>14</v>
      </c>
      <c r="E53" s="3">
        <v>2005</v>
      </c>
      <c r="F53" s="3">
        <v>1</v>
      </c>
      <c r="G53" s="2" t="s">
        <v>50</v>
      </c>
      <c r="H53" s="2" t="s">
        <v>30</v>
      </c>
    </row>
    <row r="54" spans="1:8" x14ac:dyDescent="0.3">
      <c r="A54" s="4" t="s">
        <v>92</v>
      </c>
      <c r="B54" s="2" t="s">
        <v>303</v>
      </c>
      <c r="C54" s="2" t="s">
        <v>43</v>
      </c>
      <c r="D54" s="2" t="s">
        <v>14</v>
      </c>
      <c r="E54" s="3">
        <v>2003</v>
      </c>
      <c r="F54" s="3">
        <v>1</v>
      </c>
      <c r="G54" s="2" t="s">
        <v>50</v>
      </c>
      <c r="H54" s="2" t="s">
        <v>11</v>
      </c>
    </row>
    <row r="55" spans="1:8" x14ac:dyDescent="0.3">
      <c r="A55" s="4" t="s">
        <v>93</v>
      </c>
      <c r="B55" s="2" t="s">
        <v>313</v>
      </c>
      <c r="C55" s="2" t="s">
        <v>94</v>
      </c>
      <c r="D55" s="2" t="s">
        <v>14</v>
      </c>
      <c r="E55" s="3">
        <v>1977</v>
      </c>
      <c r="F55" s="3">
        <v>3</v>
      </c>
      <c r="G55" s="2" t="s">
        <v>16</v>
      </c>
      <c r="H55" s="2" t="s">
        <v>11</v>
      </c>
    </row>
    <row r="56" spans="1:8" x14ac:dyDescent="0.3">
      <c r="A56" s="4" t="s">
        <v>95</v>
      </c>
      <c r="B56" s="2" t="s">
        <v>301</v>
      </c>
      <c r="C56" s="2" t="s">
        <v>22</v>
      </c>
      <c r="D56" s="2" t="s">
        <v>23</v>
      </c>
      <c r="E56" s="3">
        <v>2022</v>
      </c>
      <c r="F56" s="3">
        <v>1</v>
      </c>
      <c r="G56" s="2" t="s">
        <v>290</v>
      </c>
      <c r="H56" s="2" t="s">
        <v>11</v>
      </c>
    </row>
    <row r="57" spans="1:8" x14ac:dyDescent="0.3">
      <c r="A57" s="4" t="s">
        <v>96</v>
      </c>
      <c r="B57" s="2" t="s">
        <v>304</v>
      </c>
      <c r="C57" s="2" t="s">
        <v>13</v>
      </c>
      <c r="D57" s="2" t="s">
        <v>14</v>
      </c>
      <c r="E57" s="3">
        <v>1884</v>
      </c>
      <c r="F57" s="3">
        <v>1</v>
      </c>
      <c r="G57" s="2" t="s">
        <v>20</v>
      </c>
      <c r="H57" s="2" t="s">
        <v>30</v>
      </c>
    </row>
    <row r="58" spans="1:8" x14ac:dyDescent="0.3">
      <c r="A58" s="4" t="s">
        <v>97</v>
      </c>
      <c r="B58" s="2" t="s">
        <v>73</v>
      </c>
      <c r="C58" s="2" t="s">
        <v>74</v>
      </c>
      <c r="D58" s="2" t="s">
        <v>14</v>
      </c>
      <c r="E58" s="3">
        <v>1970</v>
      </c>
      <c r="F58" s="3">
        <v>0</v>
      </c>
      <c r="G58" s="2" t="s">
        <v>290</v>
      </c>
      <c r="H58" s="2" t="s">
        <v>11</v>
      </c>
    </row>
    <row r="59" spans="1:8" x14ac:dyDescent="0.3">
      <c r="A59" s="4" t="s">
        <v>98</v>
      </c>
      <c r="B59" s="2" t="s">
        <v>304</v>
      </c>
      <c r="C59" s="2" t="s">
        <v>13</v>
      </c>
      <c r="D59" s="2" t="s">
        <v>14</v>
      </c>
      <c r="E59" s="3">
        <v>1929</v>
      </c>
      <c r="F59" s="3">
        <v>2</v>
      </c>
      <c r="G59" s="2" t="s">
        <v>290</v>
      </c>
      <c r="H59" s="2" t="s">
        <v>11</v>
      </c>
    </row>
    <row r="60" spans="1:8" x14ac:dyDescent="0.3">
      <c r="A60" s="4" t="s">
        <v>99</v>
      </c>
      <c r="B60" s="2" t="s">
        <v>302</v>
      </c>
      <c r="C60" s="2" t="s">
        <v>37</v>
      </c>
      <c r="D60" s="2" t="s">
        <v>14</v>
      </c>
      <c r="E60" s="3">
        <v>1891</v>
      </c>
      <c r="F60" s="3">
        <v>1</v>
      </c>
      <c r="G60" s="2" t="s">
        <v>290</v>
      </c>
      <c r="H60" s="2" t="s">
        <v>30</v>
      </c>
    </row>
    <row r="61" spans="1:8" x14ac:dyDescent="0.3">
      <c r="A61" s="4" t="s">
        <v>100</v>
      </c>
      <c r="B61" s="2" t="s">
        <v>32</v>
      </c>
      <c r="C61" s="2" t="s">
        <v>9</v>
      </c>
      <c r="D61" s="2" t="s">
        <v>10</v>
      </c>
      <c r="E61" s="3">
        <v>1893</v>
      </c>
      <c r="F61" s="3">
        <v>3</v>
      </c>
      <c r="G61" s="2" t="s">
        <v>290</v>
      </c>
      <c r="H61" s="2" t="s">
        <v>11</v>
      </c>
    </row>
    <row r="62" spans="1:8" x14ac:dyDescent="0.3">
      <c r="A62" s="4" t="s">
        <v>101</v>
      </c>
      <c r="B62" s="2" t="s">
        <v>310</v>
      </c>
      <c r="C62" s="2" t="s">
        <v>71</v>
      </c>
      <c r="D62" s="2" t="s">
        <v>14</v>
      </c>
      <c r="E62" s="3">
        <v>1943</v>
      </c>
      <c r="F62" s="3">
        <v>1</v>
      </c>
      <c r="G62" s="2" t="s">
        <v>290</v>
      </c>
      <c r="H62" s="2" t="s">
        <v>30</v>
      </c>
    </row>
    <row r="63" spans="1:8" x14ac:dyDescent="0.3">
      <c r="A63" s="4" t="s">
        <v>102</v>
      </c>
      <c r="B63" s="2" t="s">
        <v>300</v>
      </c>
      <c r="C63" s="2" t="s">
        <v>291</v>
      </c>
      <c r="D63" s="2" t="s">
        <v>292</v>
      </c>
      <c r="E63" s="3">
        <v>1895</v>
      </c>
      <c r="F63" s="3">
        <v>2</v>
      </c>
      <c r="G63" s="2" t="s">
        <v>16</v>
      </c>
      <c r="H63" s="2" t="s">
        <v>30</v>
      </c>
    </row>
    <row r="64" spans="1:8" x14ac:dyDescent="0.3">
      <c r="A64" s="4" t="s">
        <v>103</v>
      </c>
      <c r="B64" s="2" t="s">
        <v>32</v>
      </c>
      <c r="C64" s="2" t="s">
        <v>9</v>
      </c>
      <c r="D64" s="2" t="s">
        <v>10</v>
      </c>
      <c r="E64" s="3">
        <v>1995</v>
      </c>
      <c r="F64" s="3">
        <v>0</v>
      </c>
      <c r="G64" s="2" t="s">
        <v>290</v>
      </c>
      <c r="H64" s="2" t="s">
        <v>11</v>
      </c>
    </row>
    <row r="65" spans="1:8" x14ac:dyDescent="0.3">
      <c r="A65" s="4" t="s">
        <v>104</v>
      </c>
      <c r="B65" s="2" t="s">
        <v>304</v>
      </c>
      <c r="C65" s="2" t="s">
        <v>13</v>
      </c>
      <c r="D65" s="2" t="s">
        <v>14</v>
      </c>
      <c r="E65" s="3">
        <v>1930</v>
      </c>
      <c r="F65" s="3">
        <v>1</v>
      </c>
      <c r="G65" s="2" t="s">
        <v>16</v>
      </c>
      <c r="H65" s="2" t="s">
        <v>30</v>
      </c>
    </row>
    <row r="66" spans="1:8" x14ac:dyDescent="0.3">
      <c r="A66" s="4" t="s">
        <v>105</v>
      </c>
      <c r="B66" s="2" t="s">
        <v>25</v>
      </c>
      <c r="C66" s="2" t="s">
        <v>26</v>
      </c>
      <c r="D66" s="2" t="s">
        <v>293</v>
      </c>
      <c r="E66" s="3">
        <v>1953</v>
      </c>
      <c r="F66" s="3">
        <v>1</v>
      </c>
      <c r="G66" s="2" t="s">
        <v>16</v>
      </c>
      <c r="H66" s="2" t="s">
        <v>11</v>
      </c>
    </row>
    <row r="67" spans="1:8" x14ac:dyDescent="0.3">
      <c r="A67" s="4" t="s">
        <v>106</v>
      </c>
      <c r="B67" s="2" t="s">
        <v>303</v>
      </c>
      <c r="C67" s="2" t="s">
        <v>43</v>
      </c>
      <c r="D67" s="2" t="s">
        <v>14</v>
      </c>
      <c r="E67" s="3">
        <v>1962</v>
      </c>
      <c r="F67" s="3">
        <v>2</v>
      </c>
      <c r="G67" s="2" t="s">
        <v>289</v>
      </c>
      <c r="H67" s="2" t="s">
        <v>30</v>
      </c>
    </row>
    <row r="68" spans="1:8" x14ac:dyDescent="0.3">
      <c r="A68" s="4" t="s">
        <v>107</v>
      </c>
      <c r="B68" s="2" t="s">
        <v>34</v>
      </c>
      <c r="C68" s="2" t="s">
        <v>9</v>
      </c>
      <c r="D68" s="2" t="s">
        <v>10</v>
      </c>
      <c r="E68" s="3">
        <v>1924</v>
      </c>
      <c r="F68" s="3">
        <v>1</v>
      </c>
      <c r="G68" s="2" t="s">
        <v>290</v>
      </c>
      <c r="H68" s="2" t="s">
        <v>11</v>
      </c>
    </row>
    <row r="69" spans="1:8" x14ac:dyDescent="0.3">
      <c r="A69" s="4" t="s">
        <v>108</v>
      </c>
      <c r="B69" s="2" t="s">
        <v>301</v>
      </c>
      <c r="C69" s="2" t="s">
        <v>22</v>
      </c>
      <c r="D69" s="2" t="s">
        <v>23</v>
      </c>
      <c r="E69" s="3">
        <v>1906</v>
      </c>
      <c r="F69" s="3">
        <v>0</v>
      </c>
      <c r="G69" s="2" t="s">
        <v>16</v>
      </c>
      <c r="H69" s="2" t="s">
        <v>30</v>
      </c>
    </row>
    <row r="70" spans="1:8" x14ac:dyDescent="0.3">
      <c r="A70" s="4" t="s">
        <v>109</v>
      </c>
      <c r="B70" s="2" t="s">
        <v>73</v>
      </c>
      <c r="C70" s="2" t="s">
        <v>74</v>
      </c>
      <c r="D70" s="2" t="s">
        <v>14</v>
      </c>
      <c r="E70" s="3">
        <v>1983</v>
      </c>
      <c r="F70" s="3">
        <v>0</v>
      </c>
      <c r="G70" s="2" t="s">
        <v>290</v>
      </c>
      <c r="H70" s="2" t="s">
        <v>11</v>
      </c>
    </row>
    <row r="71" spans="1:8" x14ac:dyDescent="0.3">
      <c r="A71" s="4" t="s">
        <v>110</v>
      </c>
      <c r="B71" s="2" t="s">
        <v>34</v>
      </c>
      <c r="C71" s="2" t="s">
        <v>9</v>
      </c>
      <c r="D71" s="2" t="s">
        <v>10</v>
      </c>
      <c r="E71" s="3">
        <v>1993</v>
      </c>
      <c r="F71" s="3">
        <v>0</v>
      </c>
      <c r="G71" s="2" t="s">
        <v>16</v>
      </c>
      <c r="H71" s="2" t="s">
        <v>30</v>
      </c>
    </row>
    <row r="72" spans="1:8" x14ac:dyDescent="0.3">
      <c r="A72" s="4" t="s">
        <v>111</v>
      </c>
      <c r="B72" s="2" t="s">
        <v>73</v>
      </c>
      <c r="C72" s="2" t="s">
        <v>74</v>
      </c>
      <c r="D72" s="2" t="s">
        <v>14</v>
      </c>
      <c r="E72" s="3">
        <v>1920</v>
      </c>
      <c r="F72" s="3">
        <v>3</v>
      </c>
      <c r="G72" s="2" t="s">
        <v>289</v>
      </c>
      <c r="H72" s="2" t="s">
        <v>30</v>
      </c>
    </row>
    <row r="73" spans="1:8" x14ac:dyDescent="0.3">
      <c r="A73" s="4" t="s">
        <v>112</v>
      </c>
      <c r="B73" s="2" t="s">
        <v>299</v>
      </c>
      <c r="C73" s="2" t="s">
        <v>13</v>
      </c>
      <c r="D73" s="2" t="s">
        <v>14</v>
      </c>
      <c r="E73" s="3">
        <v>1954</v>
      </c>
      <c r="F73" s="3">
        <v>2</v>
      </c>
      <c r="G73" s="2" t="s">
        <v>20</v>
      </c>
      <c r="H73" s="2" t="s">
        <v>30</v>
      </c>
    </row>
    <row r="74" spans="1:8" x14ac:dyDescent="0.3">
      <c r="A74" s="4" t="s">
        <v>113</v>
      </c>
      <c r="B74" s="2" t="s">
        <v>306</v>
      </c>
      <c r="C74" s="2" t="s">
        <v>48</v>
      </c>
      <c r="D74" s="2" t="s">
        <v>294</v>
      </c>
      <c r="E74" s="3">
        <v>1897</v>
      </c>
      <c r="F74" s="3">
        <v>3</v>
      </c>
      <c r="G74" s="2" t="s">
        <v>50</v>
      </c>
      <c r="H74" s="2" t="s">
        <v>11</v>
      </c>
    </row>
    <row r="75" spans="1:8" x14ac:dyDescent="0.3">
      <c r="A75" s="4" t="s">
        <v>114</v>
      </c>
      <c r="B75" s="2" t="s">
        <v>312</v>
      </c>
      <c r="C75" s="2" t="s">
        <v>88</v>
      </c>
      <c r="D75" s="2" t="s">
        <v>23</v>
      </c>
      <c r="E75" s="3">
        <v>1918</v>
      </c>
      <c r="F75" s="3">
        <v>1</v>
      </c>
      <c r="G75" s="2" t="s">
        <v>290</v>
      </c>
      <c r="H75" s="2" t="s">
        <v>11</v>
      </c>
    </row>
    <row r="76" spans="1:8" x14ac:dyDescent="0.3">
      <c r="A76" s="4" t="s">
        <v>115</v>
      </c>
      <c r="B76" s="2" t="s">
        <v>308</v>
      </c>
      <c r="C76" s="2" t="s">
        <v>60</v>
      </c>
      <c r="D76" s="2" t="s">
        <v>14</v>
      </c>
      <c r="E76" s="3">
        <v>1939</v>
      </c>
      <c r="F76" s="3">
        <v>0</v>
      </c>
      <c r="G76" s="2" t="s">
        <v>289</v>
      </c>
      <c r="H76" s="2" t="s">
        <v>30</v>
      </c>
    </row>
    <row r="77" spans="1:8" x14ac:dyDescent="0.3">
      <c r="A77" s="4" t="s">
        <v>116</v>
      </c>
      <c r="B77" s="2" t="s">
        <v>303</v>
      </c>
      <c r="C77" s="2" t="s">
        <v>43</v>
      </c>
      <c r="D77" s="2" t="s">
        <v>14</v>
      </c>
      <c r="E77" s="3">
        <v>1964</v>
      </c>
      <c r="F77" s="3">
        <v>0</v>
      </c>
      <c r="G77" s="2" t="s">
        <v>16</v>
      </c>
      <c r="H77" s="2" t="s">
        <v>30</v>
      </c>
    </row>
    <row r="78" spans="1:8" x14ac:dyDescent="0.3">
      <c r="A78" s="4" t="s">
        <v>117</v>
      </c>
      <c r="B78" s="2" t="s">
        <v>302</v>
      </c>
      <c r="C78" s="2" t="s">
        <v>37</v>
      </c>
      <c r="D78" s="2" t="s">
        <v>14</v>
      </c>
      <c r="E78" s="3">
        <v>1947</v>
      </c>
      <c r="F78" s="3">
        <v>3</v>
      </c>
      <c r="G78" s="2" t="s">
        <v>290</v>
      </c>
      <c r="H78" s="2" t="s">
        <v>11</v>
      </c>
    </row>
    <row r="79" spans="1:8" x14ac:dyDescent="0.3">
      <c r="A79" s="4" t="s">
        <v>118</v>
      </c>
      <c r="B79" s="2" t="s">
        <v>313</v>
      </c>
      <c r="C79" s="2" t="s">
        <v>94</v>
      </c>
      <c r="D79" s="2" t="s">
        <v>14</v>
      </c>
      <c r="E79" s="3">
        <v>2018</v>
      </c>
      <c r="F79" s="3">
        <v>1</v>
      </c>
      <c r="G79" s="2" t="s">
        <v>290</v>
      </c>
      <c r="H79" s="2" t="s">
        <v>11</v>
      </c>
    </row>
    <row r="80" spans="1:8" x14ac:dyDescent="0.3">
      <c r="A80" s="4" t="s">
        <v>119</v>
      </c>
      <c r="B80" s="2" t="s">
        <v>304</v>
      </c>
      <c r="C80" s="2" t="s">
        <v>13</v>
      </c>
      <c r="D80" s="2" t="s">
        <v>14</v>
      </c>
      <c r="E80" s="3">
        <v>1956</v>
      </c>
      <c r="F80" s="3">
        <v>1</v>
      </c>
      <c r="G80" s="2" t="s">
        <v>16</v>
      </c>
      <c r="H80" s="2" t="s">
        <v>11</v>
      </c>
    </row>
    <row r="81" spans="1:8" x14ac:dyDescent="0.3">
      <c r="A81" s="4" t="s">
        <v>120</v>
      </c>
      <c r="B81" s="2" t="s">
        <v>73</v>
      </c>
      <c r="C81" s="2" t="s">
        <v>74</v>
      </c>
      <c r="D81" s="2" t="s">
        <v>14</v>
      </c>
      <c r="E81" s="3">
        <v>1924</v>
      </c>
      <c r="F81" s="3">
        <v>1</v>
      </c>
      <c r="G81" s="2" t="s">
        <v>290</v>
      </c>
      <c r="H81" s="2" t="s">
        <v>30</v>
      </c>
    </row>
    <row r="82" spans="1:8" x14ac:dyDescent="0.3">
      <c r="A82" s="4" t="s">
        <v>121</v>
      </c>
      <c r="B82" s="2" t="s">
        <v>306</v>
      </c>
      <c r="C82" s="2" t="s">
        <v>48</v>
      </c>
      <c r="D82" s="2" t="s">
        <v>294</v>
      </c>
      <c r="E82" s="3">
        <v>1999</v>
      </c>
      <c r="F82" s="3">
        <v>3</v>
      </c>
      <c r="G82" s="2" t="s">
        <v>290</v>
      </c>
      <c r="H82" s="2" t="s">
        <v>30</v>
      </c>
    </row>
    <row r="83" spans="1:8" x14ac:dyDescent="0.3">
      <c r="A83" s="4" t="s">
        <v>122</v>
      </c>
      <c r="B83" s="2" t="s">
        <v>307</v>
      </c>
      <c r="C83" s="2" t="s">
        <v>56</v>
      </c>
      <c r="D83" s="2" t="s">
        <v>14</v>
      </c>
      <c r="E83" s="3">
        <v>1978</v>
      </c>
      <c r="F83" s="3">
        <v>0</v>
      </c>
      <c r="G83" s="2" t="s">
        <v>290</v>
      </c>
      <c r="H83" s="2" t="s">
        <v>30</v>
      </c>
    </row>
    <row r="84" spans="1:8" x14ac:dyDescent="0.3">
      <c r="A84" s="4" t="s">
        <v>123</v>
      </c>
      <c r="B84" s="2" t="s">
        <v>124</v>
      </c>
      <c r="C84" s="2" t="s">
        <v>18</v>
      </c>
      <c r="D84" s="2" t="s">
        <v>10</v>
      </c>
      <c r="E84" s="3">
        <v>2024</v>
      </c>
      <c r="F84" s="3">
        <v>0</v>
      </c>
      <c r="G84" s="2" t="s">
        <v>16</v>
      </c>
      <c r="H84" s="2" t="s">
        <v>30</v>
      </c>
    </row>
    <row r="85" spans="1:8" x14ac:dyDescent="0.3">
      <c r="A85" s="4" t="s">
        <v>125</v>
      </c>
      <c r="B85" s="2" t="s">
        <v>312</v>
      </c>
      <c r="C85" s="2" t="s">
        <v>88</v>
      </c>
      <c r="D85" s="2" t="s">
        <v>23</v>
      </c>
      <c r="E85" s="3">
        <v>1944</v>
      </c>
      <c r="F85" s="3">
        <v>0</v>
      </c>
      <c r="G85" s="2" t="s">
        <v>16</v>
      </c>
      <c r="H85" s="2" t="s">
        <v>11</v>
      </c>
    </row>
    <row r="86" spans="1:8" x14ac:dyDescent="0.3">
      <c r="A86" s="4" t="s">
        <v>126</v>
      </c>
      <c r="B86" s="2" t="s">
        <v>73</v>
      </c>
      <c r="C86" s="2" t="s">
        <v>74</v>
      </c>
      <c r="D86" s="2" t="s">
        <v>14</v>
      </c>
      <c r="E86" s="3">
        <v>1986</v>
      </c>
      <c r="F86" s="3">
        <v>2</v>
      </c>
      <c r="G86" s="2" t="s">
        <v>20</v>
      </c>
      <c r="H86" s="2" t="s">
        <v>11</v>
      </c>
    </row>
    <row r="87" spans="1:8" x14ac:dyDescent="0.3">
      <c r="A87" s="4" t="s">
        <v>127</v>
      </c>
      <c r="B87" s="2" t="s">
        <v>314</v>
      </c>
      <c r="C87" s="2" t="s">
        <v>128</v>
      </c>
      <c r="D87" s="2" t="s">
        <v>14</v>
      </c>
      <c r="E87" s="3">
        <v>1955</v>
      </c>
      <c r="F87" s="3">
        <v>0</v>
      </c>
      <c r="G87" s="2" t="s">
        <v>50</v>
      </c>
      <c r="H87" s="2" t="s">
        <v>30</v>
      </c>
    </row>
    <row r="88" spans="1:8" x14ac:dyDescent="0.3">
      <c r="A88" s="4" t="s">
        <v>129</v>
      </c>
      <c r="B88" s="2" t="s">
        <v>299</v>
      </c>
      <c r="C88" s="2" t="s">
        <v>13</v>
      </c>
      <c r="D88" s="2" t="s">
        <v>14</v>
      </c>
      <c r="E88" s="3">
        <v>2022</v>
      </c>
      <c r="F88" s="3">
        <v>3</v>
      </c>
      <c r="G88" s="2" t="s">
        <v>16</v>
      </c>
      <c r="H88" s="2" t="s">
        <v>11</v>
      </c>
    </row>
    <row r="89" spans="1:8" x14ac:dyDescent="0.3">
      <c r="A89" s="4" t="s">
        <v>130</v>
      </c>
      <c r="B89" s="2" t="s">
        <v>25</v>
      </c>
      <c r="C89" s="2" t="s">
        <v>26</v>
      </c>
      <c r="D89" s="2" t="s">
        <v>293</v>
      </c>
      <c r="E89" s="3">
        <v>1939</v>
      </c>
      <c r="F89" s="3">
        <v>1</v>
      </c>
      <c r="G89" s="2" t="s">
        <v>16</v>
      </c>
      <c r="H89" s="2" t="s">
        <v>11</v>
      </c>
    </row>
    <row r="90" spans="1:8" x14ac:dyDescent="0.3">
      <c r="A90" s="4" t="s">
        <v>131</v>
      </c>
      <c r="B90" s="2" t="s">
        <v>63</v>
      </c>
      <c r="C90" s="2" t="s">
        <v>18</v>
      </c>
      <c r="D90" s="2" t="s">
        <v>10</v>
      </c>
      <c r="E90" s="3">
        <v>1891</v>
      </c>
      <c r="F90" s="3">
        <v>1</v>
      </c>
      <c r="G90" s="2" t="s">
        <v>20</v>
      </c>
      <c r="H90" s="2" t="s">
        <v>11</v>
      </c>
    </row>
    <row r="91" spans="1:8" x14ac:dyDescent="0.3">
      <c r="A91" s="4" t="s">
        <v>132</v>
      </c>
      <c r="B91" s="2" t="s">
        <v>302</v>
      </c>
      <c r="C91" s="2" t="s">
        <v>37</v>
      </c>
      <c r="D91" s="2" t="s">
        <v>14</v>
      </c>
      <c r="E91" s="3">
        <v>2018</v>
      </c>
      <c r="F91" s="3">
        <v>1</v>
      </c>
      <c r="G91" s="2" t="s">
        <v>290</v>
      </c>
      <c r="H91" s="2" t="s">
        <v>30</v>
      </c>
    </row>
    <row r="92" spans="1:8" x14ac:dyDescent="0.3">
      <c r="A92" s="4" t="s">
        <v>133</v>
      </c>
      <c r="B92" s="2" t="s">
        <v>134</v>
      </c>
      <c r="C92" s="2" t="s">
        <v>82</v>
      </c>
      <c r="D92" s="2" t="s">
        <v>294</v>
      </c>
      <c r="E92" s="3">
        <v>1993</v>
      </c>
      <c r="F92" s="3">
        <v>1</v>
      </c>
      <c r="G92" s="2" t="s">
        <v>20</v>
      </c>
      <c r="H92" s="2" t="s">
        <v>11</v>
      </c>
    </row>
    <row r="93" spans="1:8" x14ac:dyDescent="0.3">
      <c r="A93" s="4" t="s">
        <v>135</v>
      </c>
      <c r="B93" s="2" t="s">
        <v>34</v>
      </c>
      <c r="C93" s="2" t="s">
        <v>9</v>
      </c>
      <c r="D93" s="2" t="s">
        <v>10</v>
      </c>
      <c r="E93" s="3">
        <v>1996</v>
      </c>
      <c r="F93" s="3">
        <v>1</v>
      </c>
      <c r="G93" s="2" t="s">
        <v>20</v>
      </c>
      <c r="H93" s="2" t="s">
        <v>11</v>
      </c>
    </row>
    <row r="94" spans="1:8" x14ac:dyDescent="0.3">
      <c r="A94" s="4" t="s">
        <v>136</v>
      </c>
      <c r="B94" s="2" t="s">
        <v>305</v>
      </c>
      <c r="C94" s="2" t="s">
        <v>297</v>
      </c>
      <c r="D94" s="2" t="s">
        <v>14</v>
      </c>
      <c r="E94" s="3">
        <v>1933</v>
      </c>
      <c r="F94" s="3">
        <v>2</v>
      </c>
      <c r="G94" s="2" t="s">
        <v>20</v>
      </c>
      <c r="H94" s="2" t="s">
        <v>30</v>
      </c>
    </row>
    <row r="95" spans="1:8" x14ac:dyDescent="0.3">
      <c r="A95" s="4" t="s">
        <v>137</v>
      </c>
      <c r="B95" s="2" t="s">
        <v>313</v>
      </c>
      <c r="C95" s="2" t="s">
        <v>94</v>
      </c>
      <c r="D95" s="2" t="s">
        <v>14</v>
      </c>
      <c r="E95" s="3">
        <v>1924</v>
      </c>
      <c r="F95" s="3">
        <v>1</v>
      </c>
      <c r="G95" s="2" t="s">
        <v>16</v>
      </c>
      <c r="H95" s="2" t="s">
        <v>11</v>
      </c>
    </row>
    <row r="96" spans="1:8" x14ac:dyDescent="0.3">
      <c r="A96" s="4" t="s">
        <v>138</v>
      </c>
      <c r="B96" s="2" t="s">
        <v>309</v>
      </c>
      <c r="C96" s="2" t="s">
        <v>65</v>
      </c>
      <c r="D96" s="2" t="s">
        <v>295</v>
      </c>
      <c r="E96" s="3">
        <v>1909</v>
      </c>
      <c r="F96" s="3">
        <v>0</v>
      </c>
      <c r="G96" s="2" t="s">
        <v>16</v>
      </c>
      <c r="H96" s="2" t="s">
        <v>11</v>
      </c>
    </row>
    <row r="97" spans="1:8" x14ac:dyDescent="0.3">
      <c r="A97" s="4" t="s">
        <v>139</v>
      </c>
      <c r="B97" s="2" t="s">
        <v>314</v>
      </c>
      <c r="C97" s="2" t="s">
        <v>128</v>
      </c>
      <c r="D97" s="2" t="s">
        <v>14</v>
      </c>
      <c r="E97" s="3">
        <v>2013</v>
      </c>
      <c r="F97" s="3">
        <v>3</v>
      </c>
      <c r="G97" s="2" t="s">
        <v>290</v>
      </c>
      <c r="H97" s="2" t="s">
        <v>11</v>
      </c>
    </row>
    <row r="98" spans="1:8" x14ac:dyDescent="0.3">
      <c r="A98" s="4" t="s">
        <v>140</v>
      </c>
      <c r="B98" s="2" t="s">
        <v>305</v>
      </c>
      <c r="C98" s="2" t="s">
        <v>297</v>
      </c>
      <c r="D98" s="2" t="s">
        <v>14</v>
      </c>
      <c r="E98" s="3">
        <v>1900</v>
      </c>
      <c r="F98" s="3">
        <v>3</v>
      </c>
      <c r="G98" s="2" t="s">
        <v>290</v>
      </c>
      <c r="H98" s="2" t="s">
        <v>30</v>
      </c>
    </row>
    <row r="99" spans="1:8" x14ac:dyDescent="0.3">
      <c r="A99" s="4" t="s">
        <v>141</v>
      </c>
      <c r="B99" s="2" t="s">
        <v>25</v>
      </c>
      <c r="C99" s="2" t="s">
        <v>26</v>
      </c>
      <c r="D99" s="2" t="s">
        <v>293</v>
      </c>
      <c r="E99" s="3">
        <v>1990</v>
      </c>
      <c r="F99" s="3">
        <v>1</v>
      </c>
      <c r="G99" s="2" t="s">
        <v>16</v>
      </c>
      <c r="H99" s="2" t="s">
        <v>30</v>
      </c>
    </row>
    <row r="100" spans="1:8" x14ac:dyDescent="0.3">
      <c r="A100" s="4" t="s">
        <v>142</v>
      </c>
      <c r="B100" s="2" t="s">
        <v>134</v>
      </c>
      <c r="C100" s="2" t="s">
        <v>82</v>
      </c>
      <c r="D100" s="2" t="s">
        <v>294</v>
      </c>
      <c r="E100" s="3">
        <v>1989</v>
      </c>
      <c r="F100" s="3">
        <v>3</v>
      </c>
      <c r="G100" s="2" t="s">
        <v>20</v>
      </c>
      <c r="H100" s="2" t="s">
        <v>30</v>
      </c>
    </row>
    <row r="101" spans="1:8" x14ac:dyDescent="0.3">
      <c r="A101" s="4" t="s">
        <v>143</v>
      </c>
      <c r="B101" s="2" t="s">
        <v>34</v>
      </c>
      <c r="C101" s="2" t="s">
        <v>9</v>
      </c>
      <c r="D101" s="2" t="s">
        <v>10</v>
      </c>
      <c r="E101" s="3">
        <v>1913</v>
      </c>
      <c r="F101" s="3">
        <v>2</v>
      </c>
      <c r="G101" s="2" t="s">
        <v>16</v>
      </c>
      <c r="H101" s="2" t="s">
        <v>11</v>
      </c>
    </row>
    <row r="102" spans="1:8" x14ac:dyDescent="0.3">
      <c r="A102" s="4" t="s">
        <v>144</v>
      </c>
      <c r="B102" s="2" t="s">
        <v>34</v>
      </c>
      <c r="C102" s="2" t="s">
        <v>9</v>
      </c>
      <c r="D102" s="2" t="s">
        <v>10</v>
      </c>
      <c r="E102" s="3">
        <v>1893</v>
      </c>
      <c r="F102" s="3">
        <v>3</v>
      </c>
      <c r="G102" s="2" t="s">
        <v>290</v>
      </c>
      <c r="H102" s="2" t="s">
        <v>11</v>
      </c>
    </row>
    <row r="103" spans="1:8" x14ac:dyDescent="0.3">
      <c r="A103" s="4" t="s">
        <v>145</v>
      </c>
      <c r="B103" s="2" t="s">
        <v>124</v>
      </c>
      <c r="C103" s="2" t="s">
        <v>18</v>
      </c>
      <c r="D103" s="2" t="s">
        <v>10</v>
      </c>
      <c r="E103" s="3">
        <v>1909</v>
      </c>
      <c r="F103" s="3">
        <v>0</v>
      </c>
      <c r="G103" s="2" t="s">
        <v>20</v>
      </c>
      <c r="H103" s="2" t="s">
        <v>30</v>
      </c>
    </row>
    <row r="104" spans="1:8" x14ac:dyDescent="0.3">
      <c r="A104" s="4" t="s">
        <v>146</v>
      </c>
      <c r="B104" s="2" t="s">
        <v>308</v>
      </c>
      <c r="C104" s="2" t="s">
        <v>60</v>
      </c>
      <c r="D104" s="2" t="s">
        <v>14</v>
      </c>
      <c r="E104" s="3">
        <v>1887</v>
      </c>
      <c r="F104" s="3">
        <v>2</v>
      </c>
      <c r="G104" s="2" t="s">
        <v>20</v>
      </c>
      <c r="H104" s="2" t="s">
        <v>11</v>
      </c>
    </row>
    <row r="105" spans="1:8" x14ac:dyDescent="0.3">
      <c r="A105" s="4" t="s">
        <v>147</v>
      </c>
      <c r="B105" s="2" t="s">
        <v>313</v>
      </c>
      <c r="C105" s="2" t="s">
        <v>94</v>
      </c>
      <c r="D105" s="2" t="s">
        <v>14</v>
      </c>
      <c r="E105" s="3">
        <v>1887</v>
      </c>
      <c r="F105" s="3">
        <v>1</v>
      </c>
      <c r="G105" s="2" t="s">
        <v>290</v>
      </c>
      <c r="H105" s="2" t="s">
        <v>30</v>
      </c>
    </row>
    <row r="106" spans="1:8" x14ac:dyDescent="0.3">
      <c r="A106" s="4" t="s">
        <v>148</v>
      </c>
      <c r="B106" s="2" t="s">
        <v>47</v>
      </c>
      <c r="C106" s="2" t="s">
        <v>48</v>
      </c>
      <c r="D106" s="2" t="s">
        <v>294</v>
      </c>
      <c r="E106" s="3">
        <v>1919</v>
      </c>
      <c r="F106" s="3">
        <v>2</v>
      </c>
      <c r="G106" s="2" t="s">
        <v>289</v>
      </c>
      <c r="H106" s="2" t="s">
        <v>11</v>
      </c>
    </row>
    <row r="107" spans="1:8" x14ac:dyDescent="0.3">
      <c r="A107" s="4" t="s">
        <v>149</v>
      </c>
      <c r="B107" s="2" t="s">
        <v>25</v>
      </c>
      <c r="C107" s="2" t="s">
        <v>26</v>
      </c>
      <c r="D107" s="2" t="s">
        <v>293</v>
      </c>
      <c r="E107" s="3">
        <v>1990</v>
      </c>
      <c r="F107" s="3">
        <v>1</v>
      </c>
      <c r="G107" s="2" t="s">
        <v>20</v>
      </c>
      <c r="H107" s="2" t="s">
        <v>30</v>
      </c>
    </row>
    <row r="108" spans="1:8" x14ac:dyDescent="0.3">
      <c r="A108" s="4" t="s">
        <v>150</v>
      </c>
      <c r="B108" s="2" t="s">
        <v>314</v>
      </c>
      <c r="C108" s="2" t="s">
        <v>128</v>
      </c>
      <c r="D108" s="2" t="s">
        <v>14</v>
      </c>
      <c r="E108" s="3">
        <v>1934</v>
      </c>
      <c r="F108" s="3">
        <v>0</v>
      </c>
      <c r="G108" s="2" t="s">
        <v>16</v>
      </c>
      <c r="H108" s="2" t="s">
        <v>11</v>
      </c>
    </row>
    <row r="109" spans="1:8" x14ac:dyDescent="0.3">
      <c r="A109" s="4" t="s">
        <v>151</v>
      </c>
      <c r="B109" s="2" t="s">
        <v>313</v>
      </c>
      <c r="C109" s="2" t="s">
        <v>94</v>
      </c>
      <c r="D109" s="2" t="s">
        <v>14</v>
      </c>
      <c r="E109" s="3">
        <v>1938</v>
      </c>
      <c r="F109" s="3">
        <v>2</v>
      </c>
      <c r="G109" s="2" t="s">
        <v>290</v>
      </c>
      <c r="H109" s="2" t="s">
        <v>11</v>
      </c>
    </row>
    <row r="110" spans="1:8" x14ac:dyDescent="0.3">
      <c r="A110" s="4" t="s">
        <v>152</v>
      </c>
      <c r="B110" s="2" t="s">
        <v>299</v>
      </c>
      <c r="C110" s="2" t="s">
        <v>13</v>
      </c>
      <c r="D110" s="2" t="s">
        <v>14</v>
      </c>
      <c r="E110" s="3">
        <v>1989</v>
      </c>
      <c r="F110" s="3">
        <v>2</v>
      </c>
      <c r="G110" s="2" t="s">
        <v>50</v>
      </c>
      <c r="H110" s="2" t="s">
        <v>30</v>
      </c>
    </row>
    <row r="111" spans="1:8" x14ac:dyDescent="0.3">
      <c r="A111" s="4" t="s">
        <v>153</v>
      </c>
      <c r="B111" s="2" t="s">
        <v>73</v>
      </c>
      <c r="C111" s="2" t="s">
        <v>74</v>
      </c>
      <c r="D111" s="2" t="s">
        <v>14</v>
      </c>
      <c r="E111" s="3">
        <v>1972</v>
      </c>
      <c r="F111" s="3">
        <v>1</v>
      </c>
      <c r="G111" s="2" t="s">
        <v>50</v>
      </c>
      <c r="H111" s="2" t="s">
        <v>30</v>
      </c>
    </row>
    <row r="112" spans="1:8" x14ac:dyDescent="0.3">
      <c r="A112" s="4" t="s">
        <v>154</v>
      </c>
      <c r="B112" s="2" t="s">
        <v>134</v>
      </c>
      <c r="C112" s="2" t="s">
        <v>82</v>
      </c>
      <c r="D112" s="2" t="s">
        <v>294</v>
      </c>
      <c r="E112" s="3">
        <v>1923</v>
      </c>
      <c r="F112" s="3">
        <v>1</v>
      </c>
      <c r="G112" s="2" t="s">
        <v>290</v>
      </c>
      <c r="H112" s="2" t="s">
        <v>30</v>
      </c>
    </row>
    <row r="113" spans="1:8" x14ac:dyDescent="0.3">
      <c r="A113" s="4" t="s">
        <v>155</v>
      </c>
      <c r="B113" s="2" t="s">
        <v>300</v>
      </c>
      <c r="C113" s="2" t="s">
        <v>291</v>
      </c>
      <c r="D113" s="2" t="s">
        <v>292</v>
      </c>
      <c r="E113" s="3">
        <v>1919</v>
      </c>
      <c r="F113" s="3">
        <v>0</v>
      </c>
      <c r="G113" s="2" t="s">
        <v>16</v>
      </c>
      <c r="H113" s="2" t="s">
        <v>30</v>
      </c>
    </row>
    <row r="114" spans="1:8" x14ac:dyDescent="0.3">
      <c r="A114" s="4" t="s">
        <v>156</v>
      </c>
      <c r="B114" s="2" t="s">
        <v>47</v>
      </c>
      <c r="C114" s="2" t="s">
        <v>48</v>
      </c>
      <c r="D114" s="2" t="s">
        <v>294</v>
      </c>
      <c r="E114" s="3">
        <v>1962</v>
      </c>
      <c r="F114" s="3">
        <v>0</v>
      </c>
      <c r="G114" s="2" t="s">
        <v>50</v>
      </c>
      <c r="H114" s="2" t="s">
        <v>11</v>
      </c>
    </row>
    <row r="115" spans="1:8" x14ac:dyDescent="0.3">
      <c r="A115" s="4" t="s">
        <v>157</v>
      </c>
      <c r="B115" s="2" t="s">
        <v>306</v>
      </c>
      <c r="C115" s="2" t="s">
        <v>48</v>
      </c>
      <c r="D115" s="2" t="s">
        <v>294</v>
      </c>
      <c r="E115" s="3">
        <v>1995</v>
      </c>
      <c r="F115" s="3">
        <v>1</v>
      </c>
      <c r="G115" s="2" t="s">
        <v>16</v>
      </c>
      <c r="H115" s="2" t="s">
        <v>11</v>
      </c>
    </row>
    <row r="116" spans="1:8" x14ac:dyDescent="0.3">
      <c r="A116" s="4" t="s">
        <v>158</v>
      </c>
      <c r="B116" s="2" t="s">
        <v>299</v>
      </c>
      <c r="C116" s="2" t="s">
        <v>13</v>
      </c>
      <c r="D116" s="2" t="s">
        <v>14</v>
      </c>
      <c r="E116" s="3">
        <v>1890</v>
      </c>
      <c r="F116" s="3">
        <v>1</v>
      </c>
      <c r="G116" s="2" t="s">
        <v>290</v>
      </c>
      <c r="H116" s="2" t="s">
        <v>11</v>
      </c>
    </row>
    <row r="117" spans="1:8" x14ac:dyDescent="0.3">
      <c r="A117" s="4" t="s">
        <v>159</v>
      </c>
      <c r="B117" s="2" t="s">
        <v>63</v>
      </c>
      <c r="C117" s="2" t="s">
        <v>18</v>
      </c>
      <c r="D117" s="2" t="s">
        <v>10</v>
      </c>
      <c r="E117" s="3">
        <v>1901</v>
      </c>
      <c r="F117" s="3">
        <v>2</v>
      </c>
      <c r="G117" s="2" t="s">
        <v>289</v>
      </c>
      <c r="H117" s="2" t="s">
        <v>30</v>
      </c>
    </row>
    <row r="118" spans="1:8" x14ac:dyDescent="0.3">
      <c r="A118" s="4" t="s">
        <v>160</v>
      </c>
      <c r="B118" s="2" t="s">
        <v>47</v>
      </c>
      <c r="C118" s="2" t="s">
        <v>48</v>
      </c>
      <c r="D118" s="2" t="s">
        <v>294</v>
      </c>
      <c r="E118" s="3">
        <v>1893</v>
      </c>
      <c r="F118" s="3">
        <v>0</v>
      </c>
      <c r="G118" s="2" t="s">
        <v>50</v>
      </c>
      <c r="H118" s="2" t="s">
        <v>11</v>
      </c>
    </row>
    <row r="119" spans="1:8" x14ac:dyDescent="0.3">
      <c r="A119" s="4" t="s">
        <v>161</v>
      </c>
      <c r="B119" s="2" t="s">
        <v>308</v>
      </c>
      <c r="C119" s="2" t="s">
        <v>60</v>
      </c>
      <c r="D119" s="2" t="s">
        <v>14</v>
      </c>
      <c r="E119" s="3">
        <v>1959</v>
      </c>
      <c r="F119" s="3">
        <v>0</v>
      </c>
      <c r="G119" s="2" t="s">
        <v>50</v>
      </c>
      <c r="H119" s="2" t="s">
        <v>11</v>
      </c>
    </row>
    <row r="120" spans="1:8" x14ac:dyDescent="0.3">
      <c r="A120" s="4" t="s">
        <v>162</v>
      </c>
      <c r="B120" s="2" t="s">
        <v>73</v>
      </c>
      <c r="C120" s="2" t="s">
        <v>74</v>
      </c>
      <c r="D120" s="2" t="s">
        <v>14</v>
      </c>
      <c r="E120" s="3">
        <v>2014</v>
      </c>
      <c r="F120" s="3">
        <v>1</v>
      </c>
      <c r="G120" s="2" t="s">
        <v>50</v>
      </c>
      <c r="H120" s="2" t="s">
        <v>11</v>
      </c>
    </row>
    <row r="121" spans="1:8" x14ac:dyDescent="0.3">
      <c r="A121" s="4" t="s">
        <v>163</v>
      </c>
      <c r="B121" s="2" t="s">
        <v>307</v>
      </c>
      <c r="C121" s="2" t="s">
        <v>56</v>
      </c>
      <c r="D121" s="2" t="s">
        <v>14</v>
      </c>
      <c r="E121" s="3">
        <v>1919</v>
      </c>
      <c r="F121" s="3">
        <v>1</v>
      </c>
      <c r="G121" s="2" t="s">
        <v>20</v>
      </c>
      <c r="H121" s="2" t="s">
        <v>11</v>
      </c>
    </row>
    <row r="122" spans="1:8" x14ac:dyDescent="0.3">
      <c r="A122" s="4" t="s">
        <v>164</v>
      </c>
      <c r="B122" s="2" t="s">
        <v>314</v>
      </c>
      <c r="C122" s="2" t="s">
        <v>128</v>
      </c>
      <c r="D122" s="2" t="s">
        <v>14</v>
      </c>
      <c r="E122" s="3">
        <v>1976</v>
      </c>
      <c r="F122" s="3">
        <v>2</v>
      </c>
      <c r="G122" s="2" t="s">
        <v>16</v>
      </c>
      <c r="H122" s="2" t="s">
        <v>30</v>
      </c>
    </row>
    <row r="123" spans="1:8" x14ac:dyDescent="0.3">
      <c r="A123" s="4" t="s">
        <v>165</v>
      </c>
      <c r="B123" s="2" t="s">
        <v>29</v>
      </c>
      <c r="C123" s="2" t="s">
        <v>26</v>
      </c>
      <c r="D123" s="2" t="s">
        <v>293</v>
      </c>
      <c r="E123" s="3">
        <v>1994</v>
      </c>
      <c r="F123" s="3">
        <v>2</v>
      </c>
      <c r="G123" s="2" t="s">
        <v>290</v>
      </c>
      <c r="H123" s="2" t="s">
        <v>30</v>
      </c>
    </row>
    <row r="124" spans="1:8" x14ac:dyDescent="0.3">
      <c r="A124" s="4" t="s">
        <v>166</v>
      </c>
      <c r="B124" s="2" t="s">
        <v>312</v>
      </c>
      <c r="C124" s="2" t="s">
        <v>88</v>
      </c>
      <c r="D124" s="2" t="s">
        <v>23</v>
      </c>
      <c r="E124" s="3">
        <v>2008</v>
      </c>
      <c r="F124" s="3">
        <v>2</v>
      </c>
      <c r="G124" s="2" t="s">
        <v>50</v>
      </c>
      <c r="H124" s="2" t="s">
        <v>30</v>
      </c>
    </row>
    <row r="125" spans="1:8" x14ac:dyDescent="0.3">
      <c r="A125" s="4" t="s">
        <v>167</v>
      </c>
      <c r="B125" s="2" t="s">
        <v>309</v>
      </c>
      <c r="C125" s="2" t="s">
        <v>65</v>
      </c>
      <c r="D125" s="2" t="s">
        <v>295</v>
      </c>
      <c r="E125" s="3">
        <v>2012</v>
      </c>
      <c r="F125" s="3">
        <v>0</v>
      </c>
      <c r="G125" s="2" t="s">
        <v>16</v>
      </c>
      <c r="H125" s="2" t="s">
        <v>30</v>
      </c>
    </row>
    <row r="126" spans="1:8" x14ac:dyDescent="0.3">
      <c r="A126" s="4" t="s">
        <v>168</v>
      </c>
      <c r="B126" s="2" t="s">
        <v>25</v>
      </c>
      <c r="C126" s="2" t="s">
        <v>26</v>
      </c>
      <c r="D126" s="2" t="s">
        <v>293</v>
      </c>
      <c r="E126" s="3">
        <v>1969</v>
      </c>
      <c r="F126" s="3">
        <v>1</v>
      </c>
      <c r="G126" s="2" t="s">
        <v>289</v>
      </c>
      <c r="H126" s="2" t="s">
        <v>11</v>
      </c>
    </row>
    <row r="127" spans="1:8" x14ac:dyDescent="0.3">
      <c r="A127" s="4" t="s">
        <v>169</v>
      </c>
      <c r="B127" s="2" t="s">
        <v>304</v>
      </c>
      <c r="C127" s="2" t="s">
        <v>13</v>
      </c>
      <c r="D127" s="2" t="s">
        <v>14</v>
      </c>
      <c r="E127" s="3">
        <v>1965</v>
      </c>
      <c r="F127" s="3">
        <v>0</v>
      </c>
      <c r="G127" s="2" t="s">
        <v>16</v>
      </c>
      <c r="H127" s="2" t="s">
        <v>11</v>
      </c>
    </row>
    <row r="128" spans="1:8" x14ac:dyDescent="0.3">
      <c r="A128" s="4" t="s">
        <v>170</v>
      </c>
      <c r="B128" s="2" t="s">
        <v>312</v>
      </c>
      <c r="C128" s="2" t="s">
        <v>88</v>
      </c>
      <c r="D128" s="2" t="s">
        <v>23</v>
      </c>
      <c r="E128" s="3">
        <v>1935</v>
      </c>
      <c r="F128" s="3">
        <v>0</v>
      </c>
      <c r="G128" s="2" t="s">
        <v>16</v>
      </c>
      <c r="H128" s="2" t="s">
        <v>30</v>
      </c>
    </row>
    <row r="129" spans="1:8" x14ac:dyDescent="0.3">
      <c r="A129" s="4" t="s">
        <v>171</v>
      </c>
      <c r="B129" s="2" t="s">
        <v>302</v>
      </c>
      <c r="C129" s="2" t="s">
        <v>37</v>
      </c>
      <c r="D129" s="2" t="s">
        <v>14</v>
      </c>
      <c r="E129" s="3">
        <v>1896</v>
      </c>
      <c r="F129" s="3">
        <v>1</v>
      </c>
      <c r="G129" s="2" t="s">
        <v>290</v>
      </c>
      <c r="H129" s="2" t="s">
        <v>11</v>
      </c>
    </row>
    <row r="130" spans="1:8" x14ac:dyDescent="0.3">
      <c r="A130" s="4" t="s">
        <v>172</v>
      </c>
      <c r="B130" s="2" t="s">
        <v>32</v>
      </c>
      <c r="C130" s="2" t="s">
        <v>9</v>
      </c>
      <c r="D130" s="2" t="s">
        <v>10</v>
      </c>
      <c r="E130" s="3">
        <v>1986</v>
      </c>
      <c r="F130" s="3">
        <v>2</v>
      </c>
      <c r="G130" s="2" t="s">
        <v>16</v>
      </c>
      <c r="H130" s="2" t="s">
        <v>11</v>
      </c>
    </row>
    <row r="131" spans="1:8" x14ac:dyDescent="0.3">
      <c r="A131" s="4" t="s">
        <v>173</v>
      </c>
      <c r="B131" s="2" t="s">
        <v>299</v>
      </c>
      <c r="C131" s="2" t="s">
        <v>13</v>
      </c>
      <c r="D131" s="2" t="s">
        <v>14</v>
      </c>
      <c r="E131" s="3">
        <v>1979</v>
      </c>
      <c r="F131" s="3">
        <v>3</v>
      </c>
      <c r="G131" s="2" t="s">
        <v>20</v>
      </c>
      <c r="H131" s="2" t="s">
        <v>11</v>
      </c>
    </row>
    <row r="132" spans="1:8" x14ac:dyDescent="0.3">
      <c r="A132" s="4" t="s">
        <v>174</v>
      </c>
      <c r="B132" s="2" t="s">
        <v>309</v>
      </c>
      <c r="C132" s="2" t="s">
        <v>65</v>
      </c>
      <c r="D132" s="2" t="s">
        <v>295</v>
      </c>
      <c r="E132" s="3">
        <v>1965</v>
      </c>
      <c r="F132" s="3">
        <v>2</v>
      </c>
      <c r="G132" s="2" t="s">
        <v>16</v>
      </c>
      <c r="H132" s="2" t="s">
        <v>11</v>
      </c>
    </row>
    <row r="133" spans="1:8" x14ac:dyDescent="0.3">
      <c r="A133" s="4" t="s">
        <v>175</v>
      </c>
      <c r="B133" s="2" t="s">
        <v>312</v>
      </c>
      <c r="C133" s="2" t="s">
        <v>88</v>
      </c>
      <c r="D133" s="2" t="s">
        <v>23</v>
      </c>
      <c r="E133" s="3">
        <v>1896</v>
      </c>
      <c r="F133" s="3">
        <v>0</v>
      </c>
      <c r="G133" s="2" t="s">
        <v>289</v>
      </c>
      <c r="H133" s="2" t="s">
        <v>30</v>
      </c>
    </row>
    <row r="134" spans="1:8" x14ac:dyDescent="0.3">
      <c r="A134" s="4" t="s">
        <v>176</v>
      </c>
      <c r="B134" s="2" t="s">
        <v>305</v>
      </c>
      <c r="C134" s="2" t="s">
        <v>297</v>
      </c>
      <c r="D134" s="2" t="s">
        <v>14</v>
      </c>
      <c r="E134" s="3">
        <v>1944</v>
      </c>
      <c r="F134" s="3">
        <v>1</v>
      </c>
      <c r="G134" s="2" t="s">
        <v>20</v>
      </c>
      <c r="H134" s="2" t="s">
        <v>11</v>
      </c>
    </row>
    <row r="135" spans="1:8" x14ac:dyDescent="0.3">
      <c r="A135" s="4" t="s">
        <v>177</v>
      </c>
      <c r="B135" s="2" t="s">
        <v>32</v>
      </c>
      <c r="C135" s="2" t="s">
        <v>9</v>
      </c>
      <c r="D135" s="2" t="s">
        <v>10</v>
      </c>
      <c r="E135" s="3">
        <v>1978</v>
      </c>
      <c r="F135" s="3">
        <v>3</v>
      </c>
      <c r="G135" s="2" t="s">
        <v>16</v>
      </c>
      <c r="H135" s="2" t="s">
        <v>30</v>
      </c>
    </row>
    <row r="136" spans="1:8" x14ac:dyDescent="0.3">
      <c r="A136" s="4" t="s">
        <v>178</v>
      </c>
      <c r="B136" s="2" t="s">
        <v>307</v>
      </c>
      <c r="C136" s="2" t="s">
        <v>56</v>
      </c>
      <c r="D136" s="2" t="s">
        <v>14</v>
      </c>
      <c r="E136" s="3">
        <v>1926</v>
      </c>
      <c r="F136" s="3">
        <v>2</v>
      </c>
      <c r="G136" s="2" t="s">
        <v>20</v>
      </c>
      <c r="H136" s="2" t="s">
        <v>11</v>
      </c>
    </row>
    <row r="137" spans="1:8" x14ac:dyDescent="0.3">
      <c r="A137" s="4" t="s">
        <v>179</v>
      </c>
      <c r="B137" s="2" t="s">
        <v>313</v>
      </c>
      <c r="C137" s="2" t="s">
        <v>94</v>
      </c>
      <c r="D137" s="2" t="s">
        <v>14</v>
      </c>
      <c r="E137" s="3">
        <v>1970</v>
      </c>
      <c r="F137" s="3">
        <v>2</v>
      </c>
      <c r="G137" s="2" t="s">
        <v>50</v>
      </c>
      <c r="H137" s="2" t="s">
        <v>11</v>
      </c>
    </row>
    <row r="138" spans="1:8" x14ac:dyDescent="0.3">
      <c r="A138" s="4" t="s">
        <v>180</v>
      </c>
      <c r="B138" s="2" t="s">
        <v>299</v>
      </c>
      <c r="C138" s="2" t="s">
        <v>13</v>
      </c>
      <c r="D138" s="2" t="s">
        <v>14</v>
      </c>
      <c r="E138" s="3">
        <v>1992</v>
      </c>
      <c r="F138" s="3">
        <v>1</v>
      </c>
      <c r="G138" s="2" t="s">
        <v>16</v>
      </c>
      <c r="H138" s="2" t="s">
        <v>11</v>
      </c>
    </row>
    <row r="139" spans="1:8" x14ac:dyDescent="0.3">
      <c r="A139" s="4" t="s">
        <v>181</v>
      </c>
      <c r="B139" s="2" t="s">
        <v>307</v>
      </c>
      <c r="C139" s="2" t="s">
        <v>56</v>
      </c>
      <c r="D139" s="2" t="s">
        <v>14</v>
      </c>
      <c r="E139" s="3">
        <v>1899</v>
      </c>
      <c r="F139" s="3">
        <v>2</v>
      </c>
      <c r="G139" s="2" t="s">
        <v>16</v>
      </c>
      <c r="H139" s="2" t="s">
        <v>30</v>
      </c>
    </row>
    <row r="140" spans="1:8" x14ac:dyDescent="0.3">
      <c r="A140" s="4" t="s">
        <v>182</v>
      </c>
      <c r="B140" s="2" t="s">
        <v>313</v>
      </c>
      <c r="C140" s="2" t="s">
        <v>94</v>
      </c>
      <c r="D140" s="2" t="s">
        <v>14</v>
      </c>
      <c r="E140" s="3">
        <v>2023</v>
      </c>
      <c r="F140" s="3">
        <v>1</v>
      </c>
      <c r="G140" s="2" t="s">
        <v>20</v>
      </c>
      <c r="H140" s="2" t="s">
        <v>30</v>
      </c>
    </row>
    <row r="141" spans="1:8" x14ac:dyDescent="0.3">
      <c r="A141" s="4" t="s">
        <v>183</v>
      </c>
      <c r="B141" s="2" t="s">
        <v>315</v>
      </c>
      <c r="C141" s="2" t="s">
        <v>298</v>
      </c>
      <c r="D141" s="2" t="s">
        <v>296</v>
      </c>
      <c r="E141" s="3">
        <v>1993</v>
      </c>
      <c r="F141" s="3">
        <v>1</v>
      </c>
      <c r="G141" s="2" t="s">
        <v>50</v>
      </c>
      <c r="H141" s="2" t="s">
        <v>11</v>
      </c>
    </row>
    <row r="142" spans="1:8" x14ac:dyDescent="0.3">
      <c r="A142" s="4" t="s">
        <v>184</v>
      </c>
      <c r="B142" s="2" t="s">
        <v>308</v>
      </c>
      <c r="C142" s="2" t="s">
        <v>60</v>
      </c>
      <c r="D142" s="2" t="s">
        <v>14</v>
      </c>
      <c r="E142" s="3">
        <v>1972</v>
      </c>
      <c r="F142" s="3">
        <v>2</v>
      </c>
      <c r="G142" s="2" t="s">
        <v>20</v>
      </c>
      <c r="H142" s="2" t="s">
        <v>30</v>
      </c>
    </row>
    <row r="143" spans="1:8" x14ac:dyDescent="0.3">
      <c r="A143" s="4" t="s">
        <v>185</v>
      </c>
      <c r="B143" s="2" t="s">
        <v>309</v>
      </c>
      <c r="C143" s="2" t="s">
        <v>65</v>
      </c>
      <c r="D143" s="2" t="s">
        <v>295</v>
      </c>
      <c r="E143" s="3">
        <v>2021</v>
      </c>
      <c r="F143" s="3">
        <v>2</v>
      </c>
      <c r="G143" s="2" t="s">
        <v>290</v>
      </c>
      <c r="H143" s="2" t="s">
        <v>11</v>
      </c>
    </row>
    <row r="144" spans="1:8" x14ac:dyDescent="0.3">
      <c r="A144" s="4" t="s">
        <v>186</v>
      </c>
      <c r="B144" s="2" t="s">
        <v>73</v>
      </c>
      <c r="C144" s="2" t="s">
        <v>74</v>
      </c>
      <c r="D144" s="2" t="s">
        <v>14</v>
      </c>
      <c r="E144" s="3">
        <v>1912</v>
      </c>
      <c r="F144" s="3">
        <v>3</v>
      </c>
      <c r="G144" s="2" t="s">
        <v>16</v>
      </c>
      <c r="H144" s="2" t="s">
        <v>11</v>
      </c>
    </row>
    <row r="145" spans="1:8" x14ac:dyDescent="0.3">
      <c r="A145" s="4" t="s">
        <v>187</v>
      </c>
      <c r="B145" s="2" t="s">
        <v>39</v>
      </c>
      <c r="C145" s="2" t="s">
        <v>40</v>
      </c>
      <c r="D145" s="2" t="s">
        <v>14</v>
      </c>
      <c r="E145" s="3">
        <v>1894</v>
      </c>
      <c r="F145" s="3">
        <v>0</v>
      </c>
      <c r="G145" s="2" t="s">
        <v>16</v>
      </c>
      <c r="H145" s="2" t="s">
        <v>11</v>
      </c>
    </row>
    <row r="146" spans="1:8" x14ac:dyDescent="0.3">
      <c r="A146" s="4" t="s">
        <v>188</v>
      </c>
      <c r="B146" s="2" t="s">
        <v>301</v>
      </c>
      <c r="C146" s="2" t="s">
        <v>22</v>
      </c>
      <c r="D146" s="2" t="s">
        <v>23</v>
      </c>
      <c r="E146" s="3">
        <v>1944</v>
      </c>
      <c r="F146" s="3">
        <v>2</v>
      </c>
      <c r="G146" s="2" t="s">
        <v>290</v>
      </c>
      <c r="H146" s="2" t="s">
        <v>11</v>
      </c>
    </row>
    <row r="147" spans="1:8" x14ac:dyDescent="0.3">
      <c r="A147" s="4" t="s">
        <v>189</v>
      </c>
      <c r="B147" s="2" t="s">
        <v>63</v>
      </c>
      <c r="C147" s="2" t="s">
        <v>18</v>
      </c>
      <c r="D147" s="2" t="s">
        <v>10</v>
      </c>
      <c r="E147" s="3">
        <v>1966</v>
      </c>
      <c r="F147" s="3">
        <v>0</v>
      </c>
      <c r="G147" s="2" t="s">
        <v>289</v>
      </c>
      <c r="H147" s="2" t="s">
        <v>11</v>
      </c>
    </row>
    <row r="148" spans="1:8" x14ac:dyDescent="0.3">
      <c r="A148" s="4" t="s">
        <v>190</v>
      </c>
      <c r="B148" s="2" t="s">
        <v>299</v>
      </c>
      <c r="C148" s="2" t="s">
        <v>13</v>
      </c>
      <c r="D148" s="2" t="s">
        <v>14</v>
      </c>
      <c r="E148" s="3">
        <v>1887</v>
      </c>
      <c r="F148" s="3">
        <v>1</v>
      </c>
      <c r="G148" s="2" t="s">
        <v>290</v>
      </c>
      <c r="H148" s="2" t="s">
        <v>11</v>
      </c>
    </row>
    <row r="149" spans="1:8" x14ac:dyDescent="0.3">
      <c r="A149" s="4" t="s">
        <v>191</v>
      </c>
      <c r="B149" s="2" t="s">
        <v>306</v>
      </c>
      <c r="C149" s="2" t="s">
        <v>48</v>
      </c>
      <c r="D149" s="2" t="s">
        <v>294</v>
      </c>
      <c r="E149" s="3">
        <v>1986</v>
      </c>
      <c r="F149" s="3">
        <v>1</v>
      </c>
      <c r="G149" s="2" t="s">
        <v>290</v>
      </c>
      <c r="H149" s="2" t="s">
        <v>30</v>
      </c>
    </row>
    <row r="150" spans="1:8" x14ac:dyDescent="0.3">
      <c r="A150" s="4" t="s">
        <v>192</v>
      </c>
      <c r="B150" s="2" t="s">
        <v>313</v>
      </c>
      <c r="C150" s="2" t="s">
        <v>94</v>
      </c>
      <c r="D150" s="2" t="s">
        <v>14</v>
      </c>
      <c r="E150" s="3">
        <v>1907</v>
      </c>
      <c r="F150" s="3">
        <v>3</v>
      </c>
      <c r="G150" s="2" t="s">
        <v>20</v>
      </c>
      <c r="H150" s="2" t="s">
        <v>11</v>
      </c>
    </row>
    <row r="151" spans="1:8" x14ac:dyDescent="0.3">
      <c r="A151" s="4" t="s">
        <v>193</v>
      </c>
      <c r="B151" s="2" t="s">
        <v>47</v>
      </c>
      <c r="C151" s="2" t="s">
        <v>48</v>
      </c>
      <c r="D151" s="2" t="s">
        <v>294</v>
      </c>
      <c r="E151" s="3">
        <v>1920</v>
      </c>
      <c r="F151" s="3">
        <v>0</v>
      </c>
      <c r="G151" s="2" t="s">
        <v>50</v>
      </c>
      <c r="H151" s="2" t="s">
        <v>11</v>
      </c>
    </row>
    <row r="152" spans="1:8" x14ac:dyDescent="0.3">
      <c r="A152" s="4" t="s">
        <v>194</v>
      </c>
      <c r="B152" s="2" t="s">
        <v>315</v>
      </c>
      <c r="C152" s="2" t="s">
        <v>298</v>
      </c>
      <c r="D152" s="2" t="s">
        <v>296</v>
      </c>
      <c r="E152" s="3">
        <v>1980</v>
      </c>
      <c r="F152" s="3">
        <v>2</v>
      </c>
      <c r="G152" s="2" t="s">
        <v>290</v>
      </c>
      <c r="H152" s="2" t="s">
        <v>30</v>
      </c>
    </row>
    <row r="153" spans="1:8" x14ac:dyDescent="0.3">
      <c r="A153" s="4" t="s">
        <v>195</v>
      </c>
      <c r="B153" s="2" t="s">
        <v>124</v>
      </c>
      <c r="C153" s="2" t="s">
        <v>18</v>
      </c>
      <c r="D153" s="2" t="s">
        <v>10</v>
      </c>
      <c r="E153" s="3">
        <v>2017</v>
      </c>
      <c r="F153" s="3">
        <v>1</v>
      </c>
      <c r="G153" s="2" t="s">
        <v>16</v>
      </c>
      <c r="H153" s="2" t="s">
        <v>11</v>
      </c>
    </row>
    <row r="154" spans="1:8" x14ac:dyDescent="0.3">
      <c r="A154" s="4" t="s">
        <v>196</v>
      </c>
      <c r="B154" s="2" t="s">
        <v>29</v>
      </c>
      <c r="C154" s="2" t="s">
        <v>26</v>
      </c>
      <c r="D154" s="2" t="s">
        <v>293</v>
      </c>
      <c r="E154" s="3">
        <v>1953</v>
      </c>
      <c r="F154" s="3">
        <v>1</v>
      </c>
      <c r="G154" s="2" t="s">
        <v>50</v>
      </c>
      <c r="H154" s="2" t="s">
        <v>11</v>
      </c>
    </row>
    <row r="155" spans="1:8" x14ac:dyDescent="0.3">
      <c r="A155" s="4" t="s">
        <v>197</v>
      </c>
      <c r="B155" s="2" t="s">
        <v>312</v>
      </c>
      <c r="C155" s="2" t="s">
        <v>88</v>
      </c>
      <c r="D155" s="2" t="s">
        <v>23</v>
      </c>
      <c r="E155" s="3">
        <v>1966</v>
      </c>
      <c r="F155" s="3">
        <v>2</v>
      </c>
      <c r="G155" s="2" t="s">
        <v>50</v>
      </c>
      <c r="H155" s="2" t="s">
        <v>30</v>
      </c>
    </row>
    <row r="156" spans="1:8" x14ac:dyDescent="0.3">
      <c r="A156" s="4" t="s">
        <v>198</v>
      </c>
      <c r="B156" s="2" t="s">
        <v>63</v>
      </c>
      <c r="C156" s="2" t="s">
        <v>18</v>
      </c>
      <c r="D156" s="2" t="s">
        <v>10</v>
      </c>
      <c r="E156" s="3">
        <v>1996</v>
      </c>
      <c r="F156" s="3">
        <v>2</v>
      </c>
      <c r="G156" s="2" t="s">
        <v>290</v>
      </c>
      <c r="H156" s="2" t="s">
        <v>30</v>
      </c>
    </row>
    <row r="157" spans="1:8" x14ac:dyDescent="0.3">
      <c r="A157" s="4" t="s">
        <v>199</v>
      </c>
      <c r="B157" s="2" t="s">
        <v>313</v>
      </c>
      <c r="C157" s="2" t="s">
        <v>94</v>
      </c>
      <c r="D157" s="2" t="s">
        <v>14</v>
      </c>
      <c r="E157" s="3">
        <v>2009</v>
      </c>
      <c r="F157" s="3">
        <v>0</v>
      </c>
      <c r="G157" s="2" t="s">
        <v>290</v>
      </c>
      <c r="H157" s="2" t="s">
        <v>11</v>
      </c>
    </row>
    <row r="158" spans="1:8" x14ac:dyDescent="0.3">
      <c r="A158" s="4" t="s">
        <v>200</v>
      </c>
      <c r="B158" s="2" t="s">
        <v>306</v>
      </c>
      <c r="C158" s="2" t="s">
        <v>48</v>
      </c>
      <c r="D158" s="2" t="s">
        <v>294</v>
      </c>
      <c r="E158" s="3">
        <v>1886</v>
      </c>
      <c r="F158" s="3">
        <v>2</v>
      </c>
      <c r="G158" s="2" t="s">
        <v>290</v>
      </c>
      <c r="H158" s="2" t="s">
        <v>30</v>
      </c>
    </row>
    <row r="159" spans="1:8" x14ac:dyDescent="0.3">
      <c r="A159" s="4" t="s">
        <v>201</v>
      </c>
      <c r="B159" s="2" t="s">
        <v>29</v>
      </c>
      <c r="C159" s="2" t="s">
        <v>26</v>
      </c>
      <c r="D159" s="2" t="s">
        <v>293</v>
      </c>
      <c r="E159" s="3">
        <v>1977</v>
      </c>
      <c r="F159" s="3">
        <v>2</v>
      </c>
      <c r="G159" s="2" t="s">
        <v>289</v>
      </c>
      <c r="H159" s="2" t="s">
        <v>11</v>
      </c>
    </row>
    <row r="160" spans="1:8" x14ac:dyDescent="0.3">
      <c r="A160" s="4" t="s">
        <v>202</v>
      </c>
      <c r="B160" s="2" t="s">
        <v>315</v>
      </c>
      <c r="C160" s="2" t="s">
        <v>298</v>
      </c>
      <c r="D160" s="2" t="s">
        <v>296</v>
      </c>
      <c r="E160" s="3">
        <v>2000</v>
      </c>
      <c r="F160" s="3">
        <v>0</v>
      </c>
      <c r="G160" s="2" t="s">
        <v>16</v>
      </c>
      <c r="H160" s="2" t="s">
        <v>30</v>
      </c>
    </row>
    <row r="161" spans="1:8" x14ac:dyDescent="0.3">
      <c r="A161" s="4" t="s">
        <v>203</v>
      </c>
      <c r="B161" s="2" t="s">
        <v>308</v>
      </c>
      <c r="C161" s="2" t="s">
        <v>60</v>
      </c>
      <c r="D161" s="2" t="s">
        <v>14</v>
      </c>
      <c r="E161" s="3">
        <v>1967</v>
      </c>
      <c r="F161" s="3">
        <v>2</v>
      </c>
      <c r="G161" s="2" t="s">
        <v>50</v>
      </c>
      <c r="H161" s="2" t="s">
        <v>11</v>
      </c>
    </row>
    <row r="162" spans="1:8" x14ac:dyDescent="0.3">
      <c r="A162" s="4" t="s">
        <v>204</v>
      </c>
      <c r="B162" s="2" t="s">
        <v>63</v>
      </c>
      <c r="C162" s="2" t="s">
        <v>18</v>
      </c>
      <c r="D162" s="2" t="s">
        <v>10</v>
      </c>
      <c r="E162" s="3">
        <v>1933</v>
      </c>
      <c r="F162" s="3">
        <v>0</v>
      </c>
      <c r="G162" s="2" t="s">
        <v>290</v>
      </c>
      <c r="H162" s="2" t="s">
        <v>11</v>
      </c>
    </row>
    <row r="163" spans="1:8" x14ac:dyDescent="0.3">
      <c r="A163" s="4" t="s">
        <v>205</v>
      </c>
      <c r="B163" s="2" t="s">
        <v>308</v>
      </c>
      <c r="C163" s="2" t="s">
        <v>60</v>
      </c>
      <c r="D163" s="2" t="s">
        <v>14</v>
      </c>
      <c r="E163" s="3">
        <v>1981</v>
      </c>
      <c r="F163" s="3">
        <v>0</v>
      </c>
      <c r="G163" s="2" t="s">
        <v>50</v>
      </c>
      <c r="H163" s="2" t="s">
        <v>30</v>
      </c>
    </row>
    <row r="164" spans="1:8" x14ac:dyDescent="0.3">
      <c r="A164" s="4" t="s">
        <v>206</v>
      </c>
      <c r="B164" s="2" t="s">
        <v>73</v>
      </c>
      <c r="C164" s="2" t="s">
        <v>74</v>
      </c>
      <c r="D164" s="2" t="s">
        <v>14</v>
      </c>
      <c r="E164" s="3">
        <v>1934</v>
      </c>
      <c r="F164" s="3">
        <v>2</v>
      </c>
      <c r="G164" s="2" t="s">
        <v>290</v>
      </c>
      <c r="H164" s="2" t="s">
        <v>11</v>
      </c>
    </row>
    <row r="165" spans="1:8" x14ac:dyDescent="0.3">
      <c r="A165" s="4" t="s">
        <v>207</v>
      </c>
      <c r="B165" s="2" t="s">
        <v>39</v>
      </c>
      <c r="C165" s="2" t="s">
        <v>40</v>
      </c>
      <c r="D165" s="2" t="s">
        <v>14</v>
      </c>
      <c r="E165" s="3">
        <v>1939</v>
      </c>
      <c r="F165" s="3">
        <v>1</v>
      </c>
      <c r="G165" s="2" t="s">
        <v>16</v>
      </c>
      <c r="H165" s="2" t="s">
        <v>30</v>
      </c>
    </row>
    <row r="166" spans="1:8" x14ac:dyDescent="0.3">
      <c r="A166" s="4" t="s">
        <v>208</v>
      </c>
      <c r="B166" s="2" t="s">
        <v>302</v>
      </c>
      <c r="C166" s="2" t="s">
        <v>37</v>
      </c>
      <c r="D166" s="2" t="s">
        <v>14</v>
      </c>
      <c r="E166" s="3">
        <v>2001</v>
      </c>
      <c r="F166" s="3">
        <v>1</v>
      </c>
      <c r="G166" s="2" t="s">
        <v>20</v>
      </c>
      <c r="H166" s="2" t="s">
        <v>11</v>
      </c>
    </row>
    <row r="167" spans="1:8" x14ac:dyDescent="0.3">
      <c r="A167" s="4" t="s">
        <v>209</v>
      </c>
      <c r="B167" s="2" t="s">
        <v>313</v>
      </c>
      <c r="C167" s="2" t="s">
        <v>94</v>
      </c>
      <c r="D167" s="2" t="s">
        <v>14</v>
      </c>
      <c r="E167" s="3">
        <v>1889</v>
      </c>
      <c r="F167" s="3">
        <v>2</v>
      </c>
      <c r="G167" s="2" t="s">
        <v>50</v>
      </c>
      <c r="H167" s="2" t="s">
        <v>30</v>
      </c>
    </row>
    <row r="168" spans="1:8" x14ac:dyDescent="0.3">
      <c r="A168" s="4" t="s">
        <v>210</v>
      </c>
      <c r="B168" s="2" t="s">
        <v>305</v>
      </c>
      <c r="C168" s="2" t="s">
        <v>297</v>
      </c>
      <c r="D168" s="2" t="s">
        <v>14</v>
      </c>
      <c r="E168" s="3">
        <v>1889</v>
      </c>
      <c r="F168" s="3">
        <v>1</v>
      </c>
      <c r="G168" s="2" t="s">
        <v>20</v>
      </c>
      <c r="H168" s="2" t="s">
        <v>11</v>
      </c>
    </row>
    <row r="169" spans="1:8" x14ac:dyDescent="0.3">
      <c r="A169" s="4" t="s">
        <v>211</v>
      </c>
      <c r="B169" s="2" t="s">
        <v>313</v>
      </c>
      <c r="C169" s="2" t="s">
        <v>94</v>
      </c>
      <c r="D169" s="2" t="s">
        <v>14</v>
      </c>
      <c r="E169" s="3">
        <v>1999</v>
      </c>
      <c r="F169" s="3">
        <v>3</v>
      </c>
      <c r="G169" s="2" t="s">
        <v>20</v>
      </c>
      <c r="H169" s="2" t="s">
        <v>11</v>
      </c>
    </row>
    <row r="170" spans="1:8" x14ac:dyDescent="0.3">
      <c r="A170" s="4" t="s">
        <v>212</v>
      </c>
      <c r="B170" s="2" t="s">
        <v>301</v>
      </c>
      <c r="C170" s="2" t="s">
        <v>22</v>
      </c>
      <c r="D170" s="2" t="s">
        <v>23</v>
      </c>
      <c r="E170" s="3">
        <v>1929</v>
      </c>
      <c r="F170" s="3">
        <v>2</v>
      </c>
      <c r="G170" s="2" t="s">
        <v>290</v>
      </c>
      <c r="H170" s="2" t="s">
        <v>30</v>
      </c>
    </row>
    <row r="171" spans="1:8" x14ac:dyDescent="0.3">
      <c r="A171" s="4" t="s">
        <v>213</v>
      </c>
      <c r="B171" s="2" t="s">
        <v>312</v>
      </c>
      <c r="C171" s="2" t="s">
        <v>88</v>
      </c>
      <c r="D171" s="2" t="s">
        <v>23</v>
      </c>
      <c r="E171" s="3">
        <v>1943</v>
      </c>
      <c r="F171" s="3">
        <v>1</v>
      </c>
      <c r="G171" s="2" t="s">
        <v>20</v>
      </c>
      <c r="H171" s="2" t="s">
        <v>30</v>
      </c>
    </row>
    <row r="172" spans="1:8" x14ac:dyDescent="0.3">
      <c r="A172" s="4" t="s">
        <v>214</v>
      </c>
      <c r="B172" s="2" t="s">
        <v>300</v>
      </c>
      <c r="C172" s="2" t="s">
        <v>291</v>
      </c>
      <c r="D172" s="2" t="s">
        <v>292</v>
      </c>
      <c r="E172" s="3">
        <v>1940</v>
      </c>
      <c r="F172" s="3">
        <v>1</v>
      </c>
      <c r="G172" s="2" t="s">
        <v>16</v>
      </c>
      <c r="H172" s="2" t="s">
        <v>30</v>
      </c>
    </row>
    <row r="173" spans="1:8" x14ac:dyDescent="0.3">
      <c r="A173" s="4" t="s">
        <v>215</v>
      </c>
      <c r="B173" s="2" t="s">
        <v>310</v>
      </c>
      <c r="C173" s="2" t="s">
        <v>71</v>
      </c>
      <c r="D173" s="2" t="s">
        <v>14</v>
      </c>
      <c r="E173" s="3">
        <v>1936</v>
      </c>
      <c r="F173" s="3">
        <v>2</v>
      </c>
      <c r="G173" s="2" t="s">
        <v>16</v>
      </c>
      <c r="H173" s="2" t="s">
        <v>30</v>
      </c>
    </row>
    <row r="174" spans="1:8" x14ac:dyDescent="0.3">
      <c r="A174" s="4" t="s">
        <v>216</v>
      </c>
      <c r="B174" s="2" t="s">
        <v>29</v>
      </c>
      <c r="C174" s="2" t="s">
        <v>26</v>
      </c>
      <c r="D174" s="2" t="s">
        <v>293</v>
      </c>
      <c r="E174" s="3">
        <v>1935</v>
      </c>
      <c r="F174" s="3">
        <v>0</v>
      </c>
      <c r="G174" s="2" t="s">
        <v>20</v>
      </c>
      <c r="H174" s="2" t="s">
        <v>11</v>
      </c>
    </row>
    <row r="175" spans="1:8" x14ac:dyDescent="0.3">
      <c r="A175" s="4" t="s">
        <v>217</v>
      </c>
      <c r="B175" s="2" t="s">
        <v>314</v>
      </c>
      <c r="C175" s="2" t="s">
        <v>128</v>
      </c>
      <c r="D175" s="2" t="s">
        <v>14</v>
      </c>
      <c r="E175" s="3">
        <v>2009</v>
      </c>
      <c r="F175" s="3">
        <v>2</v>
      </c>
      <c r="G175" s="2" t="s">
        <v>290</v>
      </c>
      <c r="H175" s="2" t="s">
        <v>30</v>
      </c>
    </row>
    <row r="176" spans="1:8" x14ac:dyDescent="0.3">
      <c r="A176" s="4" t="s">
        <v>218</v>
      </c>
      <c r="B176" s="2" t="s">
        <v>313</v>
      </c>
      <c r="C176" s="2" t="s">
        <v>94</v>
      </c>
      <c r="D176" s="2" t="s">
        <v>14</v>
      </c>
      <c r="E176" s="3">
        <v>1894</v>
      </c>
      <c r="F176" s="3">
        <v>1</v>
      </c>
      <c r="G176" s="2" t="s">
        <v>16</v>
      </c>
      <c r="H176" s="2" t="s">
        <v>30</v>
      </c>
    </row>
    <row r="177" spans="1:8" x14ac:dyDescent="0.3">
      <c r="A177" s="4" t="s">
        <v>219</v>
      </c>
      <c r="B177" s="2" t="s">
        <v>124</v>
      </c>
      <c r="C177" s="2" t="s">
        <v>18</v>
      </c>
      <c r="D177" s="2" t="s">
        <v>10</v>
      </c>
      <c r="E177" s="3">
        <v>1880</v>
      </c>
      <c r="F177" s="3">
        <v>0</v>
      </c>
      <c r="G177" s="2" t="s">
        <v>20</v>
      </c>
      <c r="H177" s="2" t="s">
        <v>11</v>
      </c>
    </row>
    <row r="178" spans="1:8" x14ac:dyDescent="0.3">
      <c r="A178" s="4" t="s">
        <v>220</v>
      </c>
      <c r="B178" s="2" t="s">
        <v>134</v>
      </c>
      <c r="C178" s="2" t="s">
        <v>82</v>
      </c>
      <c r="D178" s="2" t="s">
        <v>294</v>
      </c>
      <c r="E178" s="3">
        <v>1984</v>
      </c>
      <c r="F178" s="3">
        <v>2</v>
      </c>
      <c r="G178" s="2" t="s">
        <v>16</v>
      </c>
      <c r="H178" s="2" t="s">
        <v>30</v>
      </c>
    </row>
    <row r="179" spans="1:8" x14ac:dyDescent="0.3">
      <c r="A179" s="4" t="s">
        <v>221</v>
      </c>
      <c r="B179" s="2" t="s">
        <v>307</v>
      </c>
      <c r="C179" s="2" t="s">
        <v>56</v>
      </c>
      <c r="D179" s="2" t="s">
        <v>14</v>
      </c>
      <c r="E179" s="3">
        <v>1914</v>
      </c>
      <c r="F179" s="3">
        <v>0</v>
      </c>
      <c r="G179" s="2" t="s">
        <v>50</v>
      </c>
      <c r="H179" s="2" t="s">
        <v>30</v>
      </c>
    </row>
    <row r="180" spans="1:8" x14ac:dyDescent="0.3">
      <c r="A180" s="4" t="s">
        <v>222</v>
      </c>
      <c r="B180" s="2" t="s">
        <v>314</v>
      </c>
      <c r="C180" s="2" t="s">
        <v>128</v>
      </c>
      <c r="D180" s="2" t="s">
        <v>14</v>
      </c>
      <c r="E180" s="3">
        <v>2019</v>
      </c>
      <c r="F180" s="3">
        <v>1</v>
      </c>
      <c r="G180" s="2" t="s">
        <v>290</v>
      </c>
      <c r="H180" s="2" t="s">
        <v>30</v>
      </c>
    </row>
    <row r="181" spans="1:8" x14ac:dyDescent="0.3">
      <c r="A181" s="4" t="s">
        <v>223</v>
      </c>
      <c r="B181" s="2" t="s">
        <v>304</v>
      </c>
      <c r="C181" s="2" t="s">
        <v>13</v>
      </c>
      <c r="D181" s="2" t="s">
        <v>14</v>
      </c>
      <c r="E181" s="3">
        <v>1987</v>
      </c>
      <c r="F181" s="3">
        <v>2</v>
      </c>
      <c r="G181" s="2" t="s">
        <v>16</v>
      </c>
      <c r="H181" s="2" t="s">
        <v>11</v>
      </c>
    </row>
    <row r="182" spans="1:8" x14ac:dyDescent="0.3">
      <c r="A182" s="4" t="s">
        <v>224</v>
      </c>
      <c r="B182" s="2" t="s">
        <v>302</v>
      </c>
      <c r="C182" s="2" t="s">
        <v>37</v>
      </c>
      <c r="D182" s="2" t="s">
        <v>14</v>
      </c>
      <c r="E182" s="3">
        <v>1935</v>
      </c>
      <c r="F182" s="3">
        <v>0</v>
      </c>
      <c r="G182" s="2" t="s">
        <v>16</v>
      </c>
      <c r="H182" s="2" t="s">
        <v>11</v>
      </c>
    </row>
    <row r="183" spans="1:8" x14ac:dyDescent="0.3">
      <c r="A183" s="4" t="s">
        <v>225</v>
      </c>
      <c r="B183" s="2" t="s">
        <v>304</v>
      </c>
      <c r="C183" s="2" t="s">
        <v>13</v>
      </c>
      <c r="D183" s="2" t="s">
        <v>14</v>
      </c>
      <c r="E183" s="3">
        <v>1957</v>
      </c>
      <c r="F183" s="3">
        <v>2</v>
      </c>
      <c r="G183" s="2" t="s">
        <v>290</v>
      </c>
      <c r="H183" s="2" t="s">
        <v>11</v>
      </c>
    </row>
    <row r="184" spans="1:8" x14ac:dyDescent="0.3">
      <c r="A184" s="4" t="s">
        <v>226</v>
      </c>
      <c r="B184" s="2" t="s">
        <v>25</v>
      </c>
      <c r="C184" s="2" t="s">
        <v>26</v>
      </c>
      <c r="D184" s="2" t="s">
        <v>293</v>
      </c>
      <c r="E184" s="3">
        <v>2022</v>
      </c>
      <c r="F184" s="3">
        <v>1</v>
      </c>
      <c r="G184" s="2" t="s">
        <v>16</v>
      </c>
      <c r="H184" s="2" t="s">
        <v>30</v>
      </c>
    </row>
    <row r="185" spans="1:8" x14ac:dyDescent="0.3">
      <c r="A185" s="4" t="s">
        <v>227</v>
      </c>
      <c r="B185" s="2" t="s">
        <v>309</v>
      </c>
      <c r="C185" s="2" t="s">
        <v>65</v>
      </c>
      <c r="D185" s="2" t="s">
        <v>295</v>
      </c>
      <c r="E185" s="3">
        <v>1941</v>
      </c>
      <c r="F185" s="3">
        <v>0</v>
      </c>
      <c r="G185" s="2" t="s">
        <v>20</v>
      </c>
      <c r="H185" s="2" t="s">
        <v>30</v>
      </c>
    </row>
    <row r="186" spans="1:8" x14ac:dyDescent="0.3">
      <c r="A186" s="4" t="s">
        <v>228</v>
      </c>
      <c r="B186" s="2" t="s">
        <v>309</v>
      </c>
      <c r="C186" s="2" t="s">
        <v>65</v>
      </c>
      <c r="D186" s="2" t="s">
        <v>295</v>
      </c>
      <c r="E186" s="3">
        <v>1945</v>
      </c>
      <c r="F186" s="3">
        <v>2</v>
      </c>
      <c r="G186" s="2" t="s">
        <v>50</v>
      </c>
      <c r="H186" s="2" t="s">
        <v>30</v>
      </c>
    </row>
    <row r="187" spans="1:8" x14ac:dyDescent="0.3">
      <c r="A187" s="4" t="s">
        <v>229</v>
      </c>
      <c r="B187" s="2" t="s">
        <v>307</v>
      </c>
      <c r="C187" s="2" t="s">
        <v>56</v>
      </c>
      <c r="D187" s="2" t="s">
        <v>14</v>
      </c>
      <c r="E187" s="3">
        <v>1898</v>
      </c>
      <c r="F187" s="3">
        <v>2</v>
      </c>
      <c r="G187" s="2" t="s">
        <v>290</v>
      </c>
      <c r="H187" s="2" t="s">
        <v>30</v>
      </c>
    </row>
    <row r="188" spans="1:8" x14ac:dyDescent="0.3">
      <c r="A188" s="4" t="s">
        <v>230</v>
      </c>
      <c r="B188" s="2" t="s">
        <v>306</v>
      </c>
      <c r="C188" s="2" t="s">
        <v>48</v>
      </c>
      <c r="D188" s="2" t="s">
        <v>294</v>
      </c>
      <c r="E188" s="3">
        <v>1910</v>
      </c>
      <c r="F188" s="3">
        <v>0</v>
      </c>
      <c r="G188" s="2" t="s">
        <v>290</v>
      </c>
      <c r="H188" s="2" t="s">
        <v>30</v>
      </c>
    </row>
    <row r="189" spans="1:8" x14ac:dyDescent="0.3">
      <c r="A189" s="4" t="s">
        <v>231</v>
      </c>
      <c r="B189" s="2" t="s">
        <v>310</v>
      </c>
      <c r="C189" s="2" t="s">
        <v>71</v>
      </c>
      <c r="D189" s="2" t="s">
        <v>14</v>
      </c>
      <c r="E189" s="3">
        <v>1972</v>
      </c>
      <c r="F189" s="3">
        <v>2</v>
      </c>
      <c r="G189" s="2" t="s">
        <v>290</v>
      </c>
      <c r="H189" s="2" t="s">
        <v>30</v>
      </c>
    </row>
    <row r="190" spans="1:8" x14ac:dyDescent="0.3">
      <c r="A190" s="4" t="s">
        <v>232</v>
      </c>
      <c r="B190" s="2" t="s">
        <v>300</v>
      </c>
      <c r="C190" s="2" t="s">
        <v>291</v>
      </c>
      <c r="D190" s="2" t="s">
        <v>292</v>
      </c>
      <c r="E190" s="3">
        <v>1917</v>
      </c>
      <c r="F190" s="3">
        <v>1</v>
      </c>
      <c r="G190" s="2" t="s">
        <v>20</v>
      </c>
      <c r="H190" s="2" t="s">
        <v>30</v>
      </c>
    </row>
    <row r="191" spans="1:8" x14ac:dyDescent="0.3">
      <c r="A191" s="4" t="s">
        <v>233</v>
      </c>
      <c r="B191" s="2" t="s">
        <v>73</v>
      </c>
      <c r="C191" s="2" t="s">
        <v>74</v>
      </c>
      <c r="D191" s="2" t="s">
        <v>14</v>
      </c>
      <c r="E191" s="3">
        <v>1966</v>
      </c>
      <c r="F191" s="3">
        <v>3</v>
      </c>
      <c r="G191" s="2" t="s">
        <v>290</v>
      </c>
      <c r="H191" s="2" t="s">
        <v>30</v>
      </c>
    </row>
    <row r="192" spans="1:8" x14ac:dyDescent="0.3">
      <c r="A192" s="4" t="s">
        <v>234</v>
      </c>
      <c r="B192" s="2" t="s">
        <v>47</v>
      </c>
      <c r="C192" s="2" t="s">
        <v>48</v>
      </c>
      <c r="D192" s="2" t="s">
        <v>294</v>
      </c>
      <c r="E192" s="3">
        <v>2018</v>
      </c>
      <c r="F192" s="3">
        <v>0</v>
      </c>
      <c r="G192" s="2" t="s">
        <v>16</v>
      </c>
      <c r="H192" s="2" t="s">
        <v>11</v>
      </c>
    </row>
    <row r="193" spans="1:8" x14ac:dyDescent="0.3">
      <c r="A193" s="4" t="s">
        <v>235</v>
      </c>
      <c r="B193" s="2" t="s">
        <v>312</v>
      </c>
      <c r="C193" s="2" t="s">
        <v>88</v>
      </c>
      <c r="D193" s="2" t="s">
        <v>23</v>
      </c>
      <c r="E193" s="3">
        <v>1882</v>
      </c>
      <c r="F193" s="3">
        <v>2</v>
      </c>
      <c r="G193" s="2" t="s">
        <v>290</v>
      </c>
      <c r="H193" s="2" t="s">
        <v>11</v>
      </c>
    </row>
    <row r="194" spans="1:8" x14ac:dyDescent="0.3">
      <c r="A194" s="4" t="s">
        <v>236</v>
      </c>
      <c r="B194" s="2" t="s">
        <v>63</v>
      </c>
      <c r="C194" s="2" t="s">
        <v>18</v>
      </c>
      <c r="D194" s="2" t="s">
        <v>10</v>
      </c>
      <c r="E194" s="3">
        <v>1883</v>
      </c>
      <c r="F194" s="3">
        <v>1</v>
      </c>
      <c r="G194" s="2" t="s">
        <v>290</v>
      </c>
      <c r="H194" s="2" t="s">
        <v>11</v>
      </c>
    </row>
    <row r="195" spans="1:8" x14ac:dyDescent="0.3">
      <c r="A195" s="4" t="s">
        <v>237</v>
      </c>
      <c r="B195" s="2" t="s">
        <v>311</v>
      </c>
      <c r="C195" s="2" t="s">
        <v>13</v>
      </c>
      <c r="D195" s="2" t="s">
        <v>14</v>
      </c>
      <c r="E195" s="3">
        <v>2014</v>
      </c>
      <c r="F195" s="3">
        <v>2</v>
      </c>
      <c r="G195" s="2" t="s">
        <v>20</v>
      </c>
      <c r="H195" s="2" t="s">
        <v>11</v>
      </c>
    </row>
    <row r="196" spans="1:8" x14ac:dyDescent="0.3">
      <c r="A196" s="4" t="s">
        <v>238</v>
      </c>
      <c r="B196" s="2" t="s">
        <v>312</v>
      </c>
      <c r="C196" s="2" t="s">
        <v>88</v>
      </c>
      <c r="D196" s="2" t="s">
        <v>23</v>
      </c>
      <c r="E196" s="3">
        <v>1937</v>
      </c>
      <c r="F196" s="3">
        <v>3</v>
      </c>
      <c r="G196" s="2" t="s">
        <v>16</v>
      </c>
      <c r="H196" s="2" t="s">
        <v>11</v>
      </c>
    </row>
    <row r="197" spans="1:8" x14ac:dyDescent="0.3">
      <c r="A197" s="4" t="s">
        <v>239</v>
      </c>
      <c r="B197" s="2" t="s">
        <v>299</v>
      </c>
      <c r="C197" s="2" t="s">
        <v>13</v>
      </c>
      <c r="D197" s="2" t="s">
        <v>14</v>
      </c>
      <c r="E197" s="3">
        <v>1991</v>
      </c>
      <c r="F197" s="3">
        <v>0</v>
      </c>
      <c r="G197" s="2" t="s">
        <v>50</v>
      </c>
      <c r="H197" s="2" t="s">
        <v>11</v>
      </c>
    </row>
    <row r="198" spans="1:8" x14ac:dyDescent="0.3">
      <c r="A198" s="4" t="s">
        <v>240</v>
      </c>
      <c r="B198" s="2" t="s">
        <v>314</v>
      </c>
      <c r="C198" s="2" t="s">
        <v>128</v>
      </c>
      <c r="D198" s="2" t="s">
        <v>14</v>
      </c>
      <c r="E198" s="3">
        <v>1951</v>
      </c>
      <c r="F198" s="3">
        <v>2</v>
      </c>
      <c r="G198" s="2" t="s">
        <v>290</v>
      </c>
      <c r="H198" s="2" t="s">
        <v>30</v>
      </c>
    </row>
    <row r="199" spans="1:8" x14ac:dyDescent="0.3">
      <c r="A199" s="4" t="s">
        <v>241</v>
      </c>
      <c r="B199" s="2" t="s">
        <v>313</v>
      </c>
      <c r="C199" s="2" t="s">
        <v>94</v>
      </c>
      <c r="D199" s="2" t="s">
        <v>14</v>
      </c>
      <c r="E199" s="3">
        <v>1899</v>
      </c>
      <c r="F199" s="3">
        <v>3</v>
      </c>
      <c r="G199" s="2" t="s">
        <v>16</v>
      </c>
      <c r="H199" s="2" t="s">
        <v>30</v>
      </c>
    </row>
    <row r="200" spans="1:8" x14ac:dyDescent="0.3">
      <c r="A200" s="4" t="s">
        <v>242</v>
      </c>
      <c r="B200" s="2" t="s">
        <v>34</v>
      </c>
      <c r="C200" s="2" t="s">
        <v>9</v>
      </c>
      <c r="D200" s="2" t="s">
        <v>10</v>
      </c>
      <c r="E200" s="3">
        <v>1968</v>
      </c>
      <c r="F200" s="3">
        <v>1</v>
      </c>
      <c r="G200" s="2" t="s">
        <v>16</v>
      </c>
      <c r="H200" s="2" t="s">
        <v>11</v>
      </c>
    </row>
    <row r="201" spans="1:8" x14ac:dyDescent="0.3">
      <c r="A201" s="4" t="s">
        <v>243</v>
      </c>
      <c r="B201" s="2" t="s">
        <v>313</v>
      </c>
      <c r="C201" s="2" t="s">
        <v>94</v>
      </c>
      <c r="D201" s="2" t="s">
        <v>14</v>
      </c>
      <c r="E201" s="3">
        <v>1995</v>
      </c>
      <c r="F201" s="3">
        <v>1</v>
      </c>
      <c r="G201" s="2" t="s">
        <v>20</v>
      </c>
      <c r="H201" s="2" t="s">
        <v>30</v>
      </c>
    </row>
    <row r="202" spans="1:8" x14ac:dyDescent="0.3">
      <c r="F202"/>
    </row>
    <row r="203" spans="1:8" x14ac:dyDescent="0.3">
      <c r="F203"/>
    </row>
    <row r="204" spans="1:8" x14ac:dyDescent="0.3">
      <c r="F204"/>
    </row>
    <row r="205" spans="1:8" x14ac:dyDescent="0.3">
      <c r="F205"/>
    </row>
    <row r="206" spans="1:8" x14ac:dyDescent="0.3">
      <c r="F206"/>
    </row>
    <row r="207" spans="1:8" x14ac:dyDescent="0.3">
      <c r="F207"/>
    </row>
    <row r="208" spans="1:8" x14ac:dyDescent="0.3">
      <c r="F208"/>
    </row>
    <row r="209" spans="6:6" x14ac:dyDescent="0.3">
      <c r="F209"/>
    </row>
  </sheetData>
  <pageMargins left="0.75" right="0.75" top="1" bottom="1" header="0.5" footer="0.5"/>
  <headerFooter>
    <oddHeader>&amp;L&amp;"Aptos"&amp;6&amp;K0000FF Documento/Email Para uso compartido Público&amp;1#_x000D_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1:N601"/>
  <sheetViews>
    <sheetView topLeftCell="A391" workbookViewId="0">
      <selection activeCell="P5" sqref="P5"/>
    </sheetView>
  </sheetViews>
  <sheetFormatPr baseColWidth="10" defaultColWidth="9.109375" defaultRowHeight="14.4" x14ac:dyDescent="0.3"/>
  <cols>
    <col min="1" max="1" width="13.109375" customWidth="1"/>
    <col min="2" max="2" width="16.21875" customWidth="1"/>
    <col min="3" max="3" width="17.6640625" customWidth="1"/>
    <col min="4" max="4" width="9.33203125" customWidth="1"/>
    <col min="5" max="5" width="18.21875" customWidth="1"/>
    <col min="6" max="6" width="15.6640625" customWidth="1"/>
    <col min="7" max="7" width="19" customWidth="1"/>
    <col min="8" max="8" width="23.21875" customWidth="1"/>
    <col min="9" max="9" width="29.6640625" customWidth="1"/>
    <col min="10" max="10" width="23.77734375" customWidth="1"/>
    <col min="11" max="11" width="32.44140625" customWidth="1"/>
    <col min="12" max="14" width="18.21875" customWidth="1"/>
  </cols>
  <sheetData>
    <row r="1" spans="1:14" x14ac:dyDescent="0.3">
      <c r="A1" s="12" t="s">
        <v>244</v>
      </c>
      <c r="B1" s="12" t="s">
        <v>245</v>
      </c>
      <c r="C1" s="12" t="s">
        <v>246</v>
      </c>
      <c r="D1" s="12" t="s">
        <v>0</v>
      </c>
      <c r="E1" s="14" t="s">
        <v>247</v>
      </c>
      <c r="F1" s="12" t="s">
        <v>248</v>
      </c>
      <c r="G1" s="14" t="s">
        <v>249</v>
      </c>
      <c r="H1" s="12" t="s">
        <v>250</v>
      </c>
      <c r="I1" s="12" t="s">
        <v>1</v>
      </c>
      <c r="J1" s="12" t="s">
        <v>2</v>
      </c>
      <c r="K1" s="12" t="s">
        <v>3</v>
      </c>
      <c r="L1" s="12" t="s">
        <v>4</v>
      </c>
      <c r="M1" s="12" t="s">
        <v>6</v>
      </c>
      <c r="N1" s="12" t="s">
        <v>7</v>
      </c>
    </row>
    <row r="2" spans="1:14" x14ac:dyDescent="0.3">
      <c r="A2" s="5" t="s">
        <v>529</v>
      </c>
      <c r="B2" s="1">
        <v>45985</v>
      </c>
      <c r="C2" s="1" t="s">
        <v>289</v>
      </c>
      <c r="D2" s="4" t="s">
        <v>317</v>
      </c>
      <c r="E2" s="2" t="s">
        <v>251</v>
      </c>
      <c r="F2" s="2" t="s">
        <v>252</v>
      </c>
      <c r="G2" s="2" t="s">
        <v>253</v>
      </c>
      <c r="H2" s="3">
        <v>1</v>
      </c>
      <c r="I2" t="str">
        <f>IFERROR(VLOOKUP(Prestamos[[#This Row],[ID Libro]],Inventario_Libros!A:B,2,0),"Libro No Existe")</f>
        <v>El Aleph</v>
      </c>
      <c r="J2" t="str">
        <f>IFERROR(VLOOKUP(Prestamos[[#This Row],[ID Libro]],Inventario_Libros!A:C,3,0),"Libro No Existe")</f>
        <v>Jorge Luis Borges</v>
      </c>
      <c r="K2" t="str">
        <f>IFERROR(VLOOKUP(Prestamos[[#This Row],[ID Libro]],Inventario_Libros!A:D,4,0),"Libro No Existe")</f>
        <v>Cuentos / Fantasía Metafísica</v>
      </c>
      <c r="L2">
        <f>IFERROR(VLOOKUP(Prestamos[[#This Row],[ID Libro]],Inventario_Libros!A:E,5,0),"Libro No Existe")</f>
        <v>1941</v>
      </c>
      <c r="M2" t="str">
        <f>_xlfn.XLOOKUP(D:D,Inventario_Libros!A:A,Inventario_Libros!G:G,"No Existe",0)</f>
        <v>Est-1</v>
      </c>
      <c r="N2" t="str">
        <f>IFERROR(VLOOKUP(Prestamos[[#This Row],[ID Libro]],Inventario_Libros!A:H,8,0),"Libro No Existe")</f>
        <v>Activo</v>
      </c>
    </row>
    <row r="3" spans="1:14" x14ac:dyDescent="0.3">
      <c r="A3" s="5" t="s">
        <v>530</v>
      </c>
      <c r="B3" s="1">
        <v>45983</v>
      </c>
      <c r="C3" s="1">
        <v>46003</v>
      </c>
      <c r="D3" s="4" t="s">
        <v>318</v>
      </c>
      <c r="E3" s="2" t="s">
        <v>268</v>
      </c>
      <c r="F3" s="2" t="s">
        <v>252</v>
      </c>
      <c r="G3" s="2" t="s">
        <v>257</v>
      </c>
      <c r="H3" s="3">
        <v>5</v>
      </c>
      <c r="I3" t="str">
        <f>IFERROR(VLOOKUP(Prestamos[[#This Row],[ID Libro]],Inventario_Libros!A:B,2,0),"Libro No Existe")</f>
        <v>Ficciones</v>
      </c>
      <c r="J3" t="str">
        <f>IFERROR(VLOOKUP(Prestamos[[#This Row],[ID Libro]],Inventario_Libros!A:C,3,0),"Libro No Existe")</f>
        <v>Jorge Luis Borges</v>
      </c>
      <c r="K3" t="str">
        <f>IFERROR(VLOOKUP(Prestamos[[#This Row],[ID Libro]],Inventario_Libros!A:D,4,0),"Libro No Existe")</f>
        <v>Cuentos / Fantasía Metafísica</v>
      </c>
      <c r="L3">
        <f>IFERROR(VLOOKUP(Prestamos[[#This Row],[ID Libro]],Inventario_Libros!A:E,5,0),"Libro No Existe")</f>
        <v>1990</v>
      </c>
      <c r="M3" t="str">
        <f>_xlfn.XLOOKUP(D:D,Inventario_Libros!A:A,Inventario_Libros!G:G,"No Existe",0)</f>
        <v>A-1</v>
      </c>
      <c r="N3" t="str">
        <f>IFERROR(VLOOKUP(Prestamos[[#This Row],[ID Libro]],Inventario_Libros!A:H,8,0),"Libro No Existe")</f>
        <v>Retirado</v>
      </c>
    </row>
    <row r="4" spans="1:14" x14ac:dyDescent="0.3">
      <c r="A4" s="5" t="s">
        <v>531</v>
      </c>
      <c r="B4" s="1">
        <v>45982</v>
      </c>
      <c r="C4" s="1" t="s">
        <v>289</v>
      </c>
      <c r="D4" s="4" t="s">
        <v>319</v>
      </c>
      <c r="E4" s="2" t="s">
        <v>254</v>
      </c>
      <c r="F4" s="2" t="s">
        <v>255</v>
      </c>
      <c r="G4" s="2" t="s">
        <v>253</v>
      </c>
      <c r="H4" s="3">
        <v>1</v>
      </c>
      <c r="I4" t="str">
        <f>IFERROR(VLOOKUP(Prestamos[[#This Row],[ID Libro]],Inventario_Libros!A:B,2,0),"Libro No Existe")</f>
        <v>Crónica De Una Muerte Anunciada</v>
      </c>
      <c r="J4" t="str">
        <f>IFERROR(VLOOKUP(Prestamos[[#This Row],[ID Libro]],Inventario_Libros!A:C,3,0),"Libro No Existe")</f>
        <v>Gabriel García Márquez</v>
      </c>
      <c r="K4" t="str">
        <f>IFERROR(VLOOKUP(Prestamos[[#This Row],[ID Libro]],Inventario_Libros!A:D,4,0),"Libro No Existe")</f>
        <v>Novela</v>
      </c>
      <c r="L4">
        <f>IFERROR(VLOOKUP(Prestamos[[#This Row],[ID Libro]],Inventario_Libros!A:E,5,0),"Libro No Existe")</f>
        <v>1929</v>
      </c>
      <c r="M4" t="str">
        <f>_xlfn.XLOOKUP(D:D,Inventario_Libros!A:A,Inventario_Libros!G:G,"No Existe",0)</f>
        <v>Est-1</v>
      </c>
      <c r="N4" t="str">
        <f>IFERROR(VLOOKUP(Prestamos[[#This Row],[ID Libro]],Inventario_Libros!A:H,8,0),"Libro No Existe")</f>
        <v>Activo</v>
      </c>
    </row>
    <row r="5" spans="1:14" x14ac:dyDescent="0.3">
      <c r="A5" s="5" t="s">
        <v>532</v>
      </c>
      <c r="B5" s="1">
        <v>45981</v>
      </c>
      <c r="C5" s="1" t="s">
        <v>289</v>
      </c>
      <c r="D5" s="4" t="s">
        <v>320</v>
      </c>
      <c r="E5" s="2" t="s">
        <v>256</v>
      </c>
      <c r="F5" s="2" t="s">
        <v>252</v>
      </c>
      <c r="G5" s="2" t="s">
        <v>257</v>
      </c>
      <c r="H5" s="3">
        <v>7</v>
      </c>
      <c r="I5" t="str">
        <f>IFERROR(VLOOKUP(Prestamos[[#This Row],[ID Libro]],Inventario_Libros!A:B,2,0),"Libro No Existe")</f>
        <v>Matadero Cinco</v>
      </c>
      <c r="J5" t="str">
        <f>IFERROR(VLOOKUP(Prestamos[[#This Row],[ID Libro]],Inventario_Libros!A:C,3,0),"Libro No Existe")</f>
        <v>Kurt Vonnegut</v>
      </c>
      <c r="K5" t="str">
        <f>IFERROR(VLOOKUP(Prestamos[[#This Row],[ID Libro]],Inventario_Libros!A:D,4,0),"Libro No Existe")</f>
        <v>Ciencia Ficción</v>
      </c>
      <c r="L5">
        <f>IFERROR(VLOOKUP(Prestamos[[#This Row],[ID Libro]],Inventario_Libros!A:E,5,0),"Libro No Existe")</f>
        <v>1984</v>
      </c>
      <c r="M5" t="str">
        <f>_xlfn.XLOOKUP(D:D,Inventario_Libros!A:A,Inventario_Libros!G:G,"No Existe",0)</f>
        <v>A-1</v>
      </c>
      <c r="N5" t="str">
        <f>IFERROR(VLOOKUP(Prestamos[[#This Row],[ID Libro]],Inventario_Libros!A:H,8,0),"Libro No Existe")</f>
        <v>Retirado</v>
      </c>
    </row>
    <row r="6" spans="1:14" x14ac:dyDescent="0.3">
      <c r="A6" s="5" t="s">
        <v>533</v>
      </c>
      <c r="B6" s="1">
        <v>45980</v>
      </c>
      <c r="C6" s="1" t="s">
        <v>289</v>
      </c>
      <c r="D6" s="4" t="s">
        <v>321</v>
      </c>
      <c r="E6" s="2" t="s">
        <v>251</v>
      </c>
      <c r="F6" s="2" t="s">
        <v>258</v>
      </c>
      <c r="G6" s="2" t="s">
        <v>253</v>
      </c>
      <c r="H6" s="3">
        <v>1</v>
      </c>
      <c r="I6" t="str">
        <f>IFERROR(VLOOKUP(Prestamos[[#This Row],[ID Libro]],Inventario_Libros!A:B,2,0),"Libro No Existe")</f>
        <v>La Ciudad Y Los Perros</v>
      </c>
      <c r="J6" t="str">
        <f>IFERROR(VLOOKUP(Prestamos[[#This Row],[ID Libro]],Inventario_Libros!A:C,3,0),"Libro No Existe")</f>
        <v>Mario Vargas Llosa</v>
      </c>
      <c r="K6" t="str">
        <f>IFERROR(VLOOKUP(Prestamos[[#This Row],[ID Libro]],Inventario_Libros!A:D,4,0),"Libro No Existe")</f>
        <v>Novela</v>
      </c>
      <c r="L6">
        <f>IFERROR(VLOOKUP(Prestamos[[#This Row],[ID Libro]],Inventario_Libros!A:E,5,0),"Libro No Existe")</f>
        <v>1891</v>
      </c>
      <c r="M6" t="str">
        <f>_xlfn.XLOOKUP(D:D,Inventario_Libros!A:A,Inventario_Libros!G:G,"No Existe",0)</f>
        <v>Est-1</v>
      </c>
      <c r="N6" t="str">
        <f>IFERROR(VLOOKUP(Prestamos[[#This Row],[ID Libro]],Inventario_Libros!A:H,8,0),"Libro No Existe")</f>
        <v>Retirado</v>
      </c>
    </row>
    <row r="7" spans="1:14" x14ac:dyDescent="0.3">
      <c r="A7" s="5" t="s">
        <v>534</v>
      </c>
      <c r="B7" s="1">
        <v>45979</v>
      </c>
      <c r="C7" s="1" t="s">
        <v>289</v>
      </c>
      <c r="D7" s="4" t="s">
        <v>322</v>
      </c>
      <c r="E7" s="2" t="s">
        <v>259</v>
      </c>
      <c r="F7" s="2" t="s">
        <v>258</v>
      </c>
      <c r="G7" s="2" t="s">
        <v>253</v>
      </c>
      <c r="H7" s="3">
        <v>1</v>
      </c>
      <c r="I7" t="str">
        <f>IFERROR(VLOOKUP(Prestamos[[#This Row],[ID Libro]],Inventario_Libros!A:B,2,0),"Libro No Existe")</f>
        <v>Matar A Un Ruiseñor</v>
      </c>
      <c r="J7" t="str">
        <f>IFERROR(VLOOKUP(Prestamos[[#This Row],[ID Libro]],Inventario_Libros!A:C,3,0),"Libro No Existe")</f>
        <v>Harper Lee</v>
      </c>
      <c r="K7" t="str">
        <f>IFERROR(VLOOKUP(Prestamos[[#This Row],[ID Libro]],Inventario_Libros!A:D,4,0),"Libro No Existe")</f>
        <v>Novela</v>
      </c>
      <c r="L7">
        <f>IFERROR(VLOOKUP(Prestamos[[#This Row],[ID Libro]],Inventario_Libros!A:E,5,0),"Libro No Existe")</f>
        <v>1967</v>
      </c>
      <c r="M7" t="str">
        <f>_xlfn.XLOOKUP(D:D,Inventario_Libros!A:A,Inventario_Libros!G:G,"No Existe",0)</f>
        <v>C-3</v>
      </c>
      <c r="N7" t="str">
        <f>IFERROR(VLOOKUP(Prestamos[[#This Row],[ID Libro]],Inventario_Libros!A:H,8,0),"Libro No Existe")</f>
        <v>Activo</v>
      </c>
    </row>
    <row r="8" spans="1:14" x14ac:dyDescent="0.3">
      <c r="A8" s="5" t="s">
        <v>535</v>
      </c>
      <c r="B8" s="1">
        <v>45977</v>
      </c>
      <c r="C8" s="1">
        <v>45997</v>
      </c>
      <c r="D8" s="4" t="s">
        <v>323</v>
      </c>
      <c r="E8" s="2" t="s">
        <v>270</v>
      </c>
      <c r="F8" s="2" t="s">
        <v>255</v>
      </c>
      <c r="G8" s="2" t="s">
        <v>257</v>
      </c>
      <c r="H8" s="3">
        <v>5</v>
      </c>
      <c r="I8" t="str">
        <f>IFERROR(VLOOKUP(Prestamos[[#This Row],[ID Libro]],Inventario_Libros!A:B,2,0),"Libro No Existe")</f>
        <v>La Tregua</v>
      </c>
      <c r="J8" t="str">
        <f>IFERROR(VLOOKUP(Prestamos[[#This Row],[ID Libro]],Inventario_Libros!A:C,3,0),"Libro No Existe")</f>
        <v>Mario Benedetti</v>
      </c>
      <c r="K8" t="str">
        <f>IFERROR(VLOOKUP(Prestamos[[#This Row],[ID Libro]],Inventario_Libros!A:D,4,0),"Libro No Existe")</f>
        <v>Novela</v>
      </c>
      <c r="L8">
        <f>IFERROR(VLOOKUP(Prestamos[[#This Row],[ID Libro]],Inventario_Libros!A:E,5,0),"Libro No Existe")</f>
        <v>2004</v>
      </c>
      <c r="M8" t="str">
        <f>_xlfn.XLOOKUP(D:D,Inventario_Libros!A:A,Inventario_Libros!G:G,"No Existe",0)</f>
        <v>Est-1</v>
      </c>
      <c r="N8" t="str">
        <f>IFERROR(VLOOKUP(Prestamos[[#This Row],[ID Libro]],Inventario_Libros!A:H,8,0),"Libro No Existe")</f>
        <v>Retirado</v>
      </c>
    </row>
    <row r="9" spans="1:14" x14ac:dyDescent="0.3">
      <c r="A9" s="5" t="s">
        <v>536</v>
      </c>
      <c r="B9" s="1">
        <v>45974</v>
      </c>
      <c r="C9" s="1" t="s">
        <v>289</v>
      </c>
      <c r="D9" s="4" t="s">
        <v>324</v>
      </c>
      <c r="E9" s="2" t="s">
        <v>260</v>
      </c>
      <c r="F9" s="2" t="s">
        <v>263</v>
      </c>
      <c r="G9" s="2" t="s">
        <v>253</v>
      </c>
      <c r="H9" s="3">
        <v>1</v>
      </c>
      <c r="I9" t="str">
        <f>IFERROR(VLOOKUP(Prestamos[[#This Row],[ID Libro]],Inventario_Libros!A:B,2,0),"Libro No Existe")</f>
        <v>Ficciones</v>
      </c>
      <c r="J9" t="str">
        <f>IFERROR(VLOOKUP(Prestamos[[#This Row],[ID Libro]],Inventario_Libros!A:C,3,0),"Libro No Existe")</f>
        <v>Jorge Luis Borges</v>
      </c>
      <c r="K9" t="str">
        <f>IFERROR(VLOOKUP(Prestamos[[#This Row],[ID Libro]],Inventario_Libros!A:D,4,0),"Libro No Existe")</f>
        <v>Cuentos / Fantasía Metafísica</v>
      </c>
      <c r="L9">
        <f>IFERROR(VLOOKUP(Prestamos[[#This Row],[ID Libro]],Inventario_Libros!A:E,5,0),"Libro No Existe")</f>
        <v>1938</v>
      </c>
      <c r="M9" t="str">
        <f>_xlfn.XLOOKUP(D:D,Inventario_Libros!A:A,Inventario_Libros!G:G,"No Existe",0)</f>
        <v>A-1</v>
      </c>
      <c r="N9" t="str">
        <f>IFERROR(VLOOKUP(Prestamos[[#This Row],[ID Libro]],Inventario_Libros!A:H,8,0),"Libro No Existe")</f>
        <v>Retirado</v>
      </c>
    </row>
    <row r="10" spans="1:14" x14ac:dyDescent="0.3">
      <c r="A10" s="5" t="s">
        <v>537</v>
      </c>
      <c r="B10" s="1">
        <v>45973</v>
      </c>
      <c r="C10" s="1" t="s">
        <v>289</v>
      </c>
      <c r="D10" s="4" t="s">
        <v>325</v>
      </c>
      <c r="E10" s="2" t="s">
        <v>261</v>
      </c>
      <c r="F10" s="2" t="s">
        <v>263</v>
      </c>
      <c r="G10" s="2" t="s">
        <v>253</v>
      </c>
      <c r="H10" s="3">
        <v>1</v>
      </c>
      <c r="I10" t="str">
        <f>IFERROR(VLOOKUP(Prestamos[[#This Row],[ID Libro]],Inventario_Libros!A:B,2,0),"Libro No Existe")</f>
        <v>La Iliada</v>
      </c>
      <c r="J10" t="str">
        <f>IFERROR(VLOOKUP(Prestamos[[#This Row],[ID Libro]],Inventario_Libros!A:C,3,0),"Libro No Existe")</f>
        <v>Homero</v>
      </c>
      <c r="K10" t="str">
        <f>IFERROR(VLOOKUP(Prestamos[[#This Row],[ID Libro]],Inventario_Libros!A:D,4,0),"Libro No Existe")</f>
        <v>Clásicos</v>
      </c>
      <c r="L10">
        <f>IFERROR(VLOOKUP(Prestamos[[#This Row],[ID Libro]],Inventario_Libros!A:E,5,0),"Libro No Existe")</f>
        <v>1993</v>
      </c>
      <c r="M10" t="str">
        <f>_xlfn.XLOOKUP(D:D,Inventario_Libros!A:A,Inventario_Libros!G:G,"No Existe",0)</f>
        <v>A-1</v>
      </c>
      <c r="N10" t="str">
        <f>IFERROR(VLOOKUP(Prestamos[[#This Row],[ID Libro]],Inventario_Libros!A:H,8,0),"Libro No Existe")</f>
        <v>Retirado</v>
      </c>
    </row>
    <row r="11" spans="1:14" x14ac:dyDescent="0.3">
      <c r="A11" s="5" t="s">
        <v>538</v>
      </c>
      <c r="B11" s="1">
        <v>45971</v>
      </c>
      <c r="C11" s="1" t="s">
        <v>289</v>
      </c>
      <c r="D11" s="4" t="s">
        <v>326</v>
      </c>
      <c r="E11" s="2" t="s">
        <v>262</v>
      </c>
      <c r="F11" s="2" t="s">
        <v>263</v>
      </c>
      <c r="G11" s="2" t="s">
        <v>257</v>
      </c>
      <c r="H11" s="3">
        <v>7</v>
      </c>
      <c r="I11" t="str">
        <f>IFERROR(VLOOKUP(Prestamos[[#This Row],[ID Libro]],Inventario_Libros!A:B,2,0),"Libro No Existe")</f>
        <v>Orgullo Y Prejuicio</v>
      </c>
      <c r="J11" t="str">
        <f>IFERROR(VLOOKUP(Prestamos[[#This Row],[ID Libro]],Inventario_Libros!A:C,3,0),"Libro No Existe")</f>
        <v>Jane Austen</v>
      </c>
      <c r="K11" t="str">
        <f>IFERROR(VLOOKUP(Prestamos[[#This Row],[ID Libro]],Inventario_Libros!A:D,4,0),"Libro No Existe")</f>
        <v>Novela</v>
      </c>
      <c r="L11">
        <f>IFERROR(VLOOKUP(Prestamos[[#This Row],[ID Libro]],Inventario_Libros!A:E,5,0),"Libro No Existe")</f>
        <v>2013</v>
      </c>
      <c r="M11" t="str">
        <f>_xlfn.XLOOKUP(D:D,Inventario_Libros!A:A,Inventario_Libros!G:G,"No Existe",0)</f>
        <v>Est-1</v>
      </c>
      <c r="N11" t="str">
        <f>IFERROR(VLOOKUP(Prestamos[[#This Row],[ID Libro]],Inventario_Libros!A:H,8,0),"Libro No Existe")</f>
        <v>Activo</v>
      </c>
    </row>
    <row r="12" spans="1:14" x14ac:dyDescent="0.3">
      <c r="A12" s="5" t="s">
        <v>539</v>
      </c>
      <c r="B12" s="1">
        <v>45965</v>
      </c>
      <c r="C12" s="1" t="s">
        <v>289</v>
      </c>
      <c r="D12" s="4" t="s">
        <v>327</v>
      </c>
      <c r="E12" s="2" t="s">
        <v>264</v>
      </c>
      <c r="F12" s="2" t="s">
        <v>263</v>
      </c>
      <c r="G12" s="2" t="s">
        <v>253</v>
      </c>
      <c r="H12" s="3">
        <v>1</v>
      </c>
      <c r="I12" t="str">
        <f>IFERROR(VLOOKUP(Prestamos[[#This Row],[ID Libro]],Inventario_Libros!A:B,2,0),"Libro No Existe")</f>
        <v>El Principito</v>
      </c>
      <c r="J12" t="str">
        <f>IFERROR(VLOOKUP(Prestamos[[#This Row],[ID Libro]],Inventario_Libros!A:C,3,0),"Libro No Existe")</f>
        <v>Antoine De Saint-Exupéry</v>
      </c>
      <c r="K12" t="str">
        <f>IFERROR(VLOOKUP(Prestamos[[#This Row],[ID Libro]],Inventario_Libros!A:D,4,0),"Libro No Existe")</f>
        <v>Literatura Infantil / Fábula Filosófica</v>
      </c>
      <c r="L12">
        <f>IFERROR(VLOOKUP(Prestamos[[#This Row],[ID Libro]],Inventario_Libros!A:E,5,0),"Libro No Existe")</f>
        <v>1980</v>
      </c>
      <c r="M12" t="str">
        <f>_xlfn.XLOOKUP(D:D,Inventario_Libros!A:A,Inventario_Libros!G:G,"No Existe",0)</f>
        <v>Est-1</v>
      </c>
      <c r="N12" t="str">
        <f>IFERROR(VLOOKUP(Prestamos[[#This Row],[ID Libro]],Inventario_Libros!A:H,8,0),"Libro No Existe")</f>
        <v>Retirado</v>
      </c>
    </row>
    <row r="13" spans="1:14" x14ac:dyDescent="0.3">
      <c r="A13" s="5" t="s">
        <v>540</v>
      </c>
      <c r="B13" s="1">
        <v>45963</v>
      </c>
      <c r="C13" s="1" t="s">
        <v>289</v>
      </c>
      <c r="D13" s="4" t="s">
        <v>326</v>
      </c>
      <c r="E13" s="2" t="s">
        <v>260</v>
      </c>
      <c r="F13" s="2" t="s">
        <v>263</v>
      </c>
      <c r="G13" s="2" t="s">
        <v>253</v>
      </c>
      <c r="H13" s="3">
        <v>0</v>
      </c>
      <c r="I13" t="str">
        <f>IFERROR(VLOOKUP(Prestamos[[#This Row],[ID Libro]],Inventario_Libros!A:B,2,0),"Libro No Existe")</f>
        <v>Orgullo Y Prejuicio</v>
      </c>
      <c r="J13" t="str">
        <f>IFERROR(VLOOKUP(Prestamos[[#This Row],[ID Libro]],Inventario_Libros!A:C,3,0),"Libro No Existe")</f>
        <v>Jane Austen</v>
      </c>
      <c r="K13" t="str">
        <f>IFERROR(VLOOKUP(Prestamos[[#This Row],[ID Libro]],Inventario_Libros!A:D,4,0),"Libro No Existe")</f>
        <v>Novela</v>
      </c>
      <c r="L13">
        <f>IFERROR(VLOOKUP(Prestamos[[#This Row],[ID Libro]],Inventario_Libros!A:E,5,0),"Libro No Existe")</f>
        <v>2013</v>
      </c>
      <c r="M13" t="str">
        <f>_xlfn.XLOOKUP(D:D,Inventario_Libros!A:A,Inventario_Libros!G:G,"No Existe",0)</f>
        <v>Est-1</v>
      </c>
      <c r="N13" t="str">
        <f>IFERROR(VLOOKUP(Prestamos[[#This Row],[ID Libro]],Inventario_Libros!A:H,8,0),"Libro No Existe")</f>
        <v>Activo</v>
      </c>
    </row>
    <row r="14" spans="1:14" x14ac:dyDescent="0.3">
      <c r="A14" s="5" t="s">
        <v>541</v>
      </c>
      <c r="B14" s="1">
        <v>45962</v>
      </c>
      <c r="C14" s="1" t="s">
        <v>289</v>
      </c>
      <c r="D14" s="4" t="s">
        <v>328</v>
      </c>
      <c r="E14" s="2" t="s">
        <v>254</v>
      </c>
      <c r="F14" s="2" t="s">
        <v>258</v>
      </c>
      <c r="G14" s="2" t="s">
        <v>257</v>
      </c>
      <c r="H14" s="3">
        <v>7</v>
      </c>
      <c r="I14" t="str">
        <f>IFERROR(VLOOKUP(Prestamos[[#This Row],[ID Libro]],Inventario_Libros!A:B,2,0),"Libro No Existe")</f>
        <v>Rebelión En La Granja</v>
      </c>
      <c r="J14" t="str">
        <f>IFERROR(VLOOKUP(Prestamos[[#This Row],[ID Libro]],Inventario_Libros!A:C,3,0),"Libro No Existe")</f>
        <v>George Orwell</v>
      </c>
      <c r="K14" t="str">
        <f>IFERROR(VLOOKUP(Prestamos[[#This Row],[ID Libro]],Inventario_Libros!A:D,4,0),"Libro No Existe")</f>
        <v>Ciencia Ficción</v>
      </c>
      <c r="L14">
        <f>IFERROR(VLOOKUP(Prestamos[[#This Row],[ID Libro]],Inventario_Libros!A:E,5,0),"Libro No Existe")</f>
        <v>1996</v>
      </c>
      <c r="M14" t="str">
        <f>_xlfn.XLOOKUP(D:D,Inventario_Libros!A:A,Inventario_Libros!G:G,"No Existe",0)</f>
        <v>C-3</v>
      </c>
      <c r="N14" t="str">
        <f>IFERROR(VLOOKUP(Prestamos[[#This Row],[ID Libro]],Inventario_Libros!A:H,8,0),"Libro No Existe")</f>
        <v>Retirado</v>
      </c>
    </row>
    <row r="15" spans="1:14" x14ac:dyDescent="0.3">
      <c r="A15" s="5" t="s">
        <v>542</v>
      </c>
      <c r="B15" s="1">
        <v>45954</v>
      </c>
      <c r="C15" s="1">
        <v>45971</v>
      </c>
      <c r="D15" s="4" t="s">
        <v>329</v>
      </c>
      <c r="E15" s="2" t="s">
        <v>261</v>
      </c>
      <c r="F15" s="2" t="s">
        <v>252</v>
      </c>
      <c r="G15" s="2" t="s">
        <v>257</v>
      </c>
      <c r="H15" s="3">
        <v>2</v>
      </c>
      <c r="I15" t="str">
        <f>IFERROR(VLOOKUP(Prestamos[[#This Row],[ID Libro]],Inventario_Libros!A:B,2,0),"Libro No Existe")</f>
        <v>La Iliada</v>
      </c>
      <c r="J15" t="str">
        <f>IFERROR(VLOOKUP(Prestamos[[#This Row],[ID Libro]],Inventario_Libros!A:C,3,0),"Libro No Existe")</f>
        <v>Homero</v>
      </c>
      <c r="K15" t="str">
        <f>IFERROR(VLOOKUP(Prestamos[[#This Row],[ID Libro]],Inventario_Libros!A:D,4,0),"Libro No Existe")</f>
        <v>Clásicos</v>
      </c>
      <c r="L15">
        <f>IFERROR(VLOOKUP(Prestamos[[#This Row],[ID Libro]],Inventario_Libros!A:E,5,0),"Libro No Existe")</f>
        <v>1968</v>
      </c>
      <c r="M15" t="str">
        <f>_xlfn.XLOOKUP(D:D,Inventario_Libros!A:A,Inventario_Libros!G:G,"No Existe",0)</f>
        <v>A-1</v>
      </c>
      <c r="N15" t="str">
        <f>IFERROR(VLOOKUP(Prestamos[[#This Row],[ID Libro]],Inventario_Libros!A:H,8,0),"Libro No Existe")</f>
        <v>Activo</v>
      </c>
    </row>
    <row r="16" spans="1:14" x14ac:dyDescent="0.3">
      <c r="A16" s="5" t="s">
        <v>543</v>
      </c>
      <c r="B16" s="1">
        <v>45952</v>
      </c>
      <c r="C16" s="1" t="s">
        <v>289</v>
      </c>
      <c r="D16" s="4" t="s">
        <v>330</v>
      </c>
      <c r="E16" s="2" t="s">
        <v>262</v>
      </c>
      <c r="F16" s="2" t="s">
        <v>258</v>
      </c>
      <c r="G16" s="2" t="s">
        <v>257</v>
      </c>
      <c r="H16" s="3">
        <v>7</v>
      </c>
      <c r="I16" t="str">
        <f>IFERROR(VLOOKUP(Prestamos[[#This Row],[ID Libro]],Inventario_Libros!A:B,2,0),"Libro No Existe")</f>
        <v>Matadero Cinco</v>
      </c>
      <c r="J16" t="str">
        <f>IFERROR(VLOOKUP(Prestamos[[#This Row],[ID Libro]],Inventario_Libros!A:C,3,0),"Libro No Existe")</f>
        <v>Kurt Vonnegut</v>
      </c>
      <c r="K16" t="str">
        <f>IFERROR(VLOOKUP(Prestamos[[#This Row],[ID Libro]],Inventario_Libros!A:D,4,0),"Libro No Existe")</f>
        <v>Ciencia Ficción</v>
      </c>
      <c r="L16">
        <f>IFERROR(VLOOKUP(Prestamos[[#This Row],[ID Libro]],Inventario_Libros!A:E,5,0),"Libro No Existe")</f>
        <v>1989</v>
      </c>
      <c r="M16" t="str">
        <f>_xlfn.XLOOKUP(D:D,Inventario_Libros!A:A,Inventario_Libros!G:G,"No Existe",0)</f>
        <v>B-2</v>
      </c>
      <c r="N16" t="str">
        <f>IFERROR(VLOOKUP(Prestamos[[#This Row],[ID Libro]],Inventario_Libros!A:H,8,0),"Libro No Existe")</f>
        <v>Retirado</v>
      </c>
    </row>
    <row r="17" spans="1:14" x14ac:dyDescent="0.3">
      <c r="A17" s="5" t="s">
        <v>544</v>
      </c>
      <c r="B17" s="1">
        <v>45952</v>
      </c>
      <c r="C17" s="1">
        <v>45968</v>
      </c>
      <c r="D17" s="4" t="s">
        <v>331</v>
      </c>
      <c r="E17" s="2" t="s">
        <v>265</v>
      </c>
      <c r="F17" s="2" t="s">
        <v>263</v>
      </c>
      <c r="G17" s="2" t="s">
        <v>257</v>
      </c>
      <c r="H17" s="3">
        <v>1</v>
      </c>
      <c r="I17" t="str">
        <f>IFERROR(VLOOKUP(Prestamos[[#This Row],[ID Libro]],Inventario_Libros!A:B,2,0),"Libro No Existe")</f>
        <v>Rebelión En La Granja</v>
      </c>
      <c r="J17" t="str">
        <f>IFERROR(VLOOKUP(Prestamos[[#This Row],[ID Libro]],Inventario_Libros!A:C,3,0),"Libro No Existe")</f>
        <v>George Orwell</v>
      </c>
      <c r="K17" t="str">
        <f>IFERROR(VLOOKUP(Prestamos[[#This Row],[ID Libro]],Inventario_Libros!A:D,4,0),"Libro No Existe")</f>
        <v>Ciencia Ficción</v>
      </c>
      <c r="L17">
        <f>IFERROR(VLOOKUP(Prestamos[[#This Row],[ID Libro]],Inventario_Libros!A:E,5,0),"Libro No Existe")</f>
        <v>1986</v>
      </c>
      <c r="M17" t="str">
        <f>_xlfn.XLOOKUP(D:D,Inventario_Libros!A:A,Inventario_Libros!G:G,"No Existe",0)</f>
        <v>Est-1</v>
      </c>
      <c r="N17" t="str">
        <f>IFERROR(VLOOKUP(Prestamos[[#This Row],[ID Libro]],Inventario_Libros!A:H,8,0),"Libro No Existe")</f>
        <v>Retirado</v>
      </c>
    </row>
    <row r="18" spans="1:14" x14ac:dyDescent="0.3">
      <c r="A18" s="5" t="s">
        <v>545</v>
      </c>
      <c r="B18" s="1">
        <v>45951</v>
      </c>
      <c r="C18" s="1" t="s">
        <v>289</v>
      </c>
      <c r="D18" s="4" t="s">
        <v>332</v>
      </c>
      <c r="E18" s="2" t="s">
        <v>265</v>
      </c>
      <c r="F18" s="2" t="s">
        <v>263</v>
      </c>
      <c r="G18" s="2" t="s">
        <v>253</v>
      </c>
      <c r="H18" s="3">
        <v>1</v>
      </c>
      <c r="I18" t="str">
        <f>IFERROR(VLOOKUP(Prestamos[[#This Row],[ID Libro]],Inventario_Libros!A:B,2,0),"Libro No Existe")</f>
        <v>La Casa De Los Espíritus</v>
      </c>
      <c r="J18" t="str">
        <f>IFERROR(VLOOKUP(Prestamos[[#This Row],[ID Libro]],Inventario_Libros!A:C,3,0),"Libro No Existe")</f>
        <v>Isabel Allende</v>
      </c>
      <c r="K18" t="str">
        <f>IFERROR(VLOOKUP(Prestamos[[#This Row],[ID Libro]],Inventario_Libros!A:D,4,0),"Libro No Existe")</f>
        <v>Novela</v>
      </c>
      <c r="L18">
        <f>IFERROR(VLOOKUP(Prestamos[[#This Row],[ID Libro]],Inventario_Libros!A:E,5,0),"Libro No Existe")</f>
        <v>2023</v>
      </c>
      <c r="M18" t="str">
        <f>_xlfn.XLOOKUP(D:D,Inventario_Libros!A:A,Inventario_Libros!G:G,"No Existe",0)</f>
        <v>B-2</v>
      </c>
      <c r="N18" t="str">
        <f>IFERROR(VLOOKUP(Prestamos[[#This Row],[ID Libro]],Inventario_Libros!A:H,8,0),"Libro No Existe")</f>
        <v>Retirado</v>
      </c>
    </row>
    <row r="19" spans="1:14" x14ac:dyDescent="0.3">
      <c r="A19" s="5" t="s">
        <v>546</v>
      </c>
      <c r="B19" s="1">
        <v>45950</v>
      </c>
      <c r="C19" s="1" t="s">
        <v>289</v>
      </c>
      <c r="D19" s="4" t="s">
        <v>333</v>
      </c>
      <c r="E19" s="2" t="s">
        <v>266</v>
      </c>
      <c r="F19" s="2" t="s">
        <v>263</v>
      </c>
      <c r="G19" s="2" t="s">
        <v>253</v>
      </c>
      <c r="H19" s="3">
        <v>1</v>
      </c>
      <c r="I19" t="str">
        <f>IFERROR(VLOOKUP(Prestamos[[#This Row],[ID Libro]],Inventario_Libros!A:B,2,0),"Libro No Existe")</f>
        <v>Sobre La Felicidad</v>
      </c>
      <c r="J19" t="str">
        <f>IFERROR(VLOOKUP(Prestamos[[#This Row],[ID Libro]],Inventario_Libros!A:C,3,0),"Libro No Existe")</f>
        <v>Lucio Anneo Séneca</v>
      </c>
      <c r="K19" t="str">
        <f>IFERROR(VLOOKUP(Prestamos[[#This Row],[ID Libro]],Inventario_Libros!A:D,4,0),"Libro No Existe")</f>
        <v>Filosofía Y Pensamiento</v>
      </c>
      <c r="L19">
        <f>IFERROR(VLOOKUP(Prestamos[[#This Row],[ID Libro]],Inventario_Libros!A:E,5,0),"Libro No Existe")</f>
        <v>1903</v>
      </c>
      <c r="M19" t="str">
        <f>_xlfn.XLOOKUP(D:D,Inventario_Libros!A:A,Inventario_Libros!G:G,"No Existe",0)</f>
        <v>A-1</v>
      </c>
      <c r="N19" t="str">
        <f>IFERROR(VLOOKUP(Prestamos[[#This Row],[ID Libro]],Inventario_Libros!A:H,8,0),"Libro No Existe")</f>
        <v>Activo</v>
      </c>
    </row>
    <row r="20" spans="1:14" x14ac:dyDescent="0.3">
      <c r="A20" s="5" t="s">
        <v>547</v>
      </c>
      <c r="B20" s="1">
        <v>45947</v>
      </c>
      <c r="C20" s="1" t="s">
        <v>289</v>
      </c>
      <c r="D20" s="4" t="s">
        <v>334</v>
      </c>
      <c r="E20" s="2" t="s">
        <v>265</v>
      </c>
      <c r="F20" s="2" t="s">
        <v>255</v>
      </c>
      <c r="G20" s="2" t="s">
        <v>257</v>
      </c>
      <c r="H20" s="3">
        <v>7</v>
      </c>
      <c r="I20" t="str">
        <f>IFERROR(VLOOKUP(Prestamos[[#This Row],[ID Libro]],Inventario_Libros!A:B,2,0),"Libro No Existe")</f>
        <v>Rayuela</v>
      </c>
      <c r="J20" t="str">
        <f>IFERROR(VLOOKUP(Prestamos[[#This Row],[ID Libro]],Inventario_Libros!A:C,3,0),"Libro No Existe")</f>
        <v>Julio Cortázar</v>
      </c>
      <c r="K20" t="str">
        <f>IFERROR(VLOOKUP(Prestamos[[#This Row],[ID Libro]],Inventario_Libros!A:D,4,0),"Libro No Existe")</f>
        <v>Novela</v>
      </c>
      <c r="L20">
        <f>IFERROR(VLOOKUP(Prestamos[[#This Row],[ID Libro]],Inventario_Libros!A:E,5,0),"Libro No Existe")</f>
        <v>2018</v>
      </c>
      <c r="M20" t="str">
        <f>_xlfn.XLOOKUP(D:D,Inventario_Libros!A:A,Inventario_Libros!G:G,"No Existe",0)</f>
        <v>B-2</v>
      </c>
      <c r="N20" t="str">
        <f>IFERROR(VLOOKUP(Prestamos[[#This Row],[ID Libro]],Inventario_Libros!A:H,8,0),"Libro No Existe")</f>
        <v>Retirado</v>
      </c>
    </row>
    <row r="21" spans="1:14" x14ac:dyDescent="0.3">
      <c r="A21" s="5" t="s">
        <v>548</v>
      </c>
      <c r="B21" s="1">
        <v>45944</v>
      </c>
      <c r="C21" s="1" t="s">
        <v>289</v>
      </c>
      <c r="D21" s="4" t="s">
        <v>335</v>
      </c>
      <c r="E21" s="2" t="s">
        <v>264</v>
      </c>
      <c r="F21" s="2" t="s">
        <v>258</v>
      </c>
      <c r="G21" s="2" t="s">
        <v>257</v>
      </c>
      <c r="H21" s="3">
        <v>7</v>
      </c>
      <c r="I21" t="str">
        <f>IFERROR(VLOOKUP(Prestamos[[#This Row],[ID Libro]],Inventario_Libros!A:B,2,0),"Libro No Existe")</f>
        <v>El Código Da Vinci</v>
      </c>
      <c r="J21" t="str">
        <f>IFERROR(VLOOKUP(Prestamos[[#This Row],[ID Libro]],Inventario_Libros!A:C,3,0),"Libro No Existe")</f>
        <v>Dan Brown</v>
      </c>
      <c r="K21" t="str">
        <f>IFERROR(VLOOKUP(Prestamos[[#This Row],[ID Libro]],Inventario_Libros!A:D,4,0),"Libro No Existe")</f>
        <v>Misterio</v>
      </c>
      <c r="L21">
        <f>IFERROR(VLOOKUP(Prestamos[[#This Row],[ID Libro]],Inventario_Libros!A:E,5,0),"Libro No Existe")</f>
        <v>1966</v>
      </c>
      <c r="M21" t="str">
        <f>_xlfn.XLOOKUP(D:D,Inventario_Libros!A:A,Inventario_Libros!G:G,"No Existe",0)</f>
        <v>C-3</v>
      </c>
      <c r="N21" t="str">
        <f>IFERROR(VLOOKUP(Prestamos[[#This Row],[ID Libro]],Inventario_Libros!A:H,8,0),"Libro No Existe")</f>
        <v>Retirado</v>
      </c>
    </row>
    <row r="22" spans="1:14" x14ac:dyDescent="0.3">
      <c r="A22" s="5" t="s">
        <v>549</v>
      </c>
      <c r="B22" s="1">
        <v>45944</v>
      </c>
      <c r="C22" s="1">
        <v>45964</v>
      </c>
      <c r="D22" s="4" t="s">
        <v>322</v>
      </c>
      <c r="E22" s="2" t="s">
        <v>267</v>
      </c>
      <c r="F22" s="2" t="s">
        <v>255</v>
      </c>
      <c r="G22" s="2" t="s">
        <v>257</v>
      </c>
      <c r="H22" s="3">
        <v>5</v>
      </c>
      <c r="I22" t="str">
        <f>IFERROR(VLOOKUP(Prestamos[[#This Row],[ID Libro]],Inventario_Libros!A:B,2,0),"Libro No Existe")</f>
        <v>Matar A Un Ruiseñor</v>
      </c>
      <c r="J22" t="str">
        <f>IFERROR(VLOOKUP(Prestamos[[#This Row],[ID Libro]],Inventario_Libros!A:C,3,0),"Libro No Existe")</f>
        <v>Harper Lee</v>
      </c>
      <c r="K22" t="str">
        <f>IFERROR(VLOOKUP(Prestamos[[#This Row],[ID Libro]],Inventario_Libros!A:D,4,0),"Libro No Existe")</f>
        <v>Novela</v>
      </c>
      <c r="L22">
        <f>IFERROR(VLOOKUP(Prestamos[[#This Row],[ID Libro]],Inventario_Libros!A:E,5,0),"Libro No Existe")</f>
        <v>1967</v>
      </c>
      <c r="M22" t="str">
        <f>_xlfn.XLOOKUP(D:D,Inventario_Libros!A:A,Inventario_Libros!G:G,"No Existe",0)</f>
        <v>C-3</v>
      </c>
      <c r="N22" t="str">
        <f>IFERROR(VLOOKUP(Prestamos[[#This Row],[ID Libro]],Inventario_Libros!A:H,8,0),"Libro No Existe")</f>
        <v>Activo</v>
      </c>
    </row>
    <row r="23" spans="1:14" x14ac:dyDescent="0.3">
      <c r="A23" s="5" t="s">
        <v>550</v>
      </c>
      <c r="B23" s="1">
        <v>45941</v>
      </c>
      <c r="C23" s="1" t="s">
        <v>289</v>
      </c>
      <c r="D23" s="4" t="s">
        <v>336</v>
      </c>
      <c r="E23" s="2" t="s">
        <v>259</v>
      </c>
      <c r="F23" s="2" t="s">
        <v>263</v>
      </c>
      <c r="G23" s="2" t="s">
        <v>253</v>
      </c>
      <c r="H23" s="3">
        <v>0</v>
      </c>
      <c r="I23" t="str">
        <f>IFERROR(VLOOKUP(Prestamos[[#This Row],[ID Libro]],Inventario_Libros!A:B,2,0),"Libro No Existe")</f>
        <v>Cien Años De Soledad</v>
      </c>
      <c r="J23" t="str">
        <f>IFERROR(VLOOKUP(Prestamos[[#This Row],[ID Libro]],Inventario_Libros!A:C,3,0),"Libro No Existe")</f>
        <v>Gabriel García Márquez</v>
      </c>
      <c r="K23" t="str">
        <f>IFERROR(VLOOKUP(Prestamos[[#This Row],[ID Libro]],Inventario_Libros!A:D,4,0),"Libro No Existe")</f>
        <v>Novela</v>
      </c>
      <c r="L23">
        <f>IFERROR(VLOOKUP(Prestamos[[#This Row],[ID Libro]],Inventario_Libros!A:E,5,0),"Libro No Existe")</f>
        <v>2014</v>
      </c>
      <c r="M23" t="str">
        <f>_xlfn.XLOOKUP(D:D,Inventario_Libros!A:A,Inventario_Libros!G:G,"No Existe",0)</f>
        <v>B-2</v>
      </c>
      <c r="N23" t="str">
        <f>IFERROR(VLOOKUP(Prestamos[[#This Row],[ID Libro]],Inventario_Libros!A:H,8,0),"Libro No Existe")</f>
        <v>Activo</v>
      </c>
    </row>
    <row r="24" spans="1:14" x14ac:dyDescent="0.3">
      <c r="A24" s="5" t="s">
        <v>551</v>
      </c>
      <c r="B24" s="1">
        <v>45941</v>
      </c>
      <c r="C24" s="1" t="s">
        <v>289</v>
      </c>
      <c r="D24" s="4" t="s">
        <v>337</v>
      </c>
      <c r="E24" s="2" t="s">
        <v>268</v>
      </c>
      <c r="F24" s="2" t="s">
        <v>258</v>
      </c>
      <c r="G24" s="2" t="s">
        <v>253</v>
      </c>
      <c r="H24" s="3">
        <v>1</v>
      </c>
      <c r="I24" t="str">
        <f>IFERROR(VLOOKUP(Prestamos[[#This Row],[ID Libro]],Inventario_Libros!A:B,2,0),"Libro No Existe")</f>
        <v>Ficciones</v>
      </c>
      <c r="J24" t="str">
        <f>IFERROR(VLOOKUP(Prestamos[[#This Row],[ID Libro]],Inventario_Libros!A:C,3,0),"Libro No Existe")</f>
        <v>Jorge Luis Borges</v>
      </c>
      <c r="K24" t="str">
        <f>IFERROR(VLOOKUP(Prestamos[[#This Row],[ID Libro]],Inventario_Libros!A:D,4,0),"Libro No Existe")</f>
        <v>Cuentos / Fantasía Metafísica</v>
      </c>
      <c r="L24">
        <f>IFERROR(VLOOKUP(Prestamos[[#This Row],[ID Libro]],Inventario_Libros!A:E,5,0),"Libro No Existe")</f>
        <v>1997</v>
      </c>
      <c r="M24" t="str">
        <f>_xlfn.XLOOKUP(D:D,Inventario_Libros!A:A,Inventario_Libros!G:G,"No Existe",0)</f>
        <v>B-2</v>
      </c>
      <c r="N24" t="str">
        <f>IFERROR(VLOOKUP(Prestamos[[#This Row],[ID Libro]],Inventario_Libros!A:H,8,0),"Libro No Existe")</f>
        <v>Activo</v>
      </c>
    </row>
    <row r="25" spans="1:14" x14ac:dyDescent="0.3">
      <c r="A25" s="5" t="s">
        <v>552</v>
      </c>
      <c r="B25" s="1">
        <v>45941</v>
      </c>
      <c r="C25" s="1" t="s">
        <v>289</v>
      </c>
      <c r="D25" s="4" t="s">
        <v>338</v>
      </c>
      <c r="E25" s="2" t="s">
        <v>269</v>
      </c>
      <c r="F25" s="2" t="s">
        <v>255</v>
      </c>
      <c r="G25" s="2" t="s">
        <v>257</v>
      </c>
      <c r="H25" s="3">
        <v>7</v>
      </c>
      <c r="I25" t="str">
        <f>IFERROR(VLOOKUP(Prestamos[[#This Row],[ID Libro]],Inventario_Libros!A:B,2,0),"Libro No Existe")</f>
        <v>La Tregua</v>
      </c>
      <c r="J25" t="str">
        <f>IFERROR(VLOOKUP(Prestamos[[#This Row],[ID Libro]],Inventario_Libros!A:C,3,0),"Libro No Existe")</f>
        <v>Mario Benedetti</v>
      </c>
      <c r="K25" t="str">
        <f>IFERROR(VLOOKUP(Prestamos[[#This Row],[ID Libro]],Inventario_Libros!A:D,4,0),"Libro No Existe")</f>
        <v>Novela</v>
      </c>
      <c r="L25">
        <f>IFERROR(VLOOKUP(Prestamos[[#This Row],[ID Libro]],Inventario_Libros!A:E,5,0),"Libro No Existe")</f>
        <v>1964</v>
      </c>
      <c r="M25" t="str">
        <f>_xlfn.XLOOKUP(D:D,Inventario_Libros!A:A,Inventario_Libros!G:G,"No Existe",0)</f>
        <v>A-1</v>
      </c>
      <c r="N25" t="str">
        <f>IFERROR(VLOOKUP(Prestamos[[#This Row],[ID Libro]],Inventario_Libros!A:H,8,0),"Libro No Existe")</f>
        <v>Retirado</v>
      </c>
    </row>
    <row r="26" spans="1:14" x14ac:dyDescent="0.3">
      <c r="A26" s="5" t="s">
        <v>553</v>
      </c>
      <c r="B26" s="1">
        <v>45936</v>
      </c>
      <c r="C26" s="1" t="s">
        <v>289</v>
      </c>
      <c r="D26" s="4" t="s">
        <v>339</v>
      </c>
      <c r="E26" s="2" t="s">
        <v>264</v>
      </c>
      <c r="F26" s="2" t="s">
        <v>263</v>
      </c>
      <c r="G26" s="2" t="s">
        <v>253</v>
      </c>
      <c r="H26" s="3">
        <v>1</v>
      </c>
      <c r="I26" t="str">
        <f>IFERROR(VLOOKUP(Prestamos[[#This Row],[ID Libro]],Inventario_Libros!A:B,2,0),"Libro No Existe")</f>
        <v>La Iliada</v>
      </c>
      <c r="J26" t="str">
        <f>IFERROR(VLOOKUP(Prestamos[[#This Row],[ID Libro]],Inventario_Libros!A:C,3,0),"Libro No Existe")</f>
        <v>Homero</v>
      </c>
      <c r="K26" t="str">
        <f>IFERROR(VLOOKUP(Prestamos[[#This Row],[ID Libro]],Inventario_Libros!A:D,4,0),"Libro No Existe")</f>
        <v>Clásicos</v>
      </c>
      <c r="L26">
        <f>IFERROR(VLOOKUP(Prestamos[[#This Row],[ID Libro]],Inventario_Libros!A:E,5,0),"Libro No Existe")</f>
        <v>1996</v>
      </c>
      <c r="M26" t="str">
        <f>_xlfn.XLOOKUP(D:D,Inventario_Libros!A:A,Inventario_Libros!G:G,"No Existe",0)</f>
        <v>B-2</v>
      </c>
      <c r="N26" t="str">
        <f>IFERROR(VLOOKUP(Prestamos[[#This Row],[ID Libro]],Inventario_Libros!A:H,8,0),"Libro No Existe")</f>
        <v>Activo</v>
      </c>
    </row>
    <row r="27" spans="1:14" x14ac:dyDescent="0.3">
      <c r="A27" s="5" t="s">
        <v>554</v>
      </c>
      <c r="B27" s="1">
        <v>45935</v>
      </c>
      <c r="C27" s="1" t="s">
        <v>289</v>
      </c>
      <c r="D27" s="4" t="s">
        <v>340</v>
      </c>
      <c r="E27" s="2" t="s">
        <v>251</v>
      </c>
      <c r="F27" s="2" t="s">
        <v>263</v>
      </c>
      <c r="G27" s="2" t="s">
        <v>257</v>
      </c>
      <c r="H27" s="3">
        <v>7</v>
      </c>
      <c r="I27" t="str">
        <f>IFERROR(VLOOKUP(Prestamos[[#This Row],[ID Libro]],Inventario_Libros!A:B,2,0),"Libro No Existe")</f>
        <v>El Aleph</v>
      </c>
      <c r="J27" t="str">
        <f>IFERROR(VLOOKUP(Prestamos[[#This Row],[ID Libro]],Inventario_Libros!A:C,3,0),"Libro No Existe")</f>
        <v>Jorge Luis Borges</v>
      </c>
      <c r="K27" t="str">
        <f>IFERROR(VLOOKUP(Prestamos[[#This Row],[ID Libro]],Inventario_Libros!A:D,4,0),"Libro No Existe")</f>
        <v>Cuentos / Fantasía Metafísica</v>
      </c>
      <c r="L27">
        <f>IFERROR(VLOOKUP(Prestamos[[#This Row],[ID Libro]],Inventario_Libros!A:E,5,0),"Libro No Existe")</f>
        <v>1953</v>
      </c>
      <c r="M27" t="str">
        <f>_xlfn.XLOOKUP(D:D,Inventario_Libros!A:A,Inventario_Libros!G:G,"No Existe",0)</f>
        <v>C-3</v>
      </c>
      <c r="N27" t="str">
        <f>IFERROR(VLOOKUP(Prestamos[[#This Row],[ID Libro]],Inventario_Libros!A:H,8,0),"Libro No Existe")</f>
        <v>Activo</v>
      </c>
    </row>
    <row r="28" spans="1:14" x14ac:dyDescent="0.3">
      <c r="A28" s="5" t="s">
        <v>555</v>
      </c>
      <c r="B28" s="1">
        <v>45934</v>
      </c>
      <c r="C28" s="1" t="s">
        <v>289</v>
      </c>
      <c r="D28" s="4" t="s">
        <v>325</v>
      </c>
      <c r="E28" s="2" t="s">
        <v>270</v>
      </c>
      <c r="F28" s="2" t="s">
        <v>263</v>
      </c>
      <c r="G28" s="2" t="s">
        <v>257</v>
      </c>
      <c r="H28" s="3">
        <v>7</v>
      </c>
      <c r="I28" t="str">
        <f>IFERROR(VLOOKUP(Prestamos[[#This Row],[ID Libro]],Inventario_Libros!A:B,2,0),"Libro No Existe")</f>
        <v>La Iliada</v>
      </c>
      <c r="J28" t="str">
        <f>IFERROR(VLOOKUP(Prestamos[[#This Row],[ID Libro]],Inventario_Libros!A:C,3,0),"Libro No Existe")</f>
        <v>Homero</v>
      </c>
      <c r="K28" t="str">
        <f>IFERROR(VLOOKUP(Prestamos[[#This Row],[ID Libro]],Inventario_Libros!A:D,4,0),"Libro No Existe")</f>
        <v>Clásicos</v>
      </c>
      <c r="L28">
        <f>IFERROR(VLOOKUP(Prestamos[[#This Row],[ID Libro]],Inventario_Libros!A:E,5,0),"Libro No Existe")</f>
        <v>1993</v>
      </c>
      <c r="M28" t="str">
        <f>_xlfn.XLOOKUP(D:D,Inventario_Libros!A:A,Inventario_Libros!G:G,"No Existe",0)</f>
        <v>A-1</v>
      </c>
      <c r="N28" t="str">
        <f>IFERROR(VLOOKUP(Prestamos[[#This Row],[ID Libro]],Inventario_Libros!A:H,8,0),"Libro No Existe")</f>
        <v>Retirado</v>
      </c>
    </row>
    <row r="29" spans="1:14" x14ac:dyDescent="0.3">
      <c r="A29" s="5" t="s">
        <v>556</v>
      </c>
      <c r="B29" s="1">
        <v>45932</v>
      </c>
      <c r="C29" s="1" t="s">
        <v>289</v>
      </c>
      <c r="D29" s="4" t="s">
        <v>341</v>
      </c>
      <c r="E29" s="2" t="s">
        <v>271</v>
      </c>
      <c r="F29" s="2" t="s">
        <v>263</v>
      </c>
      <c r="G29" s="2" t="s">
        <v>253</v>
      </c>
      <c r="H29" s="3">
        <v>1</v>
      </c>
      <c r="I29" t="str">
        <f>IFERROR(VLOOKUP(Prestamos[[#This Row],[ID Libro]],Inventario_Libros!A:B,2,0),"Libro No Existe")</f>
        <v>Hamlet</v>
      </c>
      <c r="J29" t="str">
        <f>IFERROR(VLOOKUP(Prestamos[[#This Row],[ID Libro]],Inventario_Libros!A:C,3,0),"Libro No Existe")</f>
        <v>William Shakespeare</v>
      </c>
      <c r="K29" t="str">
        <f>IFERROR(VLOOKUP(Prestamos[[#This Row],[ID Libro]],Inventario_Libros!A:D,4,0),"Libro No Existe")</f>
        <v>Clásicos</v>
      </c>
      <c r="L29">
        <f>IFERROR(VLOOKUP(Prestamos[[#This Row],[ID Libro]],Inventario_Libros!A:E,5,0),"Libro No Existe")</f>
        <v>1905</v>
      </c>
      <c r="M29" t="str">
        <f>_xlfn.XLOOKUP(D:D,Inventario_Libros!A:A,Inventario_Libros!G:G,"No Existe",0)</f>
        <v>B-2</v>
      </c>
      <c r="N29" t="str">
        <f>IFERROR(VLOOKUP(Prestamos[[#This Row],[ID Libro]],Inventario_Libros!A:H,8,0),"Libro No Existe")</f>
        <v>Activo</v>
      </c>
    </row>
    <row r="30" spans="1:14" x14ac:dyDescent="0.3">
      <c r="A30" s="5" t="s">
        <v>557</v>
      </c>
      <c r="B30" s="1">
        <v>45932</v>
      </c>
      <c r="C30" s="1">
        <v>45957</v>
      </c>
      <c r="D30" s="4" t="s">
        <v>342</v>
      </c>
      <c r="E30" s="2" t="s">
        <v>261</v>
      </c>
      <c r="F30" s="2" t="s">
        <v>275</v>
      </c>
      <c r="G30" s="2" t="s">
        <v>257</v>
      </c>
      <c r="H30" s="3">
        <v>10</v>
      </c>
      <c r="I30" t="str">
        <f>IFERROR(VLOOKUP(Prestamos[[#This Row],[ID Libro]],Inventario_Libros!A:B,2,0),"Libro No Existe")</f>
        <v>Crónica De Una Muerte Anunciada</v>
      </c>
      <c r="J30" t="str">
        <f>IFERROR(VLOOKUP(Prestamos[[#This Row],[ID Libro]],Inventario_Libros!A:C,3,0),"Libro No Existe")</f>
        <v>Gabriel García Márquez</v>
      </c>
      <c r="K30" t="str">
        <f>IFERROR(VLOOKUP(Prestamos[[#This Row],[ID Libro]],Inventario_Libros!A:D,4,0),"Libro No Existe")</f>
        <v>Novela</v>
      </c>
      <c r="L30">
        <f>IFERROR(VLOOKUP(Prestamos[[#This Row],[ID Libro]],Inventario_Libros!A:E,5,0),"Libro No Existe")</f>
        <v>1999</v>
      </c>
      <c r="M30" t="str">
        <f>_xlfn.XLOOKUP(D:D,Inventario_Libros!A:A,Inventario_Libros!G:G,"No Existe",0)</f>
        <v>A-1</v>
      </c>
      <c r="N30" t="str">
        <f>IFERROR(VLOOKUP(Prestamos[[#This Row],[ID Libro]],Inventario_Libros!A:H,8,0),"Libro No Existe")</f>
        <v>Activo</v>
      </c>
    </row>
    <row r="31" spans="1:14" x14ac:dyDescent="0.3">
      <c r="A31" s="5" t="s">
        <v>558</v>
      </c>
      <c r="B31" s="1">
        <v>45929</v>
      </c>
      <c r="C31" s="1" t="s">
        <v>289</v>
      </c>
      <c r="D31" s="4" t="s">
        <v>343</v>
      </c>
      <c r="E31" s="2" t="s">
        <v>272</v>
      </c>
      <c r="F31" s="2" t="s">
        <v>275</v>
      </c>
      <c r="G31" s="2" t="s">
        <v>253</v>
      </c>
      <c r="H31" s="3">
        <v>1</v>
      </c>
      <c r="I31" t="str">
        <f>IFERROR(VLOOKUP(Prestamos[[#This Row],[ID Libro]],Inventario_Libros!A:B,2,0),"Libro No Existe")</f>
        <v>Los Detectives Salvajes</v>
      </c>
      <c r="J31" t="str">
        <f>IFERROR(VLOOKUP(Prestamos[[#This Row],[ID Libro]],Inventario_Libros!A:C,3,0),"Libro No Existe")</f>
        <v>Roberto Bolaño</v>
      </c>
      <c r="K31" t="str">
        <f>IFERROR(VLOOKUP(Prestamos[[#This Row],[ID Libro]],Inventario_Libros!A:D,4,0),"Libro No Existe")</f>
        <v>Novela</v>
      </c>
      <c r="L31">
        <f>IFERROR(VLOOKUP(Prestamos[[#This Row],[ID Libro]],Inventario_Libros!A:E,5,0),"Libro No Existe")</f>
        <v>1919</v>
      </c>
      <c r="M31" t="str">
        <f>_xlfn.XLOOKUP(D:D,Inventario_Libros!A:A,Inventario_Libros!G:G,"No Existe",0)</f>
        <v>B-2</v>
      </c>
      <c r="N31" t="str">
        <f>IFERROR(VLOOKUP(Prestamos[[#This Row],[ID Libro]],Inventario_Libros!A:H,8,0),"Libro No Existe")</f>
        <v>Activo</v>
      </c>
    </row>
    <row r="32" spans="1:14" x14ac:dyDescent="0.3">
      <c r="A32" s="5" t="s">
        <v>559</v>
      </c>
      <c r="B32" s="1">
        <v>45929</v>
      </c>
      <c r="C32" s="1" t="s">
        <v>289</v>
      </c>
      <c r="D32" s="4" t="s">
        <v>344</v>
      </c>
      <c r="E32" s="2" t="s">
        <v>254</v>
      </c>
      <c r="F32" s="2" t="s">
        <v>275</v>
      </c>
      <c r="G32" s="2" t="s">
        <v>257</v>
      </c>
      <c r="H32" s="3">
        <v>7</v>
      </c>
      <c r="I32" t="str">
        <f>IFERROR(VLOOKUP(Prestamos[[#This Row],[ID Libro]],Inventario_Libros!A:B,2,0),"Libro No Existe")</f>
        <v>Matar A Un Ruiseñor</v>
      </c>
      <c r="J32" t="str">
        <f>IFERROR(VLOOKUP(Prestamos[[#This Row],[ID Libro]],Inventario_Libros!A:C,3,0),"Libro No Existe")</f>
        <v>Harper Lee</v>
      </c>
      <c r="K32" t="str">
        <f>IFERROR(VLOOKUP(Prestamos[[#This Row],[ID Libro]],Inventario_Libros!A:D,4,0),"Libro No Existe")</f>
        <v>Novela</v>
      </c>
      <c r="L32">
        <f>IFERROR(VLOOKUP(Prestamos[[#This Row],[ID Libro]],Inventario_Libros!A:E,5,0),"Libro No Existe")</f>
        <v>1981</v>
      </c>
      <c r="M32" t="str">
        <f>_xlfn.XLOOKUP(D:D,Inventario_Libros!A:A,Inventario_Libros!G:G,"No Existe",0)</f>
        <v>C-3</v>
      </c>
      <c r="N32" t="str">
        <f>IFERROR(VLOOKUP(Prestamos[[#This Row],[ID Libro]],Inventario_Libros!A:H,8,0),"Libro No Existe")</f>
        <v>Retirado</v>
      </c>
    </row>
    <row r="33" spans="1:14" x14ac:dyDescent="0.3">
      <c r="A33" s="5" t="s">
        <v>560</v>
      </c>
      <c r="B33" s="1">
        <v>45925</v>
      </c>
      <c r="C33" s="1" t="s">
        <v>289</v>
      </c>
      <c r="D33" s="4" t="s">
        <v>345</v>
      </c>
      <c r="E33" s="2" t="s">
        <v>264</v>
      </c>
      <c r="F33" s="2" t="s">
        <v>258</v>
      </c>
      <c r="G33" s="2" t="s">
        <v>257</v>
      </c>
      <c r="H33" s="3">
        <v>7</v>
      </c>
      <c r="I33" t="str">
        <f>IFERROR(VLOOKUP(Prestamos[[#This Row],[ID Libro]],Inventario_Libros!A:B,2,0),"Libro No Existe")</f>
        <v>La Iliada</v>
      </c>
      <c r="J33" t="str">
        <f>IFERROR(VLOOKUP(Prestamos[[#This Row],[ID Libro]],Inventario_Libros!A:C,3,0),"Libro No Existe")</f>
        <v>Homero</v>
      </c>
      <c r="K33" t="str">
        <f>IFERROR(VLOOKUP(Prestamos[[#This Row],[ID Libro]],Inventario_Libros!A:D,4,0),"Libro No Existe")</f>
        <v>Clásicos</v>
      </c>
      <c r="L33">
        <f>IFERROR(VLOOKUP(Prestamos[[#This Row],[ID Libro]],Inventario_Libros!A:E,5,0),"Libro No Existe")</f>
        <v>1940</v>
      </c>
      <c r="M33" t="str">
        <f>_xlfn.XLOOKUP(D:D,Inventario_Libros!A:A,Inventario_Libros!G:G,"No Existe",0)</f>
        <v>B-2</v>
      </c>
      <c r="N33" t="str">
        <f>IFERROR(VLOOKUP(Prestamos[[#This Row],[ID Libro]],Inventario_Libros!A:H,8,0),"Libro No Existe")</f>
        <v>Retirado</v>
      </c>
    </row>
    <row r="34" spans="1:14" x14ac:dyDescent="0.3">
      <c r="A34" s="5" t="s">
        <v>561</v>
      </c>
      <c r="B34" s="1">
        <v>45923</v>
      </c>
      <c r="C34" s="1">
        <v>45943</v>
      </c>
      <c r="D34" s="4" t="s">
        <v>346</v>
      </c>
      <c r="E34" s="2" t="s">
        <v>273</v>
      </c>
      <c r="F34" s="2" t="s">
        <v>252</v>
      </c>
      <c r="G34" s="2" t="s">
        <v>257</v>
      </c>
      <c r="H34" s="3">
        <v>5</v>
      </c>
      <c r="I34" t="str">
        <f>IFERROR(VLOOKUP(Prestamos[[#This Row],[ID Libro]],Inventario_Libros!A:B,2,0),"Libro No Existe")</f>
        <v>Macbeth</v>
      </c>
      <c r="J34" t="str">
        <f>IFERROR(VLOOKUP(Prestamos[[#This Row],[ID Libro]],Inventario_Libros!A:C,3,0),"Libro No Existe")</f>
        <v>William Shakespeare</v>
      </c>
      <c r="K34" t="str">
        <f>IFERROR(VLOOKUP(Prestamos[[#This Row],[ID Libro]],Inventario_Libros!A:D,4,0),"Libro No Existe")</f>
        <v>Clásicos</v>
      </c>
      <c r="L34">
        <f>IFERROR(VLOOKUP(Prestamos[[#This Row],[ID Libro]],Inventario_Libros!A:E,5,0),"Libro No Existe")</f>
        <v>1891</v>
      </c>
      <c r="M34" t="str">
        <f>_xlfn.XLOOKUP(D:D,Inventario_Libros!A:A,Inventario_Libros!G:G,"No Existe",0)</f>
        <v>B-2</v>
      </c>
      <c r="N34" t="str">
        <f>IFERROR(VLOOKUP(Prestamos[[#This Row],[ID Libro]],Inventario_Libros!A:H,8,0),"Libro No Existe")</f>
        <v>Activo</v>
      </c>
    </row>
    <row r="35" spans="1:14" x14ac:dyDescent="0.3">
      <c r="A35" s="5" t="s">
        <v>562</v>
      </c>
      <c r="B35" s="1">
        <v>45922</v>
      </c>
      <c r="C35" s="1">
        <v>45940</v>
      </c>
      <c r="D35" s="4" t="s">
        <v>347</v>
      </c>
      <c r="E35" s="2" t="s">
        <v>270</v>
      </c>
      <c r="F35" s="2" t="s">
        <v>258</v>
      </c>
      <c r="G35" s="2" t="s">
        <v>257</v>
      </c>
      <c r="H35" s="3">
        <v>3</v>
      </c>
      <c r="I35" t="str">
        <f>IFERROR(VLOOKUP(Prestamos[[#This Row],[ID Libro]],Inventario_Libros!A:B,2,0),"Libro No Existe")</f>
        <v>Ficciones</v>
      </c>
      <c r="J35" t="str">
        <f>IFERROR(VLOOKUP(Prestamos[[#This Row],[ID Libro]],Inventario_Libros!A:C,3,0),"Libro No Existe")</f>
        <v>Jorge Luis Borges</v>
      </c>
      <c r="K35" t="str">
        <f>IFERROR(VLOOKUP(Prestamos[[#This Row],[ID Libro]],Inventario_Libros!A:D,4,0),"Libro No Existe")</f>
        <v>Cuentos / Fantasía Metafísica</v>
      </c>
      <c r="L35">
        <f>IFERROR(VLOOKUP(Prestamos[[#This Row],[ID Libro]],Inventario_Libros!A:E,5,0),"Libro No Existe")</f>
        <v>1939</v>
      </c>
      <c r="M35" t="str">
        <f>_xlfn.XLOOKUP(D:D,Inventario_Libros!A:A,Inventario_Libros!G:G,"No Existe",0)</f>
        <v>A-1</v>
      </c>
      <c r="N35" t="str">
        <f>IFERROR(VLOOKUP(Prestamos[[#This Row],[ID Libro]],Inventario_Libros!A:H,8,0),"Libro No Existe")</f>
        <v>Activo</v>
      </c>
    </row>
    <row r="36" spans="1:14" x14ac:dyDescent="0.3">
      <c r="A36" s="5" t="s">
        <v>563</v>
      </c>
      <c r="B36" s="1">
        <v>45919</v>
      </c>
      <c r="C36" s="1" t="s">
        <v>289</v>
      </c>
      <c r="D36" s="4" t="s">
        <v>348</v>
      </c>
      <c r="E36" s="2" t="s">
        <v>273</v>
      </c>
      <c r="F36" s="2" t="s">
        <v>258</v>
      </c>
      <c r="G36" s="2" t="s">
        <v>257</v>
      </c>
      <c r="H36" s="3">
        <v>7</v>
      </c>
      <c r="I36" t="str">
        <f>IFERROR(VLOOKUP(Prestamos[[#This Row],[ID Libro]],Inventario_Libros!A:B,2,0),"Libro No Existe")</f>
        <v>Hamlet</v>
      </c>
      <c r="J36" t="str">
        <f>IFERROR(VLOOKUP(Prestamos[[#This Row],[ID Libro]],Inventario_Libros!A:C,3,0),"Libro No Existe")</f>
        <v>William Shakespeare</v>
      </c>
      <c r="K36" t="str">
        <f>IFERROR(VLOOKUP(Prestamos[[#This Row],[ID Libro]],Inventario_Libros!A:D,4,0),"Libro No Existe")</f>
        <v>Clásicos</v>
      </c>
      <c r="L36">
        <f>IFERROR(VLOOKUP(Prestamos[[#This Row],[ID Libro]],Inventario_Libros!A:E,5,0),"Libro No Existe")</f>
        <v>2017</v>
      </c>
      <c r="M36" t="str">
        <f>_xlfn.XLOOKUP(D:D,Inventario_Libros!A:A,Inventario_Libros!G:G,"No Existe",0)</f>
        <v>A-1</v>
      </c>
      <c r="N36" t="str">
        <f>IFERROR(VLOOKUP(Prestamos[[#This Row],[ID Libro]],Inventario_Libros!A:H,8,0),"Libro No Existe")</f>
        <v>Activo</v>
      </c>
    </row>
    <row r="37" spans="1:14" x14ac:dyDescent="0.3">
      <c r="A37" s="5" t="s">
        <v>564</v>
      </c>
      <c r="B37" s="1">
        <v>45912</v>
      </c>
      <c r="C37" s="1">
        <v>45928</v>
      </c>
      <c r="D37" s="4" t="s">
        <v>349</v>
      </c>
      <c r="E37" s="2" t="s">
        <v>254</v>
      </c>
      <c r="F37" s="2" t="s">
        <v>275</v>
      </c>
      <c r="G37" s="2" t="s">
        <v>257</v>
      </c>
      <c r="H37" s="3">
        <v>1</v>
      </c>
      <c r="I37" t="str">
        <f>IFERROR(VLOOKUP(Prestamos[[#This Row],[ID Libro]],Inventario_Libros!A:B,2,0),"Libro No Existe")</f>
        <v>Los Detectives Salvajes</v>
      </c>
      <c r="J37" t="str">
        <f>IFERROR(VLOOKUP(Prestamos[[#This Row],[ID Libro]],Inventario_Libros!A:C,3,0),"Libro No Existe")</f>
        <v>Roberto Bolaño</v>
      </c>
      <c r="K37" t="str">
        <f>IFERROR(VLOOKUP(Prestamos[[#This Row],[ID Libro]],Inventario_Libros!A:D,4,0),"Libro No Existe")</f>
        <v>Novela</v>
      </c>
      <c r="L37">
        <f>IFERROR(VLOOKUP(Prestamos[[#This Row],[ID Libro]],Inventario_Libros!A:E,5,0),"Libro No Existe")</f>
        <v>1914</v>
      </c>
      <c r="M37" t="str">
        <f>_xlfn.XLOOKUP(D:D,Inventario_Libros!A:A,Inventario_Libros!G:G,"No Existe",0)</f>
        <v>C-3</v>
      </c>
      <c r="N37" t="str">
        <f>IFERROR(VLOOKUP(Prestamos[[#This Row],[ID Libro]],Inventario_Libros!A:H,8,0),"Libro No Existe")</f>
        <v>Retirado</v>
      </c>
    </row>
    <row r="38" spans="1:14" x14ac:dyDescent="0.3">
      <c r="A38" s="5" t="s">
        <v>565</v>
      </c>
      <c r="B38" s="1">
        <v>45912</v>
      </c>
      <c r="C38" s="1">
        <v>45932</v>
      </c>
      <c r="D38" s="4" t="s">
        <v>350</v>
      </c>
      <c r="E38" s="2" t="s">
        <v>266</v>
      </c>
      <c r="F38" s="2" t="s">
        <v>255</v>
      </c>
      <c r="G38" s="2" t="s">
        <v>257</v>
      </c>
      <c r="H38" s="3">
        <v>5</v>
      </c>
      <c r="I38" t="str">
        <f>IFERROR(VLOOKUP(Prestamos[[#This Row],[ID Libro]],Inventario_Libros!A:B,2,0),"Libro No Existe")</f>
        <v>La Ciudad Y Los Perros</v>
      </c>
      <c r="J38" t="str">
        <f>IFERROR(VLOOKUP(Prestamos[[#This Row],[ID Libro]],Inventario_Libros!A:C,3,0),"Libro No Existe")</f>
        <v>Mario Vargas Llosa</v>
      </c>
      <c r="K38" t="str">
        <f>IFERROR(VLOOKUP(Prestamos[[#This Row],[ID Libro]],Inventario_Libros!A:D,4,0),"Libro No Existe")</f>
        <v>Novela</v>
      </c>
      <c r="L38">
        <f>IFERROR(VLOOKUP(Prestamos[[#This Row],[ID Libro]],Inventario_Libros!A:E,5,0),"Libro No Existe")</f>
        <v>1901</v>
      </c>
      <c r="M38" t="str">
        <f>_xlfn.XLOOKUP(D:D,Inventario_Libros!A:A,Inventario_Libros!G:G,"No Existe",0)</f>
        <v>Est-1</v>
      </c>
      <c r="N38" t="str">
        <f>IFERROR(VLOOKUP(Prestamos[[#This Row],[ID Libro]],Inventario_Libros!A:H,8,0),"Libro No Existe")</f>
        <v>Retirado</v>
      </c>
    </row>
    <row r="39" spans="1:14" x14ac:dyDescent="0.3">
      <c r="A39" s="5" t="s">
        <v>566</v>
      </c>
      <c r="B39" s="1">
        <v>45910</v>
      </c>
      <c r="C39" s="1" t="s">
        <v>289</v>
      </c>
      <c r="D39" s="4" t="s">
        <v>351</v>
      </c>
      <c r="E39" s="2" t="s">
        <v>251</v>
      </c>
      <c r="F39" s="2" t="s">
        <v>252</v>
      </c>
      <c r="G39" s="2" t="s">
        <v>253</v>
      </c>
      <c r="H39" s="3">
        <v>1</v>
      </c>
      <c r="I39" t="str">
        <f>IFERROR(VLOOKUP(Prestamos[[#This Row],[ID Libro]],Inventario_Libros!A:B,2,0),"Libro No Existe")</f>
        <v>Breve Historia Del Tiempo</v>
      </c>
      <c r="J39" t="str">
        <f>IFERROR(VLOOKUP(Prestamos[[#This Row],[ID Libro]],Inventario_Libros!A:C,3,0),"Libro No Existe")</f>
        <v>Stephen Hawking</v>
      </c>
      <c r="K39" t="str">
        <f>IFERROR(VLOOKUP(Prestamos[[#This Row],[ID Libro]],Inventario_Libros!A:D,4,0),"Libro No Existe")</f>
        <v>Divulgación Científica / Cosmología</v>
      </c>
      <c r="L39">
        <f>IFERROR(VLOOKUP(Prestamos[[#This Row],[ID Libro]],Inventario_Libros!A:E,5,0),"Libro No Existe")</f>
        <v>1945</v>
      </c>
      <c r="M39" t="str">
        <f>_xlfn.XLOOKUP(D:D,Inventario_Libros!A:A,Inventario_Libros!G:G,"No Existe",0)</f>
        <v>C-3</v>
      </c>
      <c r="N39" t="str">
        <f>IFERROR(VLOOKUP(Prestamos[[#This Row],[ID Libro]],Inventario_Libros!A:H,8,0),"Libro No Existe")</f>
        <v>Retirado</v>
      </c>
    </row>
    <row r="40" spans="1:14" x14ac:dyDescent="0.3">
      <c r="A40" s="5" t="s">
        <v>567</v>
      </c>
      <c r="B40" s="1">
        <v>45909</v>
      </c>
      <c r="C40" s="1" t="s">
        <v>289</v>
      </c>
      <c r="D40" s="4" t="s">
        <v>352</v>
      </c>
      <c r="E40" s="2" t="s">
        <v>274</v>
      </c>
      <c r="F40" s="2" t="s">
        <v>258</v>
      </c>
      <c r="G40" s="2" t="s">
        <v>253</v>
      </c>
      <c r="H40" s="3">
        <v>0</v>
      </c>
      <c r="I40" t="str">
        <f>IFERROR(VLOOKUP(Prestamos[[#This Row],[ID Libro]],Inventario_Libros!A:B,2,0),"Libro No Existe")</f>
        <v>La Odisea</v>
      </c>
      <c r="J40" t="str">
        <f>IFERROR(VLOOKUP(Prestamos[[#This Row],[ID Libro]],Inventario_Libros!A:C,3,0),"Libro No Existe")</f>
        <v>Homero</v>
      </c>
      <c r="K40" t="str">
        <f>IFERROR(VLOOKUP(Prestamos[[#This Row],[ID Libro]],Inventario_Libros!A:D,4,0),"Libro No Existe")</f>
        <v>Clásicos</v>
      </c>
      <c r="L40">
        <f>IFERROR(VLOOKUP(Prestamos[[#This Row],[ID Libro]],Inventario_Libros!A:E,5,0),"Libro No Existe")</f>
        <v>1995</v>
      </c>
      <c r="M40" t="str">
        <f>_xlfn.XLOOKUP(D:D,Inventario_Libros!A:A,Inventario_Libros!G:G,"No Existe",0)</f>
        <v>Est-1</v>
      </c>
      <c r="N40" t="str">
        <f>IFERROR(VLOOKUP(Prestamos[[#This Row],[ID Libro]],Inventario_Libros!A:H,8,0),"Libro No Existe")</f>
        <v>Activo</v>
      </c>
    </row>
    <row r="41" spans="1:14" x14ac:dyDescent="0.3">
      <c r="A41" s="5" t="s">
        <v>568</v>
      </c>
      <c r="B41" s="1">
        <v>45908</v>
      </c>
      <c r="C41" s="1">
        <v>45926</v>
      </c>
      <c r="D41" s="4" t="s">
        <v>353</v>
      </c>
      <c r="E41" s="2" t="s">
        <v>256</v>
      </c>
      <c r="F41" s="2" t="s">
        <v>263</v>
      </c>
      <c r="G41" s="2" t="s">
        <v>257</v>
      </c>
      <c r="H41" s="3">
        <v>3</v>
      </c>
      <c r="I41" t="str">
        <f>IFERROR(VLOOKUP(Prestamos[[#This Row],[ID Libro]],Inventario_Libros!A:B,2,0),"Libro No Existe")</f>
        <v>El Código Da Vinci</v>
      </c>
      <c r="J41" t="str">
        <f>IFERROR(VLOOKUP(Prestamos[[#This Row],[ID Libro]],Inventario_Libros!A:C,3,0),"Libro No Existe")</f>
        <v>Dan Brown</v>
      </c>
      <c r="K41" t="str">
        <f>IFERROR(VLOOKUP(Prestamos[[#This Row],[ID Libro]],Inventario_Libros!A:D,4,0),"Libro No Existe")</f>
        <v>Misterio</v>
      </c>
      <c r="L41">
        <f>IFERROR(VLOOKUP(Prestamos[[#This Row],[ID Libro]],Inventario_Libros!A:E,5,0),"Libro No Existe")</f>
        <v>1937</v>
      </c>
      <c r="M41" t="str">
        <f>_xlfn.XLOOKUP(D:D,Inventario_Libros!A:A,Inventario_Libros!G:G,"No Existe",0)</f>
        <v>A-1</v>
      </c>
      <c r="N41" t="str">
        <f>IFERROR(VLOOKUP(Prestamos[[#This Row],[ID Libro]],Inventario_Libros!A:H,8,0),"Libro No Existe")</f>
        <v>Activo</v>
      </c>
    </row>
    <row r="42" spans="1:14" x14ac:dyDescent="0.3">
      <c r="A42" s="5" t="s">
        <v>569</v>
      </c>
      <c r="B42" s="1">
        <v>45896</v>
      </c>
      <c r="C42" s="1" t="s">
        <v>289</v>
      </c>
      <c r="D42" s="4" t="s">
        <v>351</v>
      </c>
      <c r="E42" s="2" t="s">
        <v>251</v>
      </c>
      <c r="F42" s="2" t="s">
        <v>258</v>
      </c>
      <c r="G42" s="2" t="s">
        <v>253</v>
      </c>
      <c r="H42" s="3">
        <v>0</v>
      </c>
      <c r="I42" t="str">
        <f>IFERROR(VLOOKUP(Prestamos[[#This Row],[ID Libro]],Inventario_Libros!A:B,2,0),"Libro No Existe")</f>
        <v>Breve Historia Del Tiempo</v>
      </c>
      <c r="J42" t="str">
        <f>IFERROR(VLOOKUP(Prestamos[[#This Row],[ID Libro]],Inventario_Libros!A:C,3,0),"Libro No Existe")</f>
        <v>Stephen Hawking</v>
      </c>
      <c r="K42" t="str">
        <f>IFERROR(VLOOKUP(Prestamos[[#This Row],[ID Libro]],Inventario_Libros!A:D,4,0),"Libro No Existe")</f>
        <v>Divulgación Científica / Cosmología</v>
      </c>
      <c r="L42">
        <f>IFERROR(VLOOKUP(Prestamos[[#This Row],[ID Libro]],Inventario_Libros!A:E,5,0),"Libro No Existe")</f>
        <v>1945</v>
      </c>
      <c r="M42" t="str">
        <f>_xlfn.XLOOKUP(D:D,Inventario_Libros!A:A,Inventario_Libros!G:G,"No Existe",0)</f>
        <v>C-3</v>
      </c>
      <c r="N42" t="str">
        <f>IFERROR(VLOOKUP(Prestamos[[#This Row],[ID Libro]],Inventario_Libros!A:H,8,0),"Libro No Existe")</f>
        <v>Retirado</v>
      </c>
    </row>
    <row r="43" spans="1:14" x14ac:dyDescent="0.3">
      <c r="A43" s="5" t="s">
        <v>570</v>
      </c>
      <c r="B43" s="1">
        <v>45894</v>
      </c>
      <c r="C43" s="1" t="s">
        <v>289</v>
      </c>
      <c r="D43" s="4" t="s">
        <v>328</v>
      </c>
      <c r="E43" s="2" t="s">
        <v>270</v>
      </c>
      <c r="F43" s="2" t="s">
        <v>263</v>
      </c>
      <c r="G43" s="2" t="s">
        <v>257</v>
      </c>
      <c r="H43" s="3">
        <v>5</v>
      </c>
      <c r="I43" t="str">
        <f>IFERROR(VLOOKUP(Prestamos[[#This Row],[ID Libro]],Inventario_Libros!A:B,2,0),"Libro No Existe")</f>
        <v>Rebelión En La Granja</v>
      </c>
      <c r="J43" t="str">
        <f>IFERROR(VLOOKUP(Prestamos[[#This Row],[ID Libro]],Inventario_Libros!A:C,3,0),"Libro No Existe")</f>
        <v>George Orwell</v>
      </c>
      <c r="K43" t="str">
        <f>IFERROR(VLOOKUP(Prestamos[[#This Row],[ID Libro]],Inventario_Libros!A:D,4,0),"Libro No Existe")</f>
        <v>Ciencia Ficción</v>
      </c>
      <c r="L43">
        <f>IFERROR(VLOOKUP(Prestamos[[#This Row],[ID Libro]],Inventario_Libros!A:E,5,0),"Libro No Existe")</f>
        <v>1996</v>
      </c>
      <c r="M43" t="str">
        <f>_xlfn.XLOOKUP(D:D,Inventario_Libros!A:A,Inventario_Libros!G:G,"No Existe",0)</f>
        <v>C-3</v>
      </c>
      <c r="N43" t="str">
        <f>IFERROR(VLOOKUP(Prestamos[[#This Row],[ID Libro]],Inventario_Libros!A:H,8,0),"Libro No Existe")</f>
        <v>Retirado</v>
      </c>
    </row>
    <row r="44" spans="1:14" x14ac:dyDescent="0.3">
      <c r="A44" s="5" t="s">
        <v>571</v>
      </c>
      <c r="B44" s="1">
        <v>45893</v>
      </c>
      <c r="C44" s="1">
        <v>45918</v>
      </c>
      <c r="D44" s="4" t="s">
        <v>354</v>
      </c>
      <c r="E44" s="2" t="s">
        <v>256</v>
      </c>
      <c r="F44" s="2" t="s">
        <v>263</v>
      </c>
      <c r="G44" s="2" t="s">
        <v>257</v>
      </c>
      <c r="H44" s="3">
        <v>10</v>
      </c>
      <c r="I44" t="str">
        <f>IFERROR(VLOOKUP(Prestamos[[#This Row],[ID Libro]],Inventario_Libros!A:B,2,0),"Libro No Existe")</f>
        <v>La Sombra Del Viento</v>
      </c>
      <c r="J44" t="str">
        <f>IFERROR(VLOOKUP(Prestamos[[#This Row],[ID Libro]],Inventario_Libros!A:C,3,0),"Libro No Existe")</f>
        <v>Carlos Ruiz Zafón</v>
      </c>
      <c r="K44" t="str">
        <f>IFERROR(VLOOKUP(Prestamos[[#This Row],[ID Libro]],Inventario_Libros!A:D,4,0),"Libro No Existe")</f>
        <v>Misterio</v>
      </c>
      <c r="L44">
        <f>IFERROR(VLOOKUP(Prestamos[[#This Row],[ID Libro]],Inventario_Libros!A:E,5,0),"Libro No Existe")</f>
        <v>2022</v>
      </c>
      <c r="M44" t="str">
        <f>_xlfn.XLOOKUP(D:D,Inventario_Libros!A:A,Inventario_Libros!G:G,"No Existe",0)</f>
        <v>Est-1</v>
      </c>
      <c r="N44" t="str">
        <f>IFERROR(VLOOKUP(Prestamos[[#This Row],[ID Libro]],Inventario_Libros!A:H,8,0),"Libro No Existe")</f>
        <v>Activo</v>
      </c>
    </row>
    <row r="45" spans="1:14" x14ac:dyDescent="0.3">
      <c r="A45" s="5" t="s">
        <v>572</v>
      </c>
      <c r="B45" s="1">
        <v>45891</v>
      </c>
      <c r="C45" s="1" t="s">
        <v>289</v>
      </c>
      <c r="D45" s="4" t="s">
        <v>355</v>
      </c>
      <c r="E45" s="2" t="s">
        <v>260</v>
      </c>
      <c r="F45" s="2" t="s">
        <v>255</v>
      </c>
      <c r="G45" s="2" t="s">
        <v>257</v>
      </c>
      <c r="H45" s="3">
        <v>7</v>
      </c>
      <c r="I45" t="str">
        <f>IFERROR(VLOOKUP(Prestamos[[#This Row],[ID Libro]],Inventario_Libros!A:B,2,0),"Libro No Existe")</f>
        <v>La Iliada</v>
      </c>
      <c r="J45" t="str">
        <f>IFERROR(VLOOKUP(Prestamos[[#This Row],[ID Libro]],Inventario_Libros!A:C,3,0),"Libro No Existe")</f>
        <v>Homero</v>
      </c>
      <c r="K45" t="str">
        <f>IFERROR(VLOOKUP(Prestamos[[#This Row],[ID Libro]],Inventario_Libros!A:D,4,0),"Libro No Existe")</f>
        <v>Clásicos</v>
      </c>
      <c r="L45">
        <f>IFERROR(VLOOKUP(Prestamos[[#This Row],[ID Libro]],Inventario_Libros!A:E,5,0),"Libro No Existe")</f>
        <v>2021</v>
      </c>
      <c r="M45" t="str">
        <f>_xlfn.XLOOKUP(D:D,Inventario_Libros!A:A,Inventario_Libros!G:G,"No Existe",0)</f>
        <v>Est-1</v>
      </c>
      <c r="N45" t="str">
        <f>IFERROR(VLOOKUP(Prestamos[[#This Row],[ID Libro]],Inventario_Libros!A:H,8,0),"Libro No Existe")</f>
        <v>Activo</v>
      </c>
    </row>
    <row r="46" spans="1:14" x14ac:dyDescent="0.3">
      <c r="A46" s="5" t="s">
        <v>573</v>
      </c>
      <c r="B46" s="1">
        <v>45891</v>
      </c>
      <c r="C46" s="1" t="s">
        <v>289</v>
      </c>
      <c r="D46" s="4" t="s">
        <v>356</v>
      </c>
      <c r="E46" s="2" t="s">
        <v>256</v>
      </c>
      <c r="F46" s="2" t="s">
        <v>263</v>
      </c>
      <c r="G46" s="2" t="s">
        <v>257</v>
      </c>
      <c r="H46" s="3">
        <v>5</v>
      </c>
      <c r="I46" t="str">
        <f>IFERROR(VLOOKUP(Prestamos[[#This Row],[ID Libro]],Inventario_Libros!A:B,2,0),"Libro No Existe")</f>
        <v>Pedro Páramo</v>
      </c>
      <c r="J46" t="str">
        <f>IFERROR(VLOOKUP(Prestamos[[#This Row],[ID Libro]],Inventario_Libros!A:C,3,0),"Libro No Existe")</f>
        <v>Juan Rulfo</v>
      </c>
      <c r="K46" t="str">
        <f>IFERROR(VLOOKUP(Prestamos[[#This Row],[ID Libro]],Inventario_Libros!A:D,4,0),"Libro No Existe")</f>
        <v>Novela</v>
      </c>
      <c r="L46">
        <f>IFERROR(VLOOKUP(Prestamos[[#This Row],[ID Libro]],Inventario_Libros!A:E,5,0),"Libro No Existe")</f>
        <v>1934</v>
      </c>
      <c r="M46" t="str">
        <f>_xlfn.XLOOKUP(D:D,Inventario_Libros!A:A,Inventario_Libros!G:G,"No Existe",0)</f>
        <v>Est-1</v>
      </c>
      <c r="N46" t="str">
        <f>IFERROR(VLOOKUP(Prestamos[[#This Row],[ID Libro]],Inventario_Libros!A:H,8,0),"Libro No Existe")</f>
        <v>Retirado</v>
      </c>
    </row>
    <row r="47" spans="1:14" x14ac:dyDescent="0.3">
      <c r="A47" s="5" t="s">
        <v>574</v>
      </c>
      <c r="B47" s="1">
        <v>45891</v>
      </c>
      <c r="C47" s="1" t="s">
        <v>289</v>
      </c>
      <c r="D47" s="4" t="s">
        <v>357</v>
      </c>
      <c r="E47" s="2" t="s">
        <v>273</v>
      </c>
      <c r="F47" s="2" t="s">
        <v>275</v>
      </c>
      <c r="G47" s="2" t="s">
        <v>257</v>
      </c>
      <c r="H47" s="3">
        <v>5</v>
      </c>
      <c r="I47" t="str">
        <f>IFERROR(VLOOKUP(Prestamos[[#This Row],[ID Libro]],Inventario_Libros!A:B,2,0),"Libro No Existe")</f>
        <v>Matadero Cinco</v>
      </c>
      <c r="J47" t="str">
        <f>IFERROR(VLOOKUP(Prestamos[[#This Row],[ID Libro]],Inventario_Libros!A:C,3,0),"Libro No Existe")</f>
        <v>Kurt Vonnegut</v>
      </c>
      <c r="K47" t="str">
        <f>IFERROR(VLOOKUP(Prestamos[[#This Row],[ID Libro]],Inventario_Libros!A:D,4,0),"Libro No Existe")</f>
        <v>Ciencia Ficción</v>
      </c>
      <c r="L47">
        <f>IFERROR(VLOOKUP(Prestamos[[#This Row],[ID Libro]],Inventario_Libros!A:E,5,0),"Libro No Existe")</f>
        <v>1993</v>
      </c>
      <c r="M47" t="str">
        <f>_xlfn.XLOOKUP(D:D,Inventario_Libros!A:A,Inventario_Libros!G:G,"No Existe",0)</f>
        <v>B-2</v>
      </c>
      <c r="N47" t="str">
        <f>IFERROR(VLOOKUP(Prestamos[[#This Row],[ID Libro]],Inventario_Libros!A:H,8,0),"Libro No Existe")</f>
        <v>Activo</v>
      </c>
    </row>
    <row r="48" spans="1:14" x14ac:dyDescent="0.3">
      <c r="A48" s="5" t="s">
        <v>575</v>
      </c>
      <c r="B48" s="1">
        <v>45888</v>
      </c>
      <c r="C48" s="1">
        <v>45908</v>
      </c>
      <c r="D48" s="4" t="s">
        <v>358</v>
      </c>
      <c r="E48" s="2" t="s">
        <v>262</v>
      </c>
      <c r="F48" s="2" t="s">
        <v>263</v>
      </c>
      <c r="G48" s="2" t="s">
        <v>257</v>
      </c>
      <c r="H48" s="3">
        <v>5</v>
      </c>
      <c r="I48" t="str">
        <f>IFERROR(VLOOKUP(Prestamos[[#This Row],[ID Libro]],Inventario_Libros!A:B,2,0),"Libro No Existe")</f>
        <v>Los Detectives Salvajes</v>
      </c>
      <c r="J48" t="str">
        <f>IFERROR(VLOOKUP(Prestamos[[#This Row],[ID Libro]],Inventario_Libros!A:C,3,0),"Libro No Existe")</f>
        <v>Roberto Bolaño</v>
      </c>
      <c r="K48" t="str">
        <f>IFERROR(VLOOKUP(Prestamos[[#This Row],[ID Libro]],Inventario_Libros!A:D,4,0),"Libro No Existe")</f>
        <v>Novela</v>
      </c>
      <c r="L48">
        <f>IFERROR(VLOOKUP(Prestamos[[#This Row],[ID Libro]],Inventario_Libros!A:E,5,0),"Libro No Existe")</f>
        <v>1897</v>
      </c>
      <c r="M48" t="str">
        <f>_xlfn.XLOOKUP(D:D,Inventario_Libros!A:A,Inventario_Libros!G:G,"No Existe",0)</f>
        <v>B-2</v>
      </c>
      <c r="N48" t="str">
        <f>IFERROR(VLOOKUP(Prestamos[[#This Row],[ID Libro]],Inventario_Libros!A:H,8,0),"Libro No Existe")</f>
        <v>Retirado</v>
      </c>
    </row>
    <row r="49" spans="1:14" x14ac:dyDescent="0.3">
      <c r="A49" s="5" t="s">
        <v>576</v>
      </c>
      <c r="B49" s="1">
        <v>45883</v>
      </c>
      <c r="C49" s="1">
        <v>45900</v>
      </c>
      <c r="D49" s="4" t="s">
        <v>359</v>
      </c>
      <c r="E49" s="2" t="s">
        <v>277</v>
      </c>
      <c r="F49" s="2" t="s">
        <v>275</v>
      </c>
      <c r="G49" s="2" t="s">
        <v>257</v>
      </c>
      <c r="H49" s="3">
        <v>2</v>
      </c>
      <c r="I49" t="str">
        <f>IFERROR(VLOOKUP(Prestamos[[#This Row],[ID Libro]],Inventario_Libros!A:B,2,0),"Libro No Existe")</f>
        <v>Pedro Páramo</v>
      </c>
      <c r="J49" t="str">
        <f>IFERROR(VLOOKUP(Prestamos[[#This Row],[ID Libro]],Inventario_Libros!A:C,3,0),"Libro No Existe")</f>
        <v>Juan Rulfo</v>
      </c>
      <c r="K49" t="str">
        <f>IFERROR(VLOOKUP(Prestamos[[#This Row],[ID Libro]],Inventario_Libros!A:D,4,0),"Libro No Existe")</f>
        <v>Novela</v>
      </c>
      <c r="L49">
        <f>IFERROR(VLOOKUP(Prestamos[[#This Row],[ID Libro]],Inventario_Libros!A:E,5,0),"Libro No Existe")</f>
        <v>1920</v>
      </c>
      <c r="M49" t="str">
        <f>_xlfn.XLOOKUP(D:D,Inventario_Libros!A:A,Inventario_Libros!G:G,"No Existe",0)</f>
        <v>No Asignado</v>
      </c>
      <c r="N49" t="str">
        <f>IFERROR(VLOOKUP(Prestamos[[#This Row],[ID Libro]],Inventario_Libros!A:H,8,0),"Libro No Existe")</f>
        <v>Retirado</v>
      </c>
    </row>
    <row r="50" spans="1:14" x14ac:dyDescent="0.3">
      <c r="A50" s="5" t="s">
        <v>577</v>
      </c>
      <c r="B50" s="1">
        <v>45883</v>
      </c>
      <c r="C50" s="1" t="s">
        <v>289</v>
      </c>
      <c r="D50" s="4" t="s">
        <v>360</v>
      </c>
      <c r="E50" s="2" t="s">
        <v>272</v>
      </c>
      <c r="F50" s="2" t="s">
        <v>275</v>
      </c>
      <c r="G50" s="2" t="s">
        <v>253</v>
      </c>
      <c r="H50" s="3">
        <v>1</v>
      </c>
      <c r="I50" t="str">
        <f>IFERROR(VLOOKUP(Prestamos[[#This Row],[ID Libro]],Inventario_Libros!A:B,2,0),"Libro No Existe")</f>
        <v>Sobre La Felicidad</v>
      </c>
      <c r="J50" t="str">
        <f>IFERROR(VLOOKUP(Prestamos[[#This Row],[ID Libro]],Inventario_Libros!A:C,3,0),"Libro No Existe")</f>
        <v>Lucio Anneo Séneca</v>
      </c>
      <c r="K50" t="str">
        <f>IFERROR(VLOOKUP(Prestamos[[#This Row],[ID Libro]],Inventario_Libros!A:D,4,0),"Libro No Existe")</f>
        <v>Filosofía Y Pensamiento</v>
      </c>
      <c r="L50">
        <f>IFERROR(VLOOKUP(Prestamos[[#This Row],[ID Libro]],Inventario_Libros!A:E,5,0),"Libro No Existe")</f>
        <v>1917</v>
      </c>
      <c r="M50" t="str">
        <f>_xlfn.XLOOKUP(D:D,Inventario_Libros!A:A,Inventario_Libros!G:G,"No Existe",0)</f>
        <v>B-2</v>
      </c>
      <c r="N50" t="str">
        <f>IFERROR(VLOOKUP(Prestamos[[#This Row],[ID Libro]],Inventario_Libros!A:H,8,0),"Libro No Existe")</f>
        <v>Retirado</v>
      </c>
    </row>
    <row r="51" spans="1:14" x14ac:dyDescent="0.3">
      <c r="A51" s="5" t="s">
        <v>578</v>
      </c>
      <c r="B51" s="1">
        <v>45881</v>
      </c>
      <c r="C51" s="1">
        <v>45898</v>
      </c>
      <c r="D51" s="4" t="s">
        <v>361</v>
      </c>
      <c r="E51" s="2" t="s">
        <v>272</v>
      </c>
      <c r="F51" s="2" t="s">
        <v>263</v>
      </c>
      <c r="G51" s="2" t="s">
        <v>257</v>
      </c>
      <c r="H51" s="3">
        <v>2</v>
      </c>
      <c r="I51" t="str">
        <f>IFERROR(VLOOKUP(Prestamos[[#This Row],[ID Libro]],Inventario_Libros!A:B,2,0),"Libro No Existe")</f>
        <v>Macbeth</v>
      </c>
      <c r="J51" t="str">
        <f>IFERROR(VLOOKUP(Prestamos[[#This Row],[ID Libro]],Inventario_Libros!A:C,3,0),"Libro No Existe")</f>
        <v>William Shakespeare</v>
      </c>
      <c r="K51" t="str">
        <f>IFERROR(VLOOKUP(Prestamos[[#This Row],[ID Libro]],Inventario_Libros!A:D,4,0),"Libro No Existe")</f>
        <v>Clásicos</v>
      </c>
      <c r="L51">
        <f>IFERROR(VLOOKUP(Prestamos[[#This Row],[ID Libro]],Inventario_Libros!A:E,5,0),"Libro No Existe")</f>
        <v>1883</v>
      </c>
      <c r="M51" t="str">
        <f>_xlfn.XLOOKUP(D:D,Inventario_Libros!A:A,Inventario_Libros!G:G,"No Existe",0)</f>
        <v>Est-1</v>
      </c>
      <c r="N51" t="str">
        <f>IFERROR(VLOOKUP(Prestamos[[#This Row],[ID Libro]],Inventario_Libros!A:H,8,0),"Libro No Existe")</f>
        <v>Activo</v>
      </c>
    </row>
    <row r="52" spans="1:14" x14ac:dyDescent="0.3">
      <c r="A52" s="5" t="s">
        <v>579</v>
      </c>
      <c r="B52" s="1">
        <v>45875</v>
      </c>
      <c r="C52" s="1" t="s">
        <v>289</v>
      </c>
      <c r="D52" s="4" t="s">
        <v>362</v>
      </c>
      <c r="E52" s="2" t="s">
        <v>254</v>
      </c>
      <c r="F52" s="2" t="s">
        <v>258</v>
      </c>
      <c r="G52" s="2" t="s">
        <v>253</v>
      </c>
      <c r="H52" s="3">
        <v>1</v>
      </c>
      <c r="I52" t="str">
        <f>IFERROR(VLOOKUP(Prestamos[[#This Row],[ID Libro]],Inventario_Libros!A:B,2,0),"Libro No Existe")</f>
        <v>Rebelión En La Granja</v>
      </c>
      <c r="J52" t="str">
        <f>IFERROR(VLOOKUP(Prestamos[[#This Row],[ID Libro]],Inventario_Libros!A:C,3,0),"Libro No Existe")</f>
        <v>George Orwell</v>
      </c>
      <c r="K52" t="str">
        <f>IFERROR(VLOOKUP(Prestamos[[#This Row],[ID Libro]],Inventario_Libros!A:D,4,0),"Libro No Existe")</f>
        <v>Ciencia Ficción</v>
      </c>
      <c r="L52">
        <f>IFERROR(VLOOKUP(Prestamos[[#This Row],[ID Libro]],Inventario_Libros!A:E,5,0),"Libro No Existe")</f>
        <v>1910</v>
      </c>
      <c r="M52" t="str">
        <f>_xlfn.XLOOKUP(D:D,Inventario_Libros!A:A,Inventario_Libros!G:G,"No Existe",0)</f>
        <v>Est-1</v>
      </c>
      <c r="N52" t="str">
        <f>IFERROR(VLOOKUP(Prestamos[[#This Row],[ID Libro]],Inventario_Libros!A:H,8,0),"Libro No Existe")</f>
        <v>Retirado</v>
      </c>
    </row>
    <row r="53" spans="1:14" x14ac:dyDescent="0.3">
      <c r="A53" s="5" t="s">
        <v>580</v>
      </c>
      <c r="B53" s="1">
        <v>45875</v>
      </c>
      <c r="C53" s="1" t="s">
        <v>289</v>
      </c>
      <c r="D53" s="4" t="s">
        <v>363</v>
      </c>
      <c r="E53" s="2" t="s">
        <v>271</v>
      </c>
      <c r="F53" s="2" t="s">
        <v>252</v>
      </c>
      <c r="G53" s="2" t="s">
        <v>257</v>
      </c>
      <c r="H53" s="3">
        <v>7</v>
      </c>
      <c r="I53" t="str">
        <f>IFERROR(VLOOKUP(Prestamos[[#This Row],[ID Libro]],Inventario_Libros!A:B,2,0),"Libro No Existe")</f>
        <v>Los Detectives Salvajes</v>
      </c>
      <c r="J53" t="str">
        <f>IFERROR(VLOOKUP(Prestamos[[#This Row],[ID Libro]],Inventario_Libros!A:C,3,0),"Libro No Existe")</f>
        <v>Roberto Bolaño</v>
      </c>
      <c r="K53" t="str">
        <f>IFERROR(VLOOKUP(Prestamos[[#This Row],[ID Libro]],Inventario_Libros!A:D,4,0),"Libro No Existe")</f>
        <v>Novela</v>
      </c>
      <c r="L53">
        <f>IFERROR(VLOOKUP(Prestamos[[#This Row],[ID Libro]],Inventario_Libros!A:E,5,0),"Libro No Existe")</f>
        <v>1898</v>
      </c>
      <c r="M53" t="str">
        <f>_xlfn.XLOOKUP(D:D,Inventario_Libros!A:A,Inventario_Libros!G:G,"No Existe",0)</f>
        <v>Est-1</v>
      </c>
      <c r="N53" t="str">
        <f>IFERROR(VLOOKUP(Prestamos[[#This Row],[ID Libro]],Inventario_Libros!A:H,8,0),"Libro No Existe")</f>
        <v>Retirado</v>
      </c>
    </row>
    <row r="54" spans="1:14" x14ac:dyDescent="0.3">
      <c r="A54" s="5" t="s">
        <v>581</v>
      </c>
      <c r="B54" s="1">
        <v>45872</v>
      </c>
      <c r="C54" s="1" t="s">
        <v>289</v>
      </c>
      <c r="D54" s="4" t="s">
        <v>364</v>
      </c>
      <c r="E54" s="2" t="s">
        <v>269</v>
      </c>
      <c r="F54" s="2" t="s">
        <v>275</v>
      </c>
      <c r="G54" s="2" t="s">
        <v>253</v>
      </c>
      <c r="H54" s="3">
        <v>0</v>
      </c>
      <c r="I54" t="str">
        <f>IFERROR(VLOOKUP(Prestamos[[#This Row],[ID Libro]],Inventario_Libros!A:B,2,0),"Libro No Existe")</f>
        <v>El Amor En Los Tiempos Del Cólera</v>
      </c>
      <c r="J54" t="str">
        <f>IFERROR(VLOOKUP(Prestamos[[#This Row],[ID Libro]],Inventario_Libros!A:C,3,0),"Libro No Existe")</f>
        <v>Gabriel García Márquez</v>
      </c>
      <c r="K54" t="str">
        <f>IFERROR(VLOOKUP(Prestamos[[#This Row],[ID Libro]],Inventario_Libros!A:D,4,0),"Libro No Existe")</f>
        <v>Novela</v>
      </c>
      <c r="L54">
        <f>IFERROR(VLOOKUP(Prestamos[[#This Row],[ID Libro]],Inventario_Libros!A:E,5,0),"Libro No Existe")</f>
        <v>1963</v>
      </c>
      <c r="M54" t="str">
        <f>_xlfn.XLOOKUP(D:D,Inventario_Libros!A:A,Inventario_Libros!G:G,"No Existe",0)</f>
        <v>C-3</v>
      </c>
      <c r="N54" t="str">
        <f>IFERROR(VLOOKUP(Prestamos[[#This Row],[ID Libro]],Inventario_Libros!A:H,8,0),"Libro No Existe")</f>
        <v>Retirado</v>
      </c>
    </row>
    <row r="55" spans="1:14" x14ac:dyDescent="0.3">
      <c r="A55" s="5" t="s">
        <v>582</v>
      </c>
      <c r="B55" s="1">
        <v>45862</v>
      </c>
      <c r="C55" s="1">
        <v>45878</v>
      </c>
      <c r="D55" s="4" t="s">
        <v>365</v>
      </c>
      <c r="E55" s="2" t="s">
        <v>261</v>
      </c>
      <c r="F55" s="2" t="s">
        <v>275</v>
      </c>
      <c r="G55" s="2" t="s">
        <v>257</v>
      </c>
      <c r="H55" s="3">
        <v>1</v>
      </c>
      <c r="I55" t="str">
        <f>IFERROR(VLOOKUP(Prestamos[[#This Row],[ID Libro]],Inventario_Libros!A:B,2,0),"Libro No Existe")</f>
        <v>La Iliada</v>
      </c>
      <c r="J55" t="str">
        <f>IFERROR(VLOOKUP(Prestamos[[#This Row],[ID Libro]],Inventario_Libros!A:C,3,0),"Libro No Existe")</f>
        <v>Homero</v>
      </c>
      <c r="K55" t="str">
        <f>IFERROR(VLOOKUP(Prestamos[[#This Row],[ID Libro]],Inventario_Libros!A:D,4,0),"Libro No Existe")</f>
        <v>Clásicos</v>
      </c>
      <c r="L55">
        <f>IFERROR(VLOOKUP(Prestamos[[#This Row],[ID Libro]],Inventario_Libros!A:E,5,0),"Libro No Existe")</f>
        <v>1924</v>
      </c>
      <c r="M55" t="str">
        <f>_xlfn.XLOOKUP(D:D,Inventario_Libros!A:A,Inventario_Libros!G:G,"No Existe",0)</f>
        <v>Est-1</v>
      </c>
      <c r="N55" t="str">
        <f>IFERROR(VLOOKUP(Prestamos[[#This Row],[ID Libro]],Inventario_Libros!A:H,8,0),"Libro No Existe")</f>
        <v>Activo</v>
      </c>
    </row>
    <row r="56" spans="1:14" x14ac:dyDescent="0.3">
      <c r="A56" s="5" t="s">
        <v>583</v>
      </c>
      <c r="B56" s="1">
        <v>45860</v>
      </c>
      <c r="C56" s="1" t="s">
        <v>289</v>
      </c>
      <c r="D56" s="4" t="s">
        <v>366</v>
      </c>
      <c r="E56" s="2" t="s">
        <v>276</v>
      </c>
      <c r="F56" s="2" t="s">
        <v>263</v>
      </c>
      <c r="G56" s="2" t="s">
        <v>253</v>
      </c>
      <c r="H56" s="3">
        <v>1</v>
      </c>
      <c r="I56" t="str">
        <f>IFERROR(VLOOKUP(Prestamos[[#This Row],[ID Libro]],Inventario_Libros!A:B,2,0),"Libro No Existe")</f>
        <v>1984</v>
      </c>
      <c r="J56" t="str">
        <f>IFERROR(VLOOKUP(Prestamos[[#This Row],[ID Libro]],Inventario_Libros!A:C,3,0),"Libro No Existe")</f>
        <v>George Orwell</v>
      </c>
      <c r="K56" t="str">
        <f>IFERROR(VLOOKUP(Prestamos[[#This Row],[ID Libro]],Inventario_Libros!A:D,4,0),"Libro No Existe")</f>
        <v>Ciencia Ficción</v>
      </c>
      <c r="L56">
        <f>IFERROR(VLOOKUP(Prestamos[[#This Row],[ID Libro]],Inventario_Libros!A:E,5,0),"Libro No Existe")</f>
        <v>1893</v>
      </c>
      <c r="M56" t="str">
        <f>_xlfn.XLOOKUP(D:D,Inventario_Libros!A:A,Inventario_Libros!G:G,"No Existe",0)</f>
        <v>C-3</v>
      </c>
      <c r="N56" t="str">
        <f>IFERROR(VLOOKUP(Prestamos[[#This Row],[ID Libro]],Inventario_Libros!A:H,8,0),"Libro No Existe")</f>
        <v>Activo</v>
      </c>
    </row>
    <row r="57" spans="1:14" x14ac:dyDescent="0.3">
      <c r="A57" s="5" t="s">
        <v>584</v>
      </c>
      <c r="B57" s="1">
        <v>45857</v>
      </c>
      <c r="C57" s="1" t="s">
        <v>289</v>
      </c>
      <c r="D57" s="4" t="s">
        <v>367</v>
      </c>
      <c r="E57" s="2" t="s">
        <v>271</v>
      </c>
      <c r="F57" s="2" t="s">
        <v>275</v>
      </c>
      <c r="G57" s="2" t="s">
        <v>253</v>
      </c>
      <c r="H57" s="3">
        <v>0</v>
      </c>
      <c r="I57" t="str">
        <f>IFERROR(VLOOKUP(Prestamos[[#This Row],[ID Libro]],Inventario_Libros!A:B,2,0),"Libro No Existe")</f>
        <v>1984</v>
      </c>
      <c r="J57" t="str">
        <f>IFERROR(VLOOKUP(Prestamos[[#This Row],[ID Libro]],Inventario_Libros!A:C,3,0),"Libro No Existe")</f>
        <v>George Orwell</v>
      </c>
      <c r="K57" t="str">
        <f>IFERROR(VLOOKUP(Prestamos[[#This Row],[ID Libro]],Inventario_Libros!A:D,4,0),"Libro No Existe")</f>
        <v>Ciencia Ficción</v>
      </c>
      <c r="L57">
        <f>IFERROR(VLOOKUP(Prestamos[[#This Row],[ID Libro]],Inventario_Libros!A:E,5,0),"Libro No Existe")</f>
        <v>1920</v>
      </c>
      <c r="M57" t="str">
        <f>_xlfn.XLOOKUP(D:D,Inventario_Libros!A:A,Inventario_Libros!G:G,"No Existe",0)</f>
        <v>C-3</v>
      </c>
      <c r="N57" t="str">
        <f>IFERROR(VLOOKUP(Prestamos[[#This Row],[ID Libro]],Inventario_Libros!A:H,8,0),"Libro No Existe")</f>
        <v>Activo</v>
      </c>
    </row>
    <row r="58" spans="1:14" x14ac:dyDescent="0.3">
      <c r="A58" s="5" t="s">
        <v>585</v>
      </c>
      <c r="B58" s="1">
        <v>45849</v>
      </c>
      <c r="C58" s="1" t="s">
        <v>289</v>
      </c>
      <c r="D58" s="4" t="s">
        <v>342</v>
      </c>
      <c r="E58" s="2" t="s">
        <v>269</v>
      </c>
      <c r="F58" s="2" t="s">
        <v>252</v>
      </c>
      <c r="G58" s="2" t="s">
        <v>257</v>
      </c>
      <c r="H58" s="3">
        <v>7</v>
      </c>
      <c r="I58" t="str">
        <f>IFERROR(VLOOKUP(Prestamos[[#This Row],[ID Libro]],Inventario_Libros!A:B,2,0),"Libro No Existe")</f>
        <v>Crónica De Una Muerte Anunciada</v>
      </c>
      <c r="J58" t="str">
        <f>IFERROR(VLOOKUP(Prestamos[[#This Row],[ID Libro]],Inventario_Libros!A:C,3,0),"Libro No Existe")</f>
        <v>Gabriel García Márquez</v>
      </c>
      <c r="K58" t="str">
        <f>IFERROR(VLOOKUP(Prestamos[[#This Row],[ID Libro]],Inventario_Libros!A:D,4,0),"Libro No Existe")</f>
        <v>Novela</v>
      </c>
      <c r="L58">
        <f>IFERROR(VLOOKUP(Prestamos[[#This Row],[ID Libro]],Inventario_Libros!A:E,5,0),"Libro No Existe")</f>
        <v>1999</v>
      </c>
      <c r="M58" t="str">
        <f>_xlfn.XLOOKUP(D:D,Inventario_Libros!A:A,Inventario_Libros!G:G,"No Existe",0)</f>
        <v>A-1</v>
      </c>
      <c r="N58" t="str">
        <f>IFERROR(VLOOKUP(Prestamos[[#This Row],[ID Libro]],Inventario_Libros!A:H,8,0),"Libro No Existe")</f>
        <v>Activo</v>
      </c>
    </row>
    <row r="59" spans="1:14" x14ac:dyDescent="0.3">
      <c r="A59" s="5" t="s">
        <v>586</v>
      </c>
      <c r="B59" s="1">
        <v>45842</v>
      </c>
      <c r="C59" s="1" t="s">
        <v>289</v>
      </c>
      <c r="D59" s="4" t="s">
        <v>368</v>
      </c>
      <c r="E59" s="2" t="s">
        <v>277</v>
      </c>
      <c r="F59" s="2" t="s">
        <v>263</v>
      </c>
      <c r="G59" s="2" t="s">
        <v>257</v>
      </c>
      <c r="H59" s="3">
        <v>7</v>
      </c>
      <c r="I59" t="str">
        <f>IFERROR(VLOOKUP(Prestamos[[#This Row],[ID Libro]],Inventario_Libros!A:B,2,0),"Libro No Existe")</f>
        <v>Breve Historia Del Tiempo</v>
      </c>
      <c r="J59" t="str">
        <f>IFERROR(VLOOKUP(Prestamos[[#This Row],[ID Libro]],Inventario_Libros!A:C,3,0),"Libro No Existe")</f>
        <v>Stephen Hawking</v>
      </c>
      <c r="K59" t="str">
        <f>IFERROR(VLOOKUP(Prestamos[[#This Row],[ID Libro]],Inventario_Libros!A:D,4,0),"Libro No Existe")</f>
        <v>Divulgación Científica / Cosmología</v>
      </c>
      <c r="L59">
        <f>IFERROR(VLOOKUP(Prestamos[[#This Row],[ID Libro]],Inventario_Libros!A:E,5,0),"Libro No Existe")</f>
        <v>1889</v>
      </c>
      <c r="M59" t="str">
        <f>_xlfn.XLOOKUP(D:D,Inventario_Libros!A:A,Inventario_Libros!G:G,"No Existe",0)</f>
        <v>Est-1</v>
      </c>
      <c r="N59" t="str">
        <f>IFERROR(VLOOKUP(Prestamos[[#This Row],[ID Libro]],Inventario_Libros!A:H,8,0),"Libro No Existe")</f>
        <v>Retirado</v>
      </c>
    </row>
    <row r="60" spans="1:14" x14ac:dyDescent="0.3">
      <c r="A60" s="5" t="s">
        <v>587</v>
      </c>
      <c r="B60" s="1">
        <v>45841</v>
      </c>
      <c r="C60" s="1" t="s">
        <v>289</v>
      </c>
      <c r="D60" s="4" t="s">
        <v>320</v>
      </c>
      <c r="E60" s="2" t="s">
        <v>259</v>
      </c>
      <c r="F60" s="2" t="s">
        <v>258</v>
      </c>
      <c r="G60" s="2" t="s">
        <v>253</v>
      </c>
      <c r="H60" s="3">
        <v>0</v>
      </c>
      <c r="I60" t="str">
        <f>IFERROR(VLOOKUP(Prestamos[[#This Row],[ID Libro]],Inventario_Libros!A:B,2,0),"Libro No Existe")</f>
        <v>Matadero Cinco</v>
      </c>
      <c r="J60" t="str">
        <f>IFERROR(VLOOKUP(Prestamos[[#This Row],[ID Libro]],Inventario_Libros!A:C,3,0),"Libro No Existe")</f>
        <v>Kurt Vonnegut</v>
      </c>
      <c r="K60" t="str">
        <f>IFERROR(VLOOKUP(Prestamos[[#This Row],[ID Libro]],Inventario_Libros!A:D,4,0),"Libro No Existe")</f>
        <v>Ciencia Ficción</v>
      </c>
      <c r="L60">
        <f>IFERROR(VLOOKUP(Prestamos[[#This Row],[ID Libro]],Inventario_Libros!A:E,5,0),"Libro No Existe")</f>
        <v>1984</v>
      </c>
      <c r="M60" t="str">
        <f>_xlfn.XLOOKUP(D:D,Inventario_Libros!A:A,Inventario_Libros!G:G,"No Existe",0)</f>
        <v>A-1</v>
      </c>
      <c r="N60" t="str">
        <f>IFERROR(VLOOKUP(Prestamos[[#This Row],[ID Libro]],Inventario_Libros!A:H,8,0),"Libro No Existe")</f>
        <v>Retirado</v>
      </c>
    </row>
    <row r="61" spans="1:14" x14ac:dyDescent="0.3">
      <c r="A61" s="5" t="s">
        <v>588</v>
      </c>
      <c r="B61" s="1">
        <v>45836</v>
      </c>
      <c r="C61" s="1">
        <v>45856</v>
      </c>
      <c r="D61" s="4" t="s">
        <v>361</v>
      </c>
      <c r="E61" s="2" t="s">
        <v>277</v>
      </c>
      <c r="F61" s="2" t="s">
        <v>263</v>
      </c>
      <c r="G61" s="2" t="s">
        <v>257</v>
      </c>
      <c r="H61" s="3">
        <v>5</v>
      </c>
      <c r="I61" t="str">
        <f>IFERROR(VLOOKUP(Prestamos[[#This Row],[ID Libro]],Inventario_Libros!A:B,2,0),"Libro No Existe")</f>
        <v>Macbeth</v>
      </c>
      <c r="J61" t="str">
        <f>IFERROR(VLOOKUP(Prestamos[[#This Row],[ID Libro]],Inventario_Libros!A:C,3,0),"Libro No Existe")</f>
        <v>William Shakespeare</v>
      </c>
      <c r="K61" t="str">
        <f>IFERROR(VLOOKUP(Prestamos[[#This Row],[ID Libro]],Inventario_Libros!A:D,4,0),"Libro No Existe")</f>
        <v>Clásicos</v>
      </c>
      <c r="L61">
        <f>IFERROR(VLOOKUP(Prestamos[[#This Row],[ID Libro]],Inventario_Libros!A:E,5,0),"Libro No Existe")</f>
        <v>1883</v>
      </c>
      <c r="M61" t="str">
        <f>_xlfn.XLOOKUP(D:D,Inventario_Libros!A:A,Inventario_Libros!G:G,"No Existe",0)</f>
        <v>Est-1</v>
      </c>
      <c r="N61" t="str">
        <f>IFERROR(VLOOKUP(Prestamos[[#This Row],[ID Libro]],Inventario_Libros!A:H,8,0),"Libro No Existe")</f>
        <v>Activo</v>
      </c>
    </row>
    <row r="62" spans="1:14" x14ac:dyDescent="0.3">
      <c r="A62" s="5" t="s">
        <v>589</v>
      </c>
      <c r="B62" s="1">
        <v>45833</v>
      </c>
      <c r="C62" s="1">
        <v>45858</v>
      </c>
      <c r="D62" s="4" t="s">
        <v>369</v>
      </c>
      <c r="E62" s="2" t="s">
        <v>270</v>
      </c>
      <c r="F62" s="2" t="s">
        <v>255</v>
      </c>
      <c r="G62" s="2" t="s">
        <v>257</v>
      </c>
      <c r="H62" s="3">
        <v>10</v>
      </c>
      <c r="I62" t="str">
        <f>IFERROR(VLOOKUP(Prestamos[[#This Row],[ID Libro]],Inventario_Libros!A:B,2,0),"Libro No Existe")</f>
        <v>El Código Da Vinci</v>
      </c>
      <c r="J62" t="str">
        <f>IFERROR(VLOOKUP(Prestamos[[#This Row],[ID Libro]],Inventario_Libros!A:C,3,0),"Libro No Existe")</f>
        <v>Dan Brown</v>
      </c>
      <c r="K62" t="str">
        <f>IFERROR(VLOOKUP(Prestamos[[#This Row],[ID Libro]],Inventario_Libros!A:D,4,0),"Libro No Existe")</f>
        <v>Misterio</v>
      </c>
      <c r="L62">
        <f>IFERROR(VLOOKUP(Prestamos[[#This Row],[ID Libro]],Inventario_Libros!A:E,5,0),"Libro No Existe")</f>
        <v>1944</v>
      </c>
      <c r="M62" t="str">
        <f>_xlfn.XLOOKUP(D:D,Inventario_Libros!A:A,Inventario_Libros!G:G,"No Existe",0)</f>
        <v>A-1</v>
      </c>
      <c r="N62" t="str">
        <f>IFERROR(VLOOKUP(Prestamos[[#This Row],[ID Libro]],Inventario_Libros!A:H,8,0),"Libro No Existe")</f>
        <v>Activo</v>
      </c>
    </row>
    <row r="63" spans="1:14" x14ac:dyDescent="0.3">
      <c r="A63" s="5" t="s">
        <v>590</v>
      </c>
      <c r="B63" s="1">
        <v>45829</v>
      </c>
      <c r="C63" s="1">
        <v>45854</v>
      </c>
      <c r="D63" s="4" t="s">
        <v>356</v>
      </c>
      <c r="E63" s="2" t="s">
        <v>251</v>
      </c>
      <c r="F63" s="2" t="s">
        <v>263</v>
      </c>
      <c r="G63" s="2" t="s">
        <v>257</v>
      </c>
      <c r="H63" s="3">
        <v>10</v>
      </c>
      <c r="I63" t="str">
        <f>IFERROR(VLOOKUP(Prestamos[[#This Row],[ID Libro]],Inventario_Libros!A:B,2,0),"Libro No Existe")</f>
        <v>Pedro Páramo</v>
      </c>
      <c r="J63" t="str">
        <f>IFERROR(VLOOKUP(Prestamos[[#This Row],[ID Libro]],Inventario_Libros!A:C,3,0),"Libro No Existe")</f>
        <v>Juan Rulfo</v>
      </c>
      <c r="K63" t="str">
        <f>IFERROR(VLOOKUP(Prestamos[[#This Row],[ID Libro]],Inventario_Libros!A:D,4,0),"Libro No Existe")</f>
        <v>Novela</v>
      </c>
      <c r="L63">
        <f>IFERROR(VLOOKUP(Prestamos[[#This Row],[ID Libro]],Inventario_Libros!A:E,5,0),"Libro No Existe")</f>
        <v>1934</v>
      </c>
      <c r="M63" t="str">
        <f>_xlfn.XLOOKUP(D:D,Inventario_Libros!A:A,Inventario_Libros!G:G,"No Existe",0)</f>
        <v>Est-1</v>
      </c>
      <c r="N63" t="str">
        <f>IFERROR(VLOOKUP(Prestamos[[#This Row],[ID Libro]],Inventario_Libros!A:H,8,0),"Libro No Existe")</f>
        <v>Retirado</v>
      </c>
    </row>
    <row r="64" spans="1:14" x14ac:dyDescent="0.3">
      <c r="A64" s="5" t="s">
        <v>591</v>
      </c>
      <c r="B64" s="1">
        <v>45829</v>
      </c>
      <c r="C64" s="1" t="s">
        <v>289</v>
      </c>
      <c r="D64" s="4" t="s">
        <v>370</v>
      </c>
      <c r="E64" s="2" t="s">
        <v>271</v>
      </c>
      <c r="F64" s="2" t="s">
        <v>263</v>
      </c>
      <c r="G64" s="2" t="s">
        <v>253</v>
      </c>
      <c r="H64" s="3">
        <v>0</v>
      </c>
      <c r="I64" t="str">
        <f>IFERROR(VLOOKUP(Prestamos[[#This Row],[ID Libro]],Inventario_Libros!A:B,2,0),"Libro No Existe")</f>
        <v>Breve Historia Del Tiempo</v>
      </c>
      <c r="J64" t="str">
        <f>IFERROR(VLOOKUP(Prestamos[[#This Row],[ID Libro]],Inventario_Libros!A:C,3,0),"Libro No Existe")</f>
        <v>Stephen Hawking</v>
      </c>
      <c r="K64" t="str">
        <f>IFERROR(VLOOKUP(Prestamos[[#This Row],[ID Libro]],Inventario_Libros!A:D,4,0),"Libro No Existe")</f>
        <v>Divulgación Científica / Cosmología</v>
      </c>
      <c r="L64">
        <f>IFERROR(VLOOKUP(Prestamos[[#This Row],[ID Libro]],Inventario_Libros!A:E,5,0),"Libro No Existe")</f>
        <v>2021</v>
      </c>
      <c r="M64" t="str">
        <f>_xlfn.XLOOKUP(D:D,Inventario_Libros!A:A,Inventario_Libros!G:G,"No Existe",0)</f>
        <v>Est-1</v>
      </c>
      <c r="N64" t="str">
        <f>IFERROR(VLOOKUP(Prestamos[[#This Row],[ID Libro]],Inventario_Libros!A:H,8,0),"Libro No Existe")</f>
        <v>Activo</v>
      </c>
    </row>
    <row r="65" spans="1:14" x14ac:dyDescent="0.3">
      <c r="A65" s="5" t="s">
        <v>592</v>
      </c>
      <c r="B65" s="1">
        <v>45819</v>
      </c>
      <c r="C65" s="1" t="s">
        <v>289</v>
      </c>
      <c r="D65" s="4" t="s">
        <v>371</v>
      </c>
      <c r="E65" s="2" t="s">
        <v>261</v>
      </c>
      <c r="F65" s="2" t="s">
        <v>263</v>
      </c>
      <c r="G65" s="2" t="s">
        <v>253</v>
      </c>
      <c r="H65" s="3">
        <v>1</v>
      </c>
      <c r="I65" t="str">
        <f>IFERROR(VLOOKUP(Prestamos[[#This Row],[ID Libro]],Inventario_Libros!A:B,2,0),"Libro No Existe")</f>
        <v>Crónica De Una Muerte Anunciada</v>
      </c>
      <c r="J65" t="str">
        <f>IFERROR(VLOOKUP(Prestamos[[#This Row],[ID Libro]],Inventario_Libros!A:C,3,0),"Libro No Existe")</f>
        <v>Gabriel García Márquez</v>
      </c>
      <c r="K65" t="str">
        <f>IFERROR(VLOOKUP(Prestamos[[#This Row],[ID Libro]],Inventario_Libros!A:D,4,0),"Libro No Existe")</f>
        <v>Novela</v>
      </c>
      <c r="L65">
        <f>IFERROR(VLOOKUP(Prestamos[[#This Row],[ID Libro]],Inventario_Libros!A:E,5,0),"Libro No Existe")</f>
        <v>1965</v>
      </c>
      <c r="M65" t="str">
        <f>_xlfn.XLOOKUP(D:D,Inventario_Libros!A:A,Inventario_Libros!G:G,"No Existe",0)</f>
        <v>A-1</v>
      </c>
      <c r="N65" t="str">
        <f>IFERROR(VLOOKUP(Prestamos[[#This Row],[ID Libro]],Inventario_Libros!A:H,8,0),"Libro No Existe")</f>
        <v>Activo</v>
      </c>
    </row>
    <row r="66" spans="1:14" x14ac:dyDescent="0.3">
      <c r="A66" s="5" t="s">
        <v>593</v>
      </c>
      <c r="B66" s="1">
        <v>45819</v>
      </c>
      <c r="C66" s="1" t="s">
        <v>289</v>
      </c>
      <c r="D66" s="4" t="s">
        <v>372</v>
      </c>
      <c r="E66" s="2" t="s">
        <v>278</v>
      </c>
      <c r="F66" s="2" t="s">
        <v>263</v>
      </c>
      <c r="G66" s="2" t="s">
        <v>257</v>
      </c>
      <c r="H66" s="3">
        <v>7</v>
      </c>
      <c r="I66" t="str">
        <f>IFERROR(VLOOKUP(Prestamos[[#This Row],[ID Libro]],Inventario_Libros!A:B,2,0),"Libro No Existe")</f>
        <v>Don Quijote De La Mancha</v>
      </c>
      <c r="J66" t="str">
        <f>IFERROR(VLOOKUP(Prestamos[[#This Row],[ID Libro]],Inventario_Libros!A:C,3,0),"Libro No Existe")</f>
        <v>Miguel De Cervantes</v>
      </c>
      <c r="K66" t="str">
        <f>IFERROR(VLOOKUP(Prestamos[[#This Row],[ID Libro]],Inventario_Libros!A:D,4,0),"Libro No Existe")</f>
        <v>Novela</v>
      </c>
      <c r="L66">
        <f>IFERROR(VLOOKUP(Prestamos[[#This Row],[ID Libro]],Inventario_Libros!A:E,5,0),"Libro No Existe")</f>
        <v>1944</v>
      </c>
      <c r="M66" t="str">
        <f>_xlfn.XLOOKUP(D:D,Inventario_Libros!A:A,Inventario_Libros!G:G,"No Existe",0)</f>
        <v>B-2</v>
      </c>
      <c r="N66" t="str">
        <f>IFERROR(VLOOKUP(Prestamos[[#This Row],[ID Libro]],Inventario_Libros!A:H,8,0),"Libro No Existe")</f>
        <v>Activo</v>
      </c>
    </row>
    <row r="67" spans="1:14" x14ac:dyDescent="0.3">
      <c r="A67" s="5" t="s">
        <v>594</v>
      </c>
      <c r="B67" s="1">
        <v>45819</v>
      </c>
      <c r="C67" s="1" t="s">
        <v>289</v>
      </c>
      <c r="D67" s="4" t="s">
        <v>373</v>
      </c>
      <c r="E67" s="2" t="s">
        <v>278</v>
      </c>
      <c r="F67" s="2" t="s">
        <v>263</v>
      </c>
      <c r="G67" s="2" t="s">
        <v>253</v>
      </c>
      <c r="H67" s="3">
        <v>0</v>
      </c>
      <c r="I67" t="str">
        <f>IFERROR(VLOOKUP(Prestamos[[#This Row],[ID Libro]],Inventario_Libros!A:B,2,0),"Libro No Existe")</f>
        <v>Ficciones</v>
      </c>
      <c r="J67" t="str">
        <f>IFERROR(VLOOKUP(Prestamos[[#This Row],[ID Libro]],Inventario_Libros!A:C,3,0),"Libro No Existe")</f>
        <v>Jorge Luis Borges</v>
      </c>
      <c r="K67" t="str">
        <f>IFERROR(VLOOKUP(Prestamos[[#This Row],[ID Libro]],Inventario_Libros!A:D,4,0),"Libro No Existe")</f>
        <v>Cuentos / Fantasía Metafísica</v>
      </c>
      <c r="L67">
        <f>IFERROR(VLOOKUP(Prestamos[[#This Row],[ID Libro]],Inventario_Libros!A:E,5,0),"Libro No Existe")</f>
        <v>1990</v>
      </c>
      <c r="M67" t="str">
        <f>_xlfn.XLOOKUP(D:D,Inventario_Libros!A:A,Inventario_Libros!G:G,"No Existe",0)</f>
        <v>B-2</v>
      </c>
      <c r="N67" t="str">
        <f>IFERROR(VLOOKUP(Prestamos[[#This Row],[ID Libro]],Inventario_Libros!A:H,8,0),"Libro No Existe")</f>
        <v>Retirado</v>
      </c>
    </row>
    <row r="68" spans="1:14" x14ac:dyDescent="0.3">
      <c r="A68" s="5" t="s">
        <v>595</v>
      </c>
      <c r="B68" s="1">
        <v>45819</v>
      </c>
      <c r="C68" s="1">
        <v>45839</v>
      </c>
      <c r="D68" s="4" t="s">
        <v>374</v>
      </c>
      <c r="E68" s="2" t="s">
        <v>274</v>
      </c>
      <c r="F68" s="2" t="s">
        <v>263</v>
      </c>
      <c r="G68" s="2" t="s">
        <v>257</v>
      </c>
      <c r="H68" s="3">
        <v>5</v>
      </c>
      <c r="I68" t="str">
        <f>IFERROR(VLOOKUP(Prestamos[[#This Row],[ID Libro]],Inventario_Libros!A:B,2,0),"Libro No Existe")</f>
        <v>La Casa De Los Espíritus</v>
      </c>
      <c r="J68" t="str">
        <f>IFERROR(VLOOKUP(Prestamos[[#This Row],[ID Libro]],Inventario_Libros!A:C,3,0),"Libro No Existe")</f>
        <v>Isabel Allende</v>
      </c>
      <c r="K68" t="str">
        <f>IFERROR(VLOOKUP(Prestamos[[#This Row],[ID Libro]],Inventario_Libros!A:D,4,0),"Libro No Existe")</f>
        <v>Novela</v>
      </c>
      <c r="L68">
        <f>IFERROR(VLOOKUP(Prestamos[[#This Row],[ID Libro]],Inventario_Libros!A:E,5,0),"Libro No Existe")</f>
        <v>1938</v>
      </c>
      <c r="M68" t="str">
        <f>_xlfn.XLOOKUP(D:D,Inventario_Libros!A:A,Inventario_Libros!G:G,"No Existe",0)</f>
        <v>Est-1</v>
      </c>
      <c r="N68" t="str">
        <f>IFERROR(VLOOKUP(Prestamos[[#This Row],[ID Libro]],Inventario_Libros!A:H,8,0),"Libro No Existe")</f>
        <v>Activo</v>
      </c>
    </row>
    <row r="69" spans="1:14" x14ac:dyDescent="0.3">
      <c r="A69" s="5" t="s">
        <v>596</v>
      </c>
      <c r="B69" s="1">
        <v>45814</v>
      </c>
      <c r="C69" s="1" t="s">
        <v>289</v>
      </c>
      <c r="D69" s="4" t="s">
        <v>321</v>
      </c>
      <c r="E69" s="2" t="s">
        <v>273</v>
      </c>
      <c r="F69" s="2" t="s">
        <v>275</v>
      </c>
      <c r="G69" s="2" t="s">
        <v>253</v>
      </c>
      <c r="H69" s="3">
        <v>1</v>
      </c>
      <c r="I69" t="str">
        <f>IFERROR(VLOOKUP(Prestamos[[#This Row],[ID Libro]],Inventario_Libros!A:B,2,0),"Libro No Existe")</f>
        <v>La Ciudad Y Los Perros</v>
      </c>
      <c r="J69" t="str">
        <f>IFERROR(VLOOKUP(Prestamos[[#This Row],[ID Libro]],Inventario_Libros!A:C,3,0),"Libro No Existe")</f>
        <v>Mario Vargas Llosa</v>
      </c>
      <c r="K69" t="str">
        <f>IFERROR(VLOOKUP(Prestamos[[#This Row],[ID Libro]],Inventario_Libros!A:D,4,0),"Libro No Existe")</f>
        <v>Novela</v>
      </c>
      <c r="L69">
        <f>IFERROR(VLOOKUP(Prestamos[[#This Row],[ID Libro]],Inventario_Libros!A:E,5,0),"Libro No Existe")</f>
        <v>1891</v>
      </c>
      <c r="M69" t="str">
        <f>_xlfn.XLOOKUP(D:D,Inventario_Libros!A:A,Inventario_Libros!G:G,"No Existe",0)</f>
        <v>Est-1</v>
      </c>
      <c r="N69" t="str">
        <f>IFERROR(VLOOKUP(Prestamos[[#This Row],[ID Libro]],Inventario_Libros!A:H,8,0),"Libro No Existe")</f>
        <v>Retirado</v>
      </c>
    </row>
    <row r="70" spans="1:14" x14ac:dyDescent="0.3">
      <c r="A70" s="5" t="s">
        <v>597</v>
      </c>
      <c r="B70" s="1">
        <v>45812</v>
      </c>
      <c r="C70" s="1" t="s">
        <v>289</v>
      </c>
      <c r="D70" s="4" t="s">
        <v>375</v>
      </c>
      <c r="E70" s="2" t="s">
        <v>271</v>
      </c>
      <c r="F70" s="2" t="s">
        <v>275</v>
      </c>
      <c r="G70" s="2" t="s">
        <v>257</v>
      </c>
      <c r="H70" s="3">
        <v>7</v>
      </c>
      <c r="I70" t="str">
        <f>IFERROR(VLOOKUP(Prestamos[[#This Row],[ID Libro]],Inventario_Libros!A:B,2,0),"Libro No Existe")</f>
        <v>Matadero Cinco</v>
      </c>
      <c r="J70" t="str">
        <f>IFERROR(VLOOKUP(Prestamos[[#This Row],[ID Libro]],Inventario_Libros!A:C,3,0),"Libro No Existe")</f>
        <v>Kurt Vonnegut</v>
      </c>
      <c r="K70" t="str">
        <f>IFERROR(VLOOKUP(Prestamos[[#This Row],[ID Libro]],Inventario_Libros!A:D,4,0),"Libro No Existe")</f>
        <v>Ciencia Ficción</v>
      </c>
      <c r="L70">
        <f>IFERROR(VLOOKUP(Prestamos[[#This Row],[ID Libro]],Inventario_Libros!A:E,5,0),"Libro No Existe")</f>
        <v>1923</v>
      </c>
      <c r="M70" t="str">
        <f>_xlfn.XLOOKUP(D:D,Inventario_Libros!A:A,Inventario_Libros!G:G,"No Existe",0)</f>
        <v>Est-1</v>
      </c>
      <c r="N70" t="str">
        <f>IFERROR(VLOOKUP(Prestamos[[#This Row],[ID Libro]],Inventario_Libros!A:H,8,0),"Libro No Existe")</f>
        <v>Retirado</v>
      </c>
    </row>
    <row r="71" spans="1:14" x14ac:dyDescent="0.3">
      <c r="A71" s="5" t="s">
        <v>598</v>
      </c>
      <c r="B71" s="1">
        <v>45807</v>
      </c>
      <c r="C71" s="1" t="s">
        <v>289</v>
      </c>
      <c r="D71" s="4" t="s">
        <v>376</v>
      </c>
      <c r="E71" s="2" t="s">
        <v>260</v>
      </c>
      <c r="F71" s="2" t="s">
        <v>252</v>
      </c>
      <c r="G71" s="2" t="s">
        <v>253</v>
      </c>
      <c r="H71" s="3">
        <v>0</v>
      </c>
      <c r="I71" t="str">
        <f>IFERROR(VLOOKUP(Prestamos[[#This Row],[ID Libro]],Inventario_Libros!A:B,2,0),"Libro No Existe")</f>
        <v>El Amor En Los Tiempos Del Cólera</v>
      </c>
      <c r="J71" t="str">
        <f>IFERROR(VLOOKUP(Prestamos[[#This Row],[ID Libro]],Inventario_Libros!A:C,3,0),"Libro No Existe")</f>
        <v>Gabriel García Márquez</v>
      </c>
      <c r="K71" t="str">
        <f>IFERROR(VLOOKUP(Prestamos[[#This Row],[ID Libro]],Inventario_Libros!A:D,4,0),"Libro No Existe")</f>
        <v>Novela</v>
      </c>
      <c r="L71">
        <f>IFERROR(VLOOKUP(Prestamos[[#This Row],[ID Libro]],Inventario_Libros!A:E,5,0),"Libro No Existe")</f>
        <v>1936</v>
      </c>
      <c r="M71" t="str">
        <f>_xlfn.XLOOKUP(D:D,Inventario_Libros!A:A,Inventario_Libros!G:G,"No Existe",0)</f>
        <v>Est-1</v>
      </c>
      <c r="N71" t="str">
        <f>IFERROR(VLOOKUP(Prestamos[[#This Row],[ID Libro]],Inventario_Libros!A:H,8,0),"Libro No Existe")</f>
        <v>Activo</v>
      </c>
    </row>
    <row r="72" spans="1:14" x14ac:dyDescent="0.3">
      <c r="A72" s="5" t="s">
        <v>599</v>
      </c>
      <c r="B72" s="1">
        <v>45800</v>
      </c>
      <c r="C72" s="1">
        <v>45816</v>
      </c>
      <c r="D72" s="4" t="s">
        <v>377</v>
      </c>
      <c r="E72" s="2" t="s">
        <v>269</v>
      </c>
      <c r="F72" s="2" t="s">
        <v>275</v>
      </c>
      <c r="G72" s="2" t="s">
        <v>257</v>
      </c>
      <c r="H72" s="3">
        <v>1</v>
      </c>
      <c r="I72" t="str">
        <f>IFERROR(VLOOKUP(Prestamos[[#This Row],[ID Libro]],Inventario_Libros!A:B,2,0),"Libro No Existe")</f>
        <v>Orgullo Y Prejuicio</v>
      </c>
      <c r="J72" t="str">
        <f>IFERROR(VLOOKUP(Prestamos[[#This Row],[ID Libro]],Inventario_Libros!A:C,3,0),"Libro No Existe")</f>
        <v>Jane Austen</v>
      </c>
      <c r="K72" t="str">
        <f>IFERROR(VLOOKUP(Prestamos[[#This Row],[ID Libro]],Inventario_Libros!A:D,4,0),"Libro No Existe")</f>
        <v>Novela</v>
      </c>
      <c r="L72">
        <f>IFERROR(VLOOKUP(Prestamos[[#This Row],[ID Libro]],Inventario_Libros!A:E,5,0),"Libro No Existe")</f>
        <v>1934</v>
      </c>
      <c r="M72" t="str">
        <f>_xlfn.XLOOKUP(D:D,Inventario_Libros!A:A,Inventario_Libros!G:G,"No Existe",0)</f>
        <v>A-1</v>
      </c>
      <c r="N72" t="str">
        <f>IFERROR(VLOOKUP(Prestamos[[#This Row],[ID Libro]],Inventario_Libros!A:H,8,0),"Libro No Existe")</f>
        <v>Activo</v>
      </c>
    </row>
    <row r="73" spans="1:14" x14ac:dyDescent="0.3">
      <c r="A73" s="5" t="s">
        <v>600</v>
      </c>
      <c r="B73" s="1">
        <v>45799</v>
      </c>
      <c r="C73" s="1" t="s">
        <v>289</v>
      </c>
      <c r="D73" s="4" t="s">
        <v>353</v>
      </c>
      <c r="E73" s="2" t="s">
        <v>251</v>
      </c>
      <c r="F73" s="2" t="s">
        <v>263</v>
      </c>
      <c r="G73" s="2" t="s">
        <v>253</v>
      </c>
      <c r="H73" s="3">
        <v>0</v>
      </c>
      <c r="I73" t="str">
        <f>IFERROR(VLOOKUP(Prestamos[[#This Row],[ID Libro]],Inventario_Libros!A:B,2,0),"Libro No Existe")</f>
        <v>El Código Da Vinci</v>
      </c>
      <c r="J73" t="str">
        <f>IFERROR(VLOOKUP(Prestamos[[#This Row],[ID Libro]],Inventario_Libros!A:C,3,0),"Libro No Existe")</f>
        <v>Dan Brown</v>
      </c>
      <c r="K73" t="str">
        <f>IFERROR(VLOOKUP(Prestamos[[#This Row],[ID Libro]],Inventario_Libros!A:D,4,0),"Libro No Existe")</f>
        <v>Misterio</v>
      </c>
      <c r="L73">
        <f>IFERROR(VLOOKUP(Prestamos[[#This Row],[ID Libro]],Inventario_Libros!A:E,5,0),"Libro No Existe")</f>
        <v>1937</v>
      </c>
      <c r="M73" t="str">
        <f>_xlfn.XLOOKUP(D:D,Inventario_Libros!A:A,Inventario_Libros!G:G,"No Existe",0)</f>
        <v>A-1</v>
      </c>
      <c r="N73" t="str">
        <f>IFERROR(VLOOKUP(Prestamos[[#This Row],[ID Libro]],Inventario_Libros!A:H,8,0),"Libro No Existe")</f>
        <v>Activo</v>
      </c>
    </row>
    <row r="74" spans="1:14" x14ac:dyDescent="0.3">
      <c r="A74" s="5" t="s">
        <v>601</v>
      </c>
      <c r="B74" s="1">
        <v>45791</v>
      </c>
      <c r="C74" s="1" t="s">
        <v>289</v>
      </c>
      <c r="D74" s="4" t="s">
        <v>378</v>
      </c>
      <c r="E74" s="2" t="s">
        <v>266</v>
      </c>
      <c r="F74" s="2" t="s">
        <v>263</v>
      </c>
      <c r="G74" s="2" t="s">
        <v>253</v>
      </c>
      <c r="H74" s="3">
        <v>5</v>
      </c>
      <c r="I74" t="str">
        <f>IFERROR(VLOOKUP(Prestamos[[#This Row],[ID Libro]],Inventario_Libros!A:B,2,0),"Libro No Existe")</f>
        <v>Orgullo Y Prejuicio</v>
      </c>
      <c r="J74" t="str">
        <f>IFERROR(VLOOKUP(Prestamos[[#This Row],[ID Libro]],Inventario_Libros!A:C,3,0),"Libro No Existe")</f>
        <v>Jane Austen</v>
      </c>
      <c r="K74" t="str">
        <f>IFERROR(VLOOKUP(Prestamos[[#This Row],[ID Libro]],Inventario_Libros!A:D,4,0),"Libro No Existe")</f>
        <v>Novela</v>
      </c>
      <c r="L74">
        <f>IFERROR(VLOOKUP(Prestamos[[#This Row],[ID Libro]],Inventario_Libros!A:E,5,0),"Libro No Existe")</f>
        <v>1976</v>
      </c>
      <c r="M74" t="str">
        <f>_xlfn.XLOOKUP(D:D,Inventario_Libros!A:A,Inventario_Libros!G:G,"No Existe",0)</f>
        <v>A-1</v>
      </c>
      <c r="N74" t="str">
        <f>IFERROR(VLOOKUP(Prestamos[[#This Row],[ID Libro]],Inventario_Libros!A:H,8,0),"Libro No Existe")</f>
        <v>Retirado</v>
      </c>
    </row>
    <row r="75" spans="1:14" x14ac:dyDescent="0.3">
      <c r="A75" s="5" t="s">
        <v>602</v>
      </c>
      <c r="B75" s="1">
        <v>45785</v>
      </c>
      <c r="C75" s="1" t="s">
        <v>289</v>
      </c>
      <c r="D75" s="4" t="s">
        <v>319</v>
      </c>
      <c r="E75" s="2" t="s">
        <v>273</v>
      </c>
      <c r="F75" s="2" t="s">
        <v>258</v>
      </c>
      <c r="G75" s="2" t="s">
        <v>257</v>
      </c>
      <c r="H75" s="3">
        <v>7</v>
      </c>
      <c r="I75" t="str">
        <f>IFERROR(VLOOKUP(Prestamos[[#This Row],[ID Libro]],Inventario_Libros!A:B,2,0),"Libro No Existe")</f>
        <v>Crónica De Una Muerte Anunciada</v>
      </c>
      <c r="J75" t="str">
        <f>IFERROR(VLOOKUP(Prestamos[[#This Row],[ID Libro]],Inventario_Libros!A:C,3,0),"Libro No Existe")</f>
        <v>Gabriel García Márquez</v>
      </c>
      <c r="K75" t="str">
        <f>IFERROR(VLOOKUP(Prestamos[[#This Row],[ID Libro]],Inventario_Libros!A:D,4,0),"Libro No Existe")</f>
        <v>Novela</v>
      </c>
      <c r="L75">
        <f>IFERROR(VLOOKUP(Prestamos[[#This Row],[ID Libro]],Inventario_Libros!A:E,5,0),"Libro No Existe")</f>
        <v>1929</v>
      </c>
      <c r="M75" t="str">
        <f>_xlfn.XLOOKUP(D:D,Inventario_Libros!A:A,Inventario_Libros!G:G,"No Existe",0)</f>
        <v>Est-1</v>
      </c>
      <c r="N75" t="str">
        <f>IFERROR(VLOOKUP(Prestamos[[#This Row],[ID Libro]],Inventario_Libros!A:H,8,0),"Libro No Existe")</f>
        <v>Activo</v>
      </c>
    </row>
    <row r="76" spans="1:14" x14ac:dyDescent="0.3">
      <c r="A76" s="5" t="s">
        <v>603</v>
      </c>
      <c r="B76" s="1">
        <v>45778</v>
      </c>
      <c r="C76" s="1">
        <v>45795</v>
      </c>
      <c r="D76" s="4" t="s">
        <v>379</v>
      </c>
      <c r="E76" s="2" t="s">
        <v>256</v>
      </c>
      <c r="F76" s="2" t="s">
        <v>263</v>
      </c>
      <c r="G76" s="2" t="s">
        <v>257</v>
      </c>
      <c r="H76" s="3">
        <v>2</v>
      </c>
      <c r="I76" t="str">
        <f>IFERROR(VLOOKUP(Prestamos[[#This Row],[ID Libro]],Inventario_Libros!A:B,2,0),"Libro No Existe")</f>
        <v>La Sombra Del Viento</v>
      </c>
      <c r="J76" t="str">
        <f>IFERROR(VLOOKUP(Prestamos[[#This Row],[ID Libro]],Inventario_Libros!A:C,3,0),"Libro No Existe")</f>
        <v>Carlos Ruiz Zafón</v>
      </c>
      <c r="K76" t="str">
        <f>IFERROR(VLOOKUP(Prestamos[[#This Row],[ID Libro]],Inventario_Libros!A:D,4,0),"Libro No Existe")</f>
        <v>Misterio</v>
      </c>
      <c r="L76">
        <f>IFERROR(VLOOKUP(Prestamos[[#This Row],[ID Libro]],Inventario_Libros!A:E,5,0),"Libro No Existe")</f>
        <v>1929</v>
      </c>
      <c r="M76" t="str">
        <f>_xlfn.XLOOKUP(D:D,Inventario_Libros!A:A,Inventario_Libros!G:G,"No Existe",0)</f>
        <v>Est-1</v>
      </c>
      <c r="N76" t="str">
        <f>IFERROR(VLOOKUP(Prestamos[[#This Row],[ID Libro]],Inventario_Libros!A:H,8,0),"Libro No Existe")</f>
        <v>Retirado</v>
      </c>
    </row>
    <row r="77" spans="1:14" x14ac:dyDescent="0.3">
      <c r="A77" s="5" t="s">
        <v>604</v>
      </c>
      <c r="B77" s="1">
        <v>45774</v>
      </c>
      <c r="C77" s="1" t="s">
        <v>289</v>
      </c>
      <c r="D77" s="4" t="s">
        <v>356</v>
      </c>
      <c r="E77" s="2" t="s">
        <v>254</v>
      </c>
      <c r="F77" s="2" t="s">
        <v>275</v>
      </c>
      <c r="G77" s="2" t="s">
        <v>253</v>
      </c>
      <c r="H77" s="3">
        <v>5</v>
      </c>
      <c r="I77" t="str">
        <f>IFERROR(VLOOKUP(Prestamos[[#This Row],[ID Libro]],Inventario_Libros!A:B,2,0),"Libro No Existe")</f>
        <v>Pedro Páramo</v>
      </c>
      <c r="J77" t="str">
        <f>IFERROR(VLOOKUP(Prestamos[[#This Row],[ID Libro]],Inventario_Libros!A:C,3,0),"Libro No Existe")</f>
        <v>Juan Rulfo</v>
      </c>
      <c r="K77" t="str">
        <f>IFERROR(VLOOKUP(Prestamos[[#This Row],[ID Libro]],Inventario_Libros!A:D,4,0),"Libro No Existe")</f>
        <v>Novela</v>
      </c>
      <c r="L77">
        <f>IFERROR(VLOOKUP(Prestamos[[#This Row],[ID Libro]],Inventario_Libros!A:E,5,0),"Libro No Existe")</f>
        <v>1934</v>
      </c>
      <c r="M77" t="str">
        <f>_xlfn.XLOOKUP(D:D,Inventario_Libros!A:A,Inventario_Libros!G:G,"No Existe",0)</f>
        <v>Est-1</v>
      </c>
      <c r="N77" t="str">
        <f>IFERROR(VLOOKUP(Prestamos[[#This Row],[ID Libro]],Inventario_Libros!A:H,8,0),"Libro No Existe")</f>
        <v>Retirado</v>
      </c>
    </row>
    <row r="78" spans="1:14" x14ac:dyDescent="0.3">
      <c r="A78" s="5" t="s">
        <v>605</v>
      </c>
      <c r="B78" s="1">
        <v>45774</v>
      </c>
      <c r="C78" s="1" t="s">
        <v>289</v>
      </c>
      <c r="D78" s="4" t="s">
        <v>380</v>
      </c>
      <c r="E78" s="2" t="s">
        <v>256</v>
      </c>
      <c r="F78" s="2" t="s">
        <v>255</v>
      </c>
      <c r="G78" s="2" t="s">
        <v>257</v>
      </c>
      <c r="H78" s="3">
        <v>3</v>
      </c>
      <c r="I78" t="str">
        <f>IFERROR(VLOOKUP(Prestamos[[#This Row],[ID Libro]],Inventario_Libros!A:B,2,0),"Libro No Existe")</f>
        <v>El Amor En Los Tiempos Del Cólera</v>
      </c>
      <c r="J78" t="str">
        <f>IFERROR(VLOOKUP(Prestamos[[#This Row],[ID Libro]],Inventario_Libros!A:C,3,0),"Libro No Existe")</f>
        <v>Gabriel García Márquez</v>
      </c>
      <c r="K78" t="str">
        <f>IFERROR(VLOOKUP(Prestamos[[#This Row],[ID Libro]],Inventario_Libros!A:D,4,0),"Libro No Existe")</f>
        <v>Novela</v>
      </c>
      <c r="L78">
        <f>IFERROR(VLOOKUP(Prestamos[[#This Row],[ID Libro]],Inventario_Libros!A:E,5,0),"Libro No Existe")</f>
        <v>1991</v>
      </c>
      <c r="M78" t="str">
        <f>_xlfn.XLOOKUP(D:D,Inventario_Libros!A:A,Inventario_Libros!G:G,"No Existe",0)</f>
        <v>C-3</v>
      </c>
      <c r="N78" t="str">
        <f>IFERROR(VLOOKUP(Prestamos[[#This Row],[ID Libro]],Inventario_Libros!A:H,8,0),"Libro No Existe")</f>
        <v>Activo</v>
      </c>
    </row>
    <row r="79" spans="1:14" x14ac:dyDescent="0.3">
      <c r="A79" s="5" t="s">
        <v>606</v>
      </c>
      <c r="B79" s="1">
        <v>45772</v>
      </c>
      <c r="C79" s="1" t="s">
        <v>289</v>
      </c>
      <c r="D79" s="4" t="s">
        <v>381</v>
      </c>
      <c r="E79" s="2" t="s">
        <v>271</v>
      </c>
      <c r="F79" s="2" t="s">
        <v>258</v>
      </c>
      <c r="G79" s="2" t="s">
        <v>253</v>
      </c>
      <c r="H79" s="3">
        <v>5</v>
      </c>
      <c r="I79" t="str">
        <f>IFERROR(VLOOKUP(Prestamos[[#This Row],[ID Libro]],Inventario_Libros!A:B,2,0),"Libro No Existe")</f>
        <v>Rebelión En La Granja</v>
      </c>
      <c r="J79" t="str">
        <f>IFERROR(VLOOKUP(Prestamos[[#This Row],[ID Libro]],Inventario_Libros!A:C,3,0),"Libro No Existe")</f>
        <v>George Orwell</v>
      </c>
      <c r="K79" t="str">
        <f>IFERROR(VLOOKUP(Prestamos[[#This Row],[ID Libro]],Inventario_Libros!A:D,4,0),"Libro No Existe")</f>
        <v>Ciencia Ficción</v>
      </c>
      <c r="L79">
        <f>IFERROR(VLOOKUP(Prestamos[[#This Row],[ID Libro]],Inventario_Libros!A:E,5,0),"Libro No Existe")</f>
        <v>1995</v>
      </c>
      <c r="M79" t="str">
        <f>_xlfn.XLOOKUP(D:D,Inventario_Libros!A:A,Inventario_Libros!G:G,"No Existe",0)</f>
        <v>A-1</v>
      </c>
      <c r="N79" t="str">
        <f>IFERROR(VLOOKUP(Prestamos[[#This Row],[ID Libro]],Inventario_Libros!A:H,8,0),"Libro No Existe")</f>
        <v>Activo</v>
      </c>
    </row>
    <row r="80" spans="1:14" x14ac:dyDescent="0.3">
      <c r="A80" s="5" t="s">
        <v>607</v>
      </c>
      <c r="B80" s="1">
        <v>45771</v>
      </c>
      <c r="C80" s="1">
        <v>45787</v>
      </c>
      <c r="D80" s="4" t="s">
        <v>382</v>
      </c>
      <c r="E80" s="2" t="s">
        <v>271</v>
      </c>
      <c r="F80" s="2" t="s">
        <v>258</v>
      </c>
      <c r="G80" s="2" t="s">
        <v>257</v>
      </c>
      <c r="H80" s="3">
        <v>1</v>
      </c>
      <c r="I80" t="str">
        <f>IFERROR(VLOOKUP(Prestamos[[#This Row],[ID Libro]],Inventario_Libros!A:B,2,0),"Libro No Existe")</f>
        <v>Crónica De Una Muerte Anunciada</v>
      </c>
      <c r="J80" t="str">
        <f>IFERROR(VLOOKUP(Prestamos[[#This Row],[ID Libro]],Inventario_Libros!A:C,3,0),"Libro No Existe")</f>
        <v>Gabriel García Márquez</v>
      </c>
      <c r="K80" t="str">
        <f>IFERROR(VLOOKUP(Prestamos[[#This Row],[ID Libro]],Inventario_Libros!A:D,4,0),"Libro No Existe")</f>
        <v>Novela</v>
      </c>
      <c r="L80">
        <f>IFERROR(VLOOKUP(Prestamos[[#This Row],[ID Libro]],Inventario_Libros!A:E,5,0),"Libro No Existe")</f>
        <v>1987</v>
      </c>
      <c r="M80" t="str">
        <f>_xlfn.XLOOKUP(D:D,Inventario_Libros!A:A,Inventario_Libros!G:G,"No Existe",0)</f>
        <v>A-1</v>
      </c>
      <c r="N80" t="str">
        <f>IFERROR(VLOOKUP(Prestamos[[#This Row],[ID Libro]],Inventario_Libros!A:H,8,0),"Libro No Existe")</f>
        <v>Activo</v>
      </c>
    </row>
    <row r="81" spans="1:14" x14ac:dyDescent="0.3">
      <c r="A81" s="5" t="s">
        <v>608</v>
      </c>
      <c r="B81" s="1">
        <v>45769</v>
      </c>
      <c r="C81" s="1" t="s">
        <v>289</v>
      </c>
      <c r="D81" s="4" t="s">
        <v>383</v>
      </c>
      <c r="E81" s="2" t="s">
        <v>264</v>
      </c>
      <c r="F81" s="2" t="s">
        <v>275</v>
      </c>
      <c r="G81" s="2" t="s">
        <v>253</v>
      </c>
      <c r="H81" s="3">
        <v>5</v>
      </c>
      <c r="I81" t="str">
        <f>IFERROR(VLOOKUP(Prestamos[[#This Row],[ID Libro]],Inventario_Libros!A:B,2,0),"Libro No Existe")</f>
        <v>Don Quijote De La Mancha</v>
      </c>
      <c r="J81" t="str">
        <f>IFERROR(VLOOKUP(Prestamos[[#This Row],[ID Libro]],Inventario_Libros!A:C,3,0),"Libro No Existe")</f>
        <v>Miguel De Cervantes</v>
      </c>
      <c r="K81" t="str">
        <f>IFERROR(VLOOKUP(Prestamos[[#This Row],[ID Libro]],Inventario_Libros!A:D,4,0),"Libro No Existe")</f>
        <v>Novela</v>
      </c>
      <c r="L81">
        <f>IFERROR(VLOOKUP(Prestamos[[#This Row],[ID Libro]],Inventario_Libros!A:E,5,0),"Libro No Existe")</f>
        <v>1910</v>
      </c>
      <c r="M81" t="str">
        <f>_xlfn.XLOOKUP(D:D,Inventario_Libros!A:A,Inventario_Libros!G:G,"No Existe",0)</f>
        <v>B-2</v>
      </c>
      <c r="N81" t="str">
        <f>IFERROR(VLOOKUP(Prestamos[[#This Row],[ID Libro]],Inventario_Libros!A:H,8,0),"Libro No Existe")</f>
        <v>Activo</v>
      </c>
    </row>
    <row r="82" spans="1:14" x14ac:dyDescent="0.3">
      <c r="A82" s="5" t="s">
        <v>609</v>
      </c>
      <c r="B82" s="1">
        <v>45769</v>
      </c>
      <c r="C82" s="1">
        <v>45794</v>
      </c>
      <c r="D82" s="4" t="s">
        <v>384</v>
      </c>
      <c r="E82" s="2" t="s">
        <v>260</v>
      </c>
      <c r="F82" s="2" t="s">
        <v>263</v>
      </c>
      <c r="G82" s="2" t="s">
        <v>257</v>
      </c>
      <c r="H82" s="3">
        <v>10</v>
      </c>
      <c r="I82" t="str">
        <f>IFERROR(VLOOKUP(Prestamos[[#This Row],[ID Libro]],Inventario_Libros!A:B,2,0),"Libro No Existe")</f>
        <v>La Odisea</v>
      </c>
      <c r="J82" t="str">
        <f>IFERROR(VLOOKUP(Prestamos[[#This Row],[ID Libro]],Inventario_Libros!A:C,3,0),"Libro No Existe")</f>
        <v>Homero</v>
      </c>
      <c r="K82" t="str">
        <f>IFERROR(VLOOKUP(Prestamos[[#This Row],[ID Libro]],Inventario_Libros!A:D,4,0),"Libro No Existe")</f>
        <v>Clásicos</v>
      </c>
      <c r="L82">
        <f>IFERROR(VLOOKUP(Prestamos[[#This Row],[ID Libro]],Inventario_Libros!A:E,5,0),"Libro No Existe")</f>
        <v>2021</v>
      </c>
      <c r="M82" t="str">
        <f>_xlfn.XLOOKUP(D:D,Inventario_Libros!A:A,Inventario_Libros!G:G,"No Existe",0)</f>
        <v>A-1</v>
      </c>
      <c r="N82" t="str">
        <f>IFERROR(VLOOKUP(Prestamos[[#This Row],[ID Libro]],Inventario_Libros!A:H,8,0),"Libro No Existe")</f>
        <v>Activo</v>
      </c>
    </row>
    <row r="83" spans="1:14" x14ac:dyDescent="0.3">
      <c r="A83" s="5" t="s">
        <v>610</v>
      </c>
      <c r="B83" s="1">
        <v>45765</v>
      </c>
      <c r="C83" s="1" t="s">
        <v>289</v>
      </c>
      <c r="D83" s="4" t="s">
        <v>385</v>
      </c>
      <c r="E83" s="2" t="s">
        <v>267</v>
      </c>
      <c r="F83" s="2" t="s">
        <v>258</v>
      </c>
      <c r="G83" s="2" t="s">
        <v>257</v>
      </c>
      <c r="H83" s="3">
        <v>3</v>
      </c>
      <c r="I83" t="str">
        <f>IFERROR(VLOOKUP(Prestamos[[#This Row],[ID Libro]],Inventario_Libros!A:B,2,0),"Libro No Existe")</f>
        <v>Cien Años De Soledad</v>
      </c>
      <c r="J83" t="str">
        <f>IFERROR(VLOOKUP(Prestamos[[#This Row],[ID Libro]],Inventario_Libros!A:C,3,0),"Libro No Existe")</f>
        <v>Gabriel García Márquez</v>
      </c>
      <c r="K83" t="str">
        <f>IFERROR(VLOOKUP(Prestamos[[#This Row],[ID Libro]],Inventario_Libros!A:D,4,0),"Libro No Existe")</f>
        <v>Novela</v>
      </c>
      <c r="L83">
        <f>IFERROR(VLOOKUP(Prestamos[[#This Row],[ID Libro]],Inventario_Libros!A:E,5,0),"Libro No Existe")</f>
        <v>2016</v>
      </c>
      <c r="M83" t="str">
        <f>_xlfn.XLOOKUP(D:D,Inventario_Libros!A:A,Inventario_Libros!G:G,"No Existe",0)</f>
        <v>C-3</v>
      </c>
      <c r="N83" t="str">
        <f>IFERROR(VLOOKUP(Prestamos[[#This Row],[ID Libro]],Inventario_Libros!A:H,8,0),"Libro No Existe")</f>
        <v>Activo</v>
      </c>
    </row>
    <row r="84" spans="1:14" x14ac:dyDescent="0.3">
      <c r="A84" s="5" t="s">
        <v>611</v>
      </c>
      <c r="B84" s="1">
        <v>45765</v>
      </c>
      <c r="C84" s="1" t="s">
        <v>289</v>
      </c>
      <c r="D84" s="4" t="s">
        <v>386</v>
      </c>
      <c r="E84" s="2" t="s">
        <v>266</v>
      </c>
      <c r="F84" s="2" t="s">
        <v>255</v>
      </c>
      <c r="G84" s="2" t="s">
        <v>257</v>
      </c>
      <c r="H84" s="3">
        <v>3</v>
      </c>
      <c r="I84" t="str">
        <f>IFERROR(VLOOKUP(Prestamos[[#This Row],[ID Libro]],Inventario_Libros!A:B,2,0),"Libro No Existe")</f>
        <v>El Amor En Los Tiempos Del Cólera</v>
      </c>
      <c r="J84" t="str">
        <f>IFERROR(VLOOKUP(Prestamos[[#This Row],[ID Libro]],Inventario_Libros!A:C,3,0),"Libro No Existe")</f>
        <v>Gabriel García Márquez</v>
      </c>
      <c r="K84" t="str">
        <f>IFERROR(VLOOKUP(Prestamos[[#This Row],[ID Libro]],Inventario_Libros!A:D,4,0),"Libro No Existe")</f>
        <v>Novela</v>
      </c>
      <c r="L84">
        <f>IFERROR(VLOOKUP(Prestamos[[#This Row],[ID Libro]],Inventario_Libros!A:E,5,0),"Libro No Existe")</f>
        <v>1954</v>
      </c>
      <c r="M84" t="str">
        <f>_xlfn.XLOOKUP(D:D,Inventario_Libros!A:A,Inventario_Libros!G:G,"No Existe",0)</f>
        <v>B-2</v>
      </c>
      <c r="N84" t="str">
        <f>IFERROR(VLOOKUP(Prestamos[[#This Row],[ID Libro]],Inventario_Libros!A:H,8,0),"Libro No Existe")</f>
        <v>Retirado</v>
      </c>
    </row>
    <row r="85" spans="1:14" x14ac:dyDescent="0.3">
      <c r="A85" s="5" t="s">
        <v>612</v>
      </c>
      <c r="B85" s="1">
        <v>45763</v>
      </c>
      <c r="C85" s="1">
        <v>45779</v>
      </c>
      <c r="D85" s="4" t="s">
        <v>387</v>
      </c>
      <c r="E85" s="2" t="s">
        <v>273</v>
      </c>
      <c r="F85" s="2" t="s">
        <v>263</v>
      </c>
      <c r="G85" s="2" t="s">
        <v>257</v>
      </c>
      <c r="H85" s="3">
        <v>1</v>
      </c>
      <c r="I85" t="str">
        <f>IFERROR(VLOOKUP(Prestamos[[#This Row],[ID Libro]],Inventario_Libros!A:B,2,0),"Libro No Existe")</f>
        <v>El Amor En Los Tiempos Del Cólera</v>
      </c>
      <c r="J85" t="str">
        <f>IFERROR(VLOOKUP(Prestamos[[#This Row],[ID Libro]],Inventario_Libros!A:C,3,0),"Libro No Existe")</f>
        <v>Gabriel García Márquez</v>
      </c>
      <c r="K85" t="str">
        <f>IFERROR(VLOOKUP(Prestamos[[#This Row],[ID Libro]],Inventario_Libros!A:D,4,0),"Libro No Existe")</f>
        <v>Novela</v>
      </c>
      <c r="L85">
        <f>IFERROR(VLOOKUP(Prestamos[[#This Row],[ID Libro]],Inventario_Libros!A:E,5,0),"Libro No Existe")</f>
        <v>2022</v>
      </c>
      <c r="M85" t="str">
        <f>_xlfn.XLOOKUP(D:D,Inventario_Libros!A:A,Inventario_Libros!G:G,"No Existe",0)</f>
        <v>A-1</v>
      </c>
      <c r="N85" t="str">
        <f>IFERROR(VLOOKUP(Prestamos[[#This Row],[ID Libro]],Inventario_Libros!A:H,8,0),"Libro No Existe")</f>
        <v>Activo</v>
      </c>
    </row>
    <row r="86" spans="1:14" x14ac:dyDescent="0.3">
      <c r="A86" s="5" t="s">
        <v>613</v>
      </c>
      <c r="B86" s="1">
        <v>45763</v>
      </c>
      <c r="C86" s="1" t="s">
        <v>289</v>
      </c>
      <c r="D86" s="4" t="s">
        <v>388</v>
      </c>
      <c r="E86" s="2" t="s">
        <v>267</v>
      </c>
      <c r="F86" s="2" t="s">
        <v>263</v>
      </c>
      <c r="G86" s="2" t="s">
        <v>253</v>
      </c>
      <c r="H86" s="3">
        <v>5</v>
      </c>
      <c r="I86" t="str">
        <f>IFERROR(VLOOKUP(Prestamos[[#This Row],[ID Libro]],Inventario_Libros!A:B,2,0),"Libro No Existe")</f>
        <v>La Sombra Del Viento</v>
      </c>
      <c r="J86" t="str">
        <f>IFERROR(VLOOKUP(Prestamos[[#This Row],[ID Libro]],Inventario_Libros!A:C,3,0),"Libro No Existe")</f>
        <v>Carlos Ruiz Zafón</v>
      </c>
      <c r="K86" t="str">
        <f>IFERROR(VLOOKUP(Prestamos[[#This Row],[ID Libro]],Inventario_Libros!A:D,4,0),"Libro No Existe")</f>
        <v>Misterio</v>
      </c>
      <c r="L86">
        <f>IFERROR(VLOOKUP(Prestamos[[#This Row],[ID Libro]],Inventario_Libros!A:E,5,0),"Libro No Existe")</f>
        <v>1923</v>
      </c>
      <c r="M86" t="str">
        <f>_xlfn.XLOOKUP(D:D,Inventario_Libros!A:A,Inventario_Libros!G:G,"No Existe",0)</f>
        <v>B-2</v>
      </c>
      <c r="N86" t="str">
        <f>IFERROR(VLOOKUP(Prestamos[[#This Row],[ID Libro]],Inventario_Libros!A:H,8,0),"Libro No Existe")</f>
        <v>Retirado</v>
      </c>
    </row>
    <row r="87" spans="1:14" x14ac:dyDescent="0.3">
      <c r="A87" s="5" t="s">
        <v>614</v>
      </c>
      <c r="B87" s="1">
        <v>45760</v>
      </c>
      <c r="C87" s="1" t="s">
        <v>289</v>
      </c>
      <c r="D87" s="4" t="s">
        <v>389</v>
      </c>
      <c r="E87" s="2" t="s">
        <v>278</v>
      </c>
      <c r="F87" s="2" t="s">
        <v>263</v>
      </c>
      <c r="G87" s="2" t="s">
        <v>257</v>
      </c>
      <c r="H87" s="3">
        <v>3</v>
      </c>
      <c r="I87" t="str">
        <f>IFERROR(VLOOKUP(Prestamos[[#This Row],[ID Libro]],Inventario_Libros!A:B,2,0),"Libro No Existe")</f>
        <v>Crónica De Una Muerte Anunciada</v>
      </c>
      <c r="J87" t="str">
        <f>IFERROR(VLOOKUP(Prestamos[[#This Row],[ID Libro]],Inventario_Libros!A:C,3,0),"Libro No Existe")</f>
        <v>Gabriel García Márquez</v>
      </c>
      <c r="K87" t="str">
        <f>IFERROR(VLOOKUP(Prestamos[[#This Row],[ID Libro]],Inventario_Libros!A:D,4,0),"Libro No Existe")</f>
        <v>Novela</v>
      </c>
      <c r="L87">
        <f>IFERROR(VLOOKUP(Prestamos[[#This Row],[ID Libro]],Inventario_Libros!A:E,5,0),"Libro No Existe")</f>
        <v>1957</v>
      </c>
      <c r="M87" t="str">
        <f>_xlfn.XLOOKUP(D:D,Inventario_Libros!A:A,Inventario_Libros!G:G,"No Existe",0)</f>
        <v>Est-1</v>
      </c>
      <c r="N87" t="str">
        <f>IFERROR(VLOOKUP(Prestamos[[#This Row],[ID Libro]],Inventario_Libros!A:H,8,0),"Libro No Existe")</f>
        <v>Activo</v>
      </c>
    </row>
    <row r="88" spans="1:14" x14ac:dyDescent="0.3">
      <c r="A88" s="5" t="s">
        <v>615</v>
      </c>
      <c r="B88" s="1">
        <v>45760</v>
      </c>
      <c r="C88" s="1" t="s">
        <v>289</v>
      </c>
      <c r="D88" s="4" t="s">
        <v>390</v>
      </c>
      <c r="E88" s="2" t="s">
        <v>271</v>
      </c>
      <c r="F88" s="2" t="s">
        <v>255</v>
      </c>
      <c r="G88" s="2" t="s">
        <v>257</v>
      </c>
      <c r="H88" s="3">
        <v>5</v>
      </c>
      <c r="I88" t="str">
        <f>IFERROR(VLOOKUP(Prestamos[[#This Row],[ID Libro]],Inventario_Libros!A:B,2,0),"Libro No Existe")</f>
        <v>El Túnel</v>
      </c>
      <c r="J88" t="str">
        <f>IFERROR(VLOOKUP(Prestamos[[#This Row],[ID Libro]],Inventario_Libros!A:C,3,0),"Libro No Existe")</f>
        <v>Ernesto Sabato</v>
      </c>
      <c r="K88" t="str">
        <f>IFERROR(VLOOKUP(Prestamos[[#This Row],[ID Libro]],Inventario_Libros!A:D,4,0),"Libro No Existe")</f>
        <v>Novela</v>
      </c>
      <c r="L88">
        <f>IFERROR(VLOOKUP(Prestamos[[#This Row],[ID Libro]],Inventario_Libros!A:E,5,0),"Libro No Existe")</f>
        <v>1936</v>
      </c>
      <c r="M88" t="str">
        <f>_xlfn.XLOOKUP(D:D,Inventario_Libros!A:A,Inventario_Libros!G:G,"No Existe",0)</f>
        <v>A-1</v>
      </c>
      <c r="N88" t="str">
        <f>IFERROR(VLOOKUP(Prestamos[[#This Row],[ID Libro]],Inventario_Libros!A:H,8,0),"Libro No Existe")</f>
        <v>Retirado</v>
      </c>
    </row>
    <row r="89" spans="1:14" x14ac:dyDescent="0.3">
      <c r="A89" s="5" t="s">
        <v>616</v>
      </c>
      <c r="B89" s="1">
        <v>45758</v>
      </c>
      <c r="C89" s="1" t="s">
        <v>289</v>
      </c>
      <c r="D89" s="4" t="s">
        <v>391</v>
      </c>
      <c r="E89" s="2" t="s">
        <v>277</v>
      </c>
      <c r="F89" s="2" t="s">
        <v>263</v>
      </c>
      <c r="G89" s="2" t="s">
        <v>257</v>
      </c>
      <c r="H89" s="3">
        <v>3</v>
      </c>
      <c r="I89" t="str">
        <f>IFERROR(VLOOKUP(Prestamos[[#This Row],[ID Libro]],Inventario_Libros!A:B,2,0),"Libro No Existe")</f>
        <v>El Código Da Vinci</v>
      </c>
      <c r="J89" t="str">
        <f>IFERROR(VLOOKUP(Prestamos[[#This Row],[ID Libro]],Inventario_Libros!A:C,3,0),"Libro No Existe")</f>
        <v>Dan Brown</v>
      </c>
      <c r="K89" t="str">
        <f>IFERROR(VLOOKUP(Prestamos[[#This Row],[ID Libro]],Inventario_Libros!A:D,4,0),"Libro No Existe")</f>
        <v>Misterio</v>
      </c>
      <c r="L89">
        <f>IFERROR(VLOOKUP(Prestamos[[#This Row],[ID Libro]],Inventario_Libros!A:E,5,0),"Libro No Existe")</f>
        <v>1935</v>
      </c>
      <c r="M89" t="str">
        <f>_xlfn.XLOOKUP(D:D,Inventario_Libros!A:A,Inventario_Libros!G:G,"No Existe",0)</f>
        <v>A-1</v>
      </c>
      <c r="N89" t="str">
        <f>IFERROR(VLOOKUP(Prestamos[[#This Row],[ID Libro]],Inventario_Libros!A:H,8,0),"Libro No Existe")</f>
        <v>Retirado</v>
      </c>
    </row>
    <row r="90" spans="1:14" x14ac:dyDescent="0.3">
      <c r="A90" s="5" t="s">
        <v>617</v>
      </c>
      <c r="B90" s="1">
        <v>45755</v>
      </c>
      <c r="C90" s="1">
        <v>45775</v>
      </c>
      <c r="D90" s="4" t="s">
        <v>392</v>
      </c>
      <c r="E90" s="2" t="s">
        <v>256</v>
      </c>
      <c r="F90" s="2" t="s">
        <v>275</v>
      </c>
      <c r="G90" s="2" t="s">
        <v>257</v>
      </c>
      <c r="H90" s="3">
        <v>5</v>
      </c>
      <c r="I90" t="str">
        <f>IFERROR(VLOOKUP(Prestamos[[#This Row],[ID Libro]],Inventario_Libros!A:B,2,0),"Libro No Existe")</f>
        <v>Ficciones</v>
      </c>
      <c r="J90" t="str">
        <f>IFERROR(VLOOKUP(Prestamos[[#This Row],[ID Libro]],Inventario_Libros!A:C,3,0),"Libro No Existe")</f>
        <v>Jorge Luis Borges</v>
      </c>
      <c r="K90" t="str">
        <f>IFERROR(VLOOKUP(Prestamos[[#This Row],[ID Libro]],Inventario_Libros!A:D,4,0),"Libro No Existe")</f>
        <v>Cuentos / Fantasía Metafísica</v>
      </c>
      <c r="L90">
        <f>IFERROR(VLOOKUP(Prestamos[[#This Row],[ID Libro]],Inventario_Libros!A:E,5,0),"Libro No Existe")</f>
        <v>2022</v>
      </c>
      <c r="M90" t="str">
        <f>_xlfn.XLOOKUP(D:D,Inventario_Libros!A:A,Inventario_Libros!G:G,"No Existe",0)</f>
        <v>A-1</v>
      </c>
      <c r="N90" t="str">
        <f>IFERROR(VLOOKUP(Prestamos[[#This Row],[ID Libro]],Inventario_Libros!A:H,8,0),"Libro No Existe")</f>
        <v>Retirado</v>
      </c>
    </row>
    <row r="91" spans="1:14" x14ac:dyDescent="0.3">
      <c r="A91" s="5" t="s">
        <v>618</v>
      </c>
      <c r="B91" s="1">
        <v>45752</v>
      </c>
      <c r="C91" s="1" t="s">
        <v>289</v>
      </c>
      <c r="D91" s="4" t="s">
        <v>368</v>
      </c>
      <c r="E91" s="2" t="s">
        <v>272</v>
      </c>
      <c r="F91" s="2" t="s">
        <v>255</v>
      </c>
      <c r="G91" s="2" t="s">
        <v>257</v>
      </c>
      <c r="H91" s="3">
        <v>3</v>
      </c>
      <c r="I91" t="str">
        <f>IFERROR(VLOOKUP(Prestamos[[#This Row],[ID Libro]],Inventario_Libros!A:B,2,0),"Libro No Existe")</f>
        <v>Breve Historia Del Tiempo</v>
      </c>
      <c r="J91" t="str">
        <f>IFERROR(VLOOKUP(Prestamos[[#This Row],[ID Libro]],Inventario_Libros!A:C,3,0),"Libro No Existe")</f>
        <v>Stephen Hawking</v>
      </c>
      <c r="K91" t="str">
        <f>IFERROR(VLOOKUP(Prestamos[[#This Row],[ID Libro]],Inventario_Libros!A:D,4,0),"Libro No Existe")</f>
        <v>Divulgación Científica / Cosmología</v>
      </c>
      <c r="L91">
        <f>IFERROR(VLOOKUP(Prestamos[[#This Row],[ID Libro]],Inventario_Libros!A:E,5,0),"Libro No Existe")</f>
        <v>1889</v>
      </c>
      <c r="M91" t="str">
        <f>_xlfn.XLOOKUP(D:D,Inventario_Libros!A:A,Inventario_Libros!G:G,"No Existe",0)</f>
        <v>Est-1</v>
      </c>
      <c r="N91" t="str">
        <f>IFERROR(VLOOKUP(Prestamos[[#This Row],[ID Libro]],Inventario_Libros!A:H,8,0),"Libro No Existe")</f>
        <v>Retirado</v>
      </c>
    </row>
    <row r="92" spans="1:14" x14ac:dyDescent="0.3">
      <c r="A92" s="5" t="s">
        <v>619</v>
      </c>
      <c r="B92" s="1">
        <v>45750</v>
      </c>
      <c r="C92" s="1" t="s">
        <v>289</v>
      </c>
      <c r="D92" s="4" t="s">
        <v>393</v>
      </c>
      <c r="E92" s="2" t="s">
        <v>316</v>
      </c>
      <c r="F92" s="2" t="s">
        <v>275</v>
      </c>
      <c r="G92" s="2" t="s">
        <v>253</v>
      </c>
      <c r="H92" s="3">
        <v>0</v>
      </c>
      <c r="I92" t="str">
        <f>IFERROR(VLOOKUP(Prestamos[[#This Row],[ID Libro]],Inventario_Libros!A:B,2,0),"Libro No Existe")</f>
        <v>Macbeth</v>
      </c>
      <c r="J92" t="str">
        <f>IFERROR(VLOOKUP(Prestamos[[#This Row],[ID Libro]],Inventario_Libros!A:C,3,0),"Libro No Existe")</f>
        <v>William Shakespeare</v>
      </c>
      <c r="K92" t="str">
        <f>IFERROR(VLOOKUP(Prestamos[[#This Row],[ID Libro]],Inventario_Libros!A:D,4,0),"Libro No Existe")</f>
        <v>Clásicos</v>
      </c>
      <c r="L92">
        <f>IFERROR(VLOOKUP(Prestamos[[#This Row],[ID Libro]],Inventario_Libros!A:E,5,0),"Libro No Existe")</f>
        <v>1996</v>
      </c>
      <c r="M92" t="str">
        <f>_xlfn.XLOOKUP(D:D,Inventario_Libros!A:A,Inventario_Libros!G:G,"No Existe",0)</f>
        <v>Est-1</v>
      </c>
      <c r="N92" t="str">
        <f>IFERROR(VLOOKUP(Prestamos[[#This Row],[ID Libro]],Inventario_Libros!A:H,8,0),"Libro No Existe")</f>
        <v>Retirado</v>
      </c>
    </row>
    <row r="93" spans="1:14" x14ac:dyDescent="0.3">
      <c r="A93" s="5" t="s">
        <v>620</v>
      </c>
      <c r="B93" s="1">
        <v>45749</v>
      </c>
      <c r="C93" s="1">
        <v>45769</v>
      </c>
      <c r="D93" s="4" t="s">
        <v>394</v>
      </c>
      <c r="E93" s="2" t="s">
        <v>271</v>
      </c>
      <c r="F93" s="2" t="s">
        <v>252</v>
      </c>
      <c r="G93" s="2" t="s">
        <v>257</v>
      </c>
      <c r="H93" s="3">
        <v>5</v>
      </c>
      <c r="I93" t="str">
        <f>IFERROR(VLOOKUP(Prestamos[[#This Row],[ID Libro]],Inventario_Libros!A:B,2,0),"Libro No Existe")</f>
        <v>Matadero Cinco</v>
      </c>
      <c r="J93" t="str">
        <f>IFERROR(VLOOKUP(Prestamos[[#This Row],[ID Libro]],Inventario_Libros!A:C,3,0),"Libro No Existe")</f>
        <v>Kurt Vonnegut</v>
      </c>
      <c r="K93" t="str">
        <f>IFERROR(VLOOKUP(Prestamos[[#This Row],[ID Libro]],Inventario_Libros!A:D,4,0),"Libro No Existe")</f>
        <v>Ciencia Ficción</v>
      </c>
      <c r="L93">
        <f>IFERROR(VLOOKUP(Prestamos[[#This Row],[ID Libro]],Inventario_Libros!A:E,5,0),"Libro No Existe")</f>
        <v>1977</v>
      </c>
      <c r="M93" t="str">
        <f>_xlfn.XLOOKUP(D:D,Inventario_Libros!A:A,Inventario_Libros!G:G,"No Existe",0)</f>
        <v>A-1</v>
      </c>
      <c r="N93" t="str">
        <f>IFERROR(VLOOKUP(Prestamos[[#This Row],[ID Libro]],Inventario_Libros!A:H,8,0),"Libro No Existe")</f>
        <v>Activo</v>
      </c>
    </row>
    <row r="94" spans="1:14" x14ac:dyDescent="0.3">
      <c r="A94" s="5" t="s">
        <v>621</v>
      </c>
      <c r="B94" s="1">
        <v>45747</v>
      </c>
      <c r="C94" s="1">
        <v>45767</v>
      </c>
      <c r="D94" s="4" t="s">
        <v>395</v>
      </c>
      <c r="E94" s="2" t="s">
        <v>254</v>
      </c>
      <c r="F94" s="2" t="s">
        <v>258</v>
      </c>
      <c r="G94" s="2" t="s">
        <v>257</v>
      </c>
      <c r="H94" s="3">
        <v>5</v>
      </c>
      <c r="I94" t="str">
        <f>IFERROR(VLOOKUP(Prestamos[[#This Row],[ID Libro]],Inventario_Libros!A:B,2,0),"Libro No Existe")</f>
        <v>Orgullo Y Prejuicio</v>
      </c>
      <c r="J94" t="str">
        <f>IFERROR(VLOOKUP(Prestamos[[#This Row],[ID Libro]],Inventario_Libros!A:C,3,0),"Libro No Existe")</f>
        <v>Jane Austen</v>
      </c>
      <c r="K94" t="str">
        <f>IFERROR(VLOOKUP(Prestamos[[#This Row],[ID Libro]],Inventario_Libros!A:D,4,0),"Libro No Existe")</f>
        <v>Novela</v>
      </c>
      <c r="L94">
        <f>IFERROR(VLOOKUP(Prestamos[[#This Row],[ID Libro]],Inventario_Libros!A:E,5,0),"Libro No Existe")</f>
        <v>2019</v>
      </c>
      <c r="M94" t="str">
        <f>_xlfn.XLOOKUP(D:D,Inventario_Libros!A:A,Inventario_Libros!G:G,"No Existe",0)</f>
        <v>Est-1</v>
      </c>
      <c r="N94" t="str">
        <f>IFERROR(VLOOKUP(Prestamos[[#This Row],[ID Libro]],Inventario_Libros!A:H,8,0),"Libro No Existe")</f>
        <v>Retirado</v>
      </c>
    </row>
    <row r="95" spans="1:14" x14ac:dyDescent="0.3">
      <c r="A95" s="5" t="s">
        <v>622</v>
      </c>
      <c r="B95" s="1">
        <v>45743</v>
      </c>
      <c r="C95" s="1">
        <v>45760</v>
      </c>
      <c r="D95" s="4" t="s">
        <v>396</v>
      </c>
      <c r="E95" s="2" t="s">
        <v>256</v>
      </c>
      <c r="F95" s="2" t="s">
        <v>263</v>
      </c>
      <c r="G95" s="2" t="s">
        <v>257</v>
      </c>
      <c r="H95" s="3">
        <v>2</v>
      </c>
      <c r="I95" t="str">
        <f>IFERROR(VLOOKUP(Prestamos[[#This Row],[ID Libro]],Inventario_Libros!A:B,2,0),"Libro No Existe")</f>
        <v>Breve Historia Del Tiempo</v>
      </c>
      <c r="J95" t="str">
        <f>IFERROR(VLOOKUP(Prestamos[[#This Row],[ID Libro]],Inventario_Libros!A:C,3,0),"Libro No Existe")</f>
        <v>Stephen Hawking</v>
      </c>
      <c r="K95" t="str">
        <f>IFERROR(VLOOKUP(Prestamos[[#This Row],[ID Libro]],Inventario_Libros!A:D,4,0),"Libro No Existe")</f>
        <v>Divulgación Científica / Cosmología</v>
      </c>
      <c r="L95">
        <f>IFERROR(VLOOKUP(Prestamos[[#This Row],[ID Libro]],Inventario_Libros!A:E,5,0),"Libro No Existe")</f>
        <v>1909</v>
      </c>
      <c r="M95" t="str">
        <f>_xlfn.XLOOKUP(D:D,Inventario_Libros!A:A,Inventario_Libros!G:G,"No Existe",0)</f>
        <v>A-1</v>
      </c>
      <c r="N95" t="str">
        <f>IFERROR(VLOOKUP(Prestamos[[#This Row],[ID Libro]],Inventario_Libros!A:H,8,0),"Libro No Existe")</f>
        <v>Activo</v>
      </c>
    </row>
    <row r="96" spans="1:14" x14ac:dyDescent="0.3">
      <c r="A96" s="5" t="s">
        <v>623</v>
      </c>
      <c r="B96" s="1">
        <v>45742</v>
      </c>
      <c r="C96" s="1">
        <v>45762</v>
      </c>
      <c r="D96" s="4" t="s">
        <v>397</v>
      </c>
      <c r="E96" s="2" t="s">
        <v>274</v>
      </c>
      <c r="F96" s="2" t="s">
        <v>255</v>
      </c>
      <c r="G96" s="2" t="s">
        <v>257</v>
      </c>
      <c r="H96" s="3">
        <v>5</v>
      </c>
      <c r="I96" t="str">
        <f>IFERROR(VLOOKUP(Prestamos[[#This Row],[ID Libro]],Inventario_Libros!A:B,2,0),"Libro No Existe")</f>
        <v>El Amor En Los Tiempos Del Cólera</v>
      </c>
      <c r="J96" t="str">
        <f>IFERROR(VLOOKUP(Prestamos[[#This Row],[ID Libro]],Inventario_Libros!A:C,3,0),"Libro No Existe")</f>
        <v>Gabriel García Márquez</v>
      </c>
      <c r="K96" t="str">
        <f>IFERROR(VLOOKUP(Prestamos[[#This Row],[ID Libro]],Inventario_Libros!A:D,4,0),"Libro No Existe")</f>
        <v>Novela</v>
      </c>
      <c r="L96">
        <f>IFERROR(VLOOKUP(Prestamos[[#This Row],[ID Libro]],Inventario_Libros!A:E,5,0),"Libro No Existe")</f>
        <v>1887</v>
      </c>
      <c r="M96" t="str">
        <f>_xlfn.XLOOKUP(D:D,Inventario_Libros!A:A,Inventario_Libros!G:G,"No Existe",0)</f>
        <v>Est-1</v>
      </c>
      <c r="N96" t="str">
        <f>IFERROR(VLOOKUP(Prestamos[[#This Row],[ID Libro]],Inventario_Libros!A:H,8,0),"Libro No Existe")</f>
        <v>Activo</v>
      </c>
    </row>
    <row r="97" spans="1:14" x14ac:dyDescent="0.3">
      <c r="A97" s="5" t="s">
        <v>624</v>
      </c>
      <c r="B97" s="1">
        <v>45740</v>
      </c>
      <c r="C97" s="1">
        <v>45760</v>
      </c>
      <c r="D97" s="4" t="s">
        <v>333</v>
      </c>
      <c r="E97" s="2" t="s">
        <v>267</v>
      </c>
      <c r="F97" s="2" t="s">
        <v>263</v>
      </c>
      <c r="G97" s="2" t="s">
        <v>257</v>
      </c>
      <c r="H97" s="3">
        <v>5</v>
      </c>
      <c r="I97" t="str">
        <f>IFERROR(VLOOKUP(Prestamos[[#This Row],[ID Libro]],Inventario_Libros!A:B,2,0),"Libro No Existe")</f>
        <v>Sobre La Felicidad</v>
      </c>
      <c r="J97" t="str">
        <f>IFERROR(VLOOKUP(Prestamos[[#This Row],[ID Libro]],Inventario_Libros!A:C,3,0),"Libro No Existe")</f>
        <v>Lucio Anneo Séneca</v>
      </c>
      <c r="K97" t="str">
        <f>IFERROR(VLOOKUP(Prestamos[[#This Row],[ID Libro]],Inventario_Libros!A:D,4,0),"Libro No Existe")</f>
        <v>Filosofía Y Pensamiento</v>
      </c>
      <c r="L97">
        <f>IFERROR(VLOOKUP(Prestamos[[#This Row],[ID Libro]],Inventario_Libros!A:E,5,0),"Libro No Existe")</f>
        <v>1903</v>
      </c>
      <c r="M97" t="str">
        <f>_xlfn.XLOOKUP(D:D,Inventario_Libros!A:A,Inventario_Libros!G:G,"No Existe",0)</f>
        <v>A-1</v>
      </c>
      <c r="N97" t="str">
        <f>IFERROR(VLOOKUP(Prestamos[[#This Row],[ID Libro]],Inventario_Libros!A:H,8,0),"Libro No Existe")</f>
        <v>Activo</v>
      </c>
    </row>
    <row r="98" spans="1:14" x14ac:dyDescent="0.3">
      <c r="A98" s="5" t="s">
        <v>625</v>
      </c>
      <c r="B98" s="1">
        <v>45740</v>
      </c>
      <c r="C98" s="1" t="s">
        <v>289</v>
      </c>
      <c r="D98" s="4" t="s">
        <v>377</v>
      </c>
      <c r="E98" s="2" t="s">
        <v>271</v>
      </c>
      <c r="F98" s="2" t="s">
        <v>255</v>
      </c>
      <c r="G98" s="2" t="s">
        <v>257</v>
      </c>
      <c r="H98" s="3">
        <v>3</v>
      </c>
      <c r="I98" t="str">
        <f>IFERROR(VLOOKUP(Prestamos[[#This Row],[ID Libro]],Inventario_Libros!A:B,2,0),"Libro No Existe")</f>
        <v>Orgullo Y Prejuicio</v>
      </c>
      <c r="J98" t="str">
        <f>IFERROR(VLOOKUP(Prestamos[[#This Row],[ID Libro]],Inventario_Libros!A:C,3,0),"Libro No Existe")</f>
        <v>Jane Austen</v>
      </c>
      <c r="K98" t="str">
        <f>IFERROR(VLOOKUP(Prestamos[[#This Row],[ID Libro]],Inventario_Libros!A:D,4,0),"Libro No Existe")</f>
        <v>Novela</v>
      </c>
      <c r="L98">
        <f>IFERROR(VLOOKUP(Prestamos[[#This Row],[ID Libro]],Inventario_Libros!A:E,5,0),"Libro No Existe")</f>
        <v>1934</v>
      </c>
      <c r="M98" t="str">
        <f>_xlfn.XLOOKUP(D:D,Inventario_Libros!A:A,Inventario_Libros!G:G,"No Existe",0)</f>
        <v>A-1</v>
      </c>
      <c r="N98" t="str">
        <f>IFERROR(VLOOKUP(Prestamos[[#This Row],[ID Libro]],Inventario_Libros!A:H,8,0),"Libro No Existe")</f>
        <v>Activo</v>
      </c>
    </row>
    <row r="99" spans="1:14" x14ac:dyDescent="0.3">
      <c r="A99" s="5" t="s">
        <v>626</v>
      </c>
      <c r="B99" s="1">
        <v>45738</v>
      </c>
      <c r="C99" s="1" t="s">
        <v>289</v>
      </c>
      <c r="D99" s="4" t="s">
        <v>398</v>
      </c>
      <c r="E99" s="2" t="s">
        <v>254</v>
      </c>
      <c r="F99" s="2" t="s">
        <v>263</v>
      </c>
      <c r="G99" s="2" t="s">
        <v>253</v>
      </c>
      <c r="H99" s="3">
        <v>5</v>
      </c>
      <c r="I99" t="str">
        <f>IFERROR(VLOOKUP(Prestamos[[#This Row],[ID Libro]],Inventario_Libros!A:B,2,0),"Libro No Existe")</f>
        <v>Don Quijote De La Mancha</v>
      </c>
      <c r="J99" t="str">
        <f>IFERROR(VLOOKUP(Prestamos[[#This Row],[ID Libro]],Inventario_Libros!A:C,3,0),"Libro No Existe")</f>
        <v>Miguel De Cervantes</v>
      </c>
      <c r="K99" t="str">
        <f>IFERROR(VLOOKUP(Prestamos[[#This Row],[ID Libro]],Inventario_Libros!A:D,4,0),"Libro No Existe")</f>
        <v>Novela</v>
      </c>
      <c r="L99">
        <f>IFERROR(VLOOKUP(Prestamos[[#This Row],[ID Libro]],Inventario_Libros!A:E,5,0),"Libro No Existe")</f>
        <v>1926</v>
      </c>
      <c r="M99" t="str">
        <f>_xlfn.XLOOKUP(D:D,Inventario_Libros!A:A,Inventario_Libros!G:G,"No Existe",0)</f>
        <v>Est-1</v>
      </c>
      <c r="N99" t="str">
        <f>IFERROR(VLOOKUP(Prestamos[[#This Row],[ID Libro]],Inventario_Libros!A:H,8,0),"Libro No Existe")</f>
        <v>Activo</v>
      </c>
    </row>
    <row r="100" spans="1:14" x14ac:dyDescent="0.3">
      <c r="A100" s="5" t="s">
        <v>627</v>
      </c>
      <c r="B100" s="1">
        <v>45735</v>
      </c>
      <c r="C100" s="1" t="s">
        <v>289</v>
      </c>
      <c r="D100" s="4" t="s">
        <v>399</v>
      </c>
      <c r="E100" s="2" t="s">
        <v>274</v>
      </c>
      <c r="F100" s="2" t="s">
        <v>263</v>
      </c>
      <c r="G100" s="2" t="s">
        <v>257</v>
      </c>
      <c r="H100" s="3">
        <v>3</v>
      </c>
      <c r="I100" t="str">
        <f>IFERROR(VLOOKUP(Prestamos[[#This Row],[ID Libro]],Inventario_Libros!A:B,2,0),"Libro No Existe")</f>
        <v>El Túnel</v>
      </c>
      <c r="J100" t="str">
        <f>IFERROR(VLOOKUP(Prestamos[[#This Row],[ID Libro]],Inventario_Libros!A:C,3,0),"Libro No Existe")</f>
        <v>Ernesto Sabato</v>
      </c>
      <c r="K100" t="str">
        <f>IFERROR(VLOOKUP(Prestamos[[#This Row],[ID Libro]],Inventario_Libros!A:D,4,0),"Libro No Existe")</f>
        <v>Novela</v>
      </c>
      <c r="L100">
        <f>IFERROR(VLOOKUP(Prestamos[[#This Row],[ID Libro]],Inventario_Libros!A:E,5,0),"Libro No Existe")</f>
        <v>1957</v>
      </c>
      <c r="M100" t="str">
        <f>_xlfn.XLOOKUP(D:D,Inventario_Libros!A:A,Inventario_Libros!G:G,"No Existe",0)</f>
        <v>Est-1</v>
      </c>
      <c r="N100" t="str">
        <f>IFERROR(VLOOKUP(Prestamos[[#This Row],[ID Libro]],Inventario_Libros!A:H,8,0),"Libro No Existe")</f>
        <v>Activo</v>
      </c>
    </row>
    <row r="101" spans="1:14" x14ac:dyDescent="0.3">
      <c r="A101" s="5" t="s">
        <v>628</v>
      </c>
      <c r="B101" s="1">
        <v>45730</v>
      </c>
      <c r="C101" s="1">
        <v>45748</v>
      </c>
      <c r="D101" s="4" t="s">
        <v>366</v>
      </c>
      <c r="E101" s="2" t="s">
        <v>269</v>
      </c>
      <c r="F101" s="2" t="s">
        <v>255</v>
      </c>
      <c r="G101" s="2" t="s">
        <v>257</v>
      </c>
      <c r="H101" s="3">
        <v>3</v>
      </c>
      <c r="I101" t="str">
        <f>IFERROR(VLOOKUP(Prestamos[[#This Row],[ID Libro]],Inventario_Libros!A:B,2,0),"Libro No Existe")</f>
        <v>1984</v>
      </c>
      <c r="J101" t="str">
        <f>IFERROR(VLOOKUP(Prestamos[[#This Row],[ID Libro]],Inventario_Libros!A:C,3,0),"Libro No Existe")</f>
        <v>George Orwell</v>
      </c>
      <c r="K101" t="str">
        <f>IFERROR(VLOOKUP(Prestamos[[#This Row],[ID Libro]],Inventario_Libros!A:D,4,0),"Libro No Existe")</f>
        <v>Ciencia Ficción</v>
      </c>
      <c r="L101">
        <f>IFERROR(VLOOKUP(Prestamos[[#This Row],[ID Libro]],Inventario_Libros!A:E,5,0),"Libro No Existe")</f>
        <v>1893</v>
      </c>
      <c r="M101" t="str">
        <f>_xlfn.XLOOKUP(D:D,Inventario_Libros!A:A,Inventario_Libros!G:G,"No Existe",0)</f>
        <v>C-3</v>
      </c>
      <c r="N101" t="str">
        <f>IFERROR(VLOOKUP(Prestamos[[#This Row],[ID Libro]],Inventario_Libros!A:H,8,0),"Libro No Existe")</f>
        <v>Activo</v>
      </c>
    </row>
    <row r="102" spans="1:14" x14ac:dyDescent="0.3">
      <c r="A102" s="5" t="s">
        <v>629</v>
      </c>
      <c r="B102" s="1">
        <v>45728</v>
      </c>
      <c r="C102" s="1" t="s">
        <v>289</v>
      </c>
      <c r="D102" s="4" t="s">
        <v>400</v>
      </c>
      <c r="E102" s="2" t="s">
        <v>265</v>
      </c>
      <c r="F102" s="2" t="s">
        <v>255</v>
      </c>
      <c r="G102" s="2" t="s">
        <v>257</v>
      </c>
      <c r="H102" s="3">
        <v>3</v>
      </c>
      <c r="I102" t="str">
        <f>IFERROR(VLOOKUP(Prestamos[[#This Row],[ID Libro]],Inventario_Libros!A:B,2,0),"Libro No Existe")</f>
        <v>El Principito</v>
      </c>
      <c r="J102" t="str">
        <f>IFERROR(VLOOKUP(Prestamos[[#This Row],[ID Libro]],Inventario_Libros!A:C,3,0),"Libro No Existe")</f>
        <v>Antoine De Saint-Exupéry</v>
      </c>
      <c r="K102" t="str">
        <f>IFERROR(VLOOKUP(Prestamos[[#This Row],[ID Libro]],Inventario_Libros!A:D,4,0),"Libro No Existe")</f>
        <v>Literatura Infantil / Fábula Filosófica</v>
      </c>
      <c r="L102">
        <f>IFERROR(VLOOKUP(Prestamos[[#This Row],[ID Libro]],Inventario_Libros!A:E,5,0),"Libro No Existe")</f>
        <v>2000</v>
      </c>
      <c r="M102" t="str">
        <f>_xlfn.XLOOKUP(D:D,Inventario_Libros!A:A,Inventario_Libros!G:G,"No Existe",0)</f>
        <v>A-1</v>
      </c>
      <c r="N102" t="str">
        <f>IFERROR(VLOOKUP(Prestamos[[#This Row],[ID Libro]],Inventario_Libros!A:H,8,0),"Libro No Existe")</f>
        <v>Retirado</v>
      </c>
    </row>
    <row r="103" spans="1:14" x14ac:dyDescent="0.3">
      <c r="A103" s="5" t="s">
        <v>630</v>
      </c>
      <c r="B103" s="1">
        <v>45726</v>
      </c>
      <c r="C103" s="1" t="s">
        <v>289</v>
      </c>
      <c r="D103" s="4" t="s">
        <v>378</v>
      </c>
      <c r="E103" s="2" t="s">
        <v>272</v>
      </c>
      <c r="F103" s="2" t="s">
        <v>258</v>
      </c>
      <c r="G103" s="2" t="s">
        <v>257</v>
      </c>
      <c r="H103" s="3">
        <v>3</v>
      </c>
      <c r="I103" t="str">
        <f>IFERROR(VLOOKUP(Prestamos[[#This Row],[ID Libro]],Inventario_Libros!A:B,2,0),"Libro No Existe")</f>
        <v>Orgullo Y Prejuicio</v>
      </c>
      <c r="J103" t="str">
        <f>IFERROR(VLOOKUP(Prestamos[[#This Row],[ID Libro]],Inventario_Libros!A:C,3,0),"Libro No Existe")</f>
        <v>Jane Austen</v>
      </c>
      <c r="K103" t="str">
        <f>IFERROR(VLOOKUP(Prestamos[[#This Row],[ID Libro]],Inventario_Libros!A:D,4,0),"Libro No Existe")</f>
        <v>Novela</v>
      </c>
      <c r="L103">
        <f>IFERROR(VLOOKUP(Prestamos[[#This Row],[ID Libro]],Inventario_Libros!A:E,5,0),"Libro No Existe")</f>
        <v>1976</v>
      </c>
      <c r="M103" t="str">
        <f>_xlfn.XLOOKUP(D:D,Inventario_Libros!A:A,Inventario_Libros!G:G,"No Existe",0)</f>
        <v>A-1</v>
      </c>
      <c r="N103" t="str">
        <f>IFERROR(VLOOKUP(Prestamos[[#This Row],[ID Libro]],Inventario_Libros!A:H,8,0),"Libro No Existe")</f>
        <v>Retirado</v>
      </c>
    </row>
    <row r="104" spans="1:14" x14ac:dyDescent="0.3">
      <c r="A104" s="5" t="s">
        <v>631</v>
      </c>
      <c r="B104" s="1">
        <v>45725</v>
      </c>
      <c r="C104" s="1" t="s">
        <v>289</v>
      </c>
      <c r="D104" s="4" t="s">
        <v>401</v>
      </c>
      <c r="E104" s="2" t="s">
        <v>265</v>
      </c>
      <c r="F104" s="2" t="s">
        <v>275</v>
      </c>
      <c r="G104" s="2" t="s">
        <v>257</v>
      </c>
      <c r="H104" s="3">
        <v>3</v>
      </c>
      <c r="I104" t="str">
        <f>IFERROR(VLOOKUP(Prestamos[[#This Row],[ID Libro]],Inventario_Libros!A:B,2,0),"Libro No Existe")</f>
        <v>La Iliada</v>
      </c>
      <c r="J104" t="str">
        <f>IFERROR(VLOOKUP(Prestamos[[#This Row],[ID Libro]],Inventario_Libros!A:C,3,0),"Libro No Existe")</f>
        <v>Homero</v>
      </c>
      <c r="K104" t="str">
        <f>IFERROR(VLOOKUP(Prestamos[[#This Row],[ID Libro]],Inventario_Libros!A:D,4,0),"Libro No Existe")</f>
        <v>Clásicos</v>
      </c>
      <c r="L104">
        <f>IFERROR(VLOOKUP(Prestamos[[#This Row],[ID Libro]],Inventario_Libros!A:E,5,0),"Libro No Existe")</f>
        <v>1913</v>
      </c>
      <c r="M104" t="str">
        <f>_xlfn.XLOOKUP(D:D,Inventario_Libros!A:A,Inventario_Libros!G:G,"No Existe",0)</f>
        <v>A-1</v>
      </c>
      <c r="N104" t="str">
        <f>IFERROR(VLOOKUP(Prestamos[[#This Row],[ID Libro]],Inventario_Libros!A:H,8,0),"Libro No Existe")</f>
        <v>Activo</v>
      </c>
    </row>
    <row r="105" spans="1:14" x14ac:dyDescent="0.3">
      <c r="A105" s="5" t="s">
        <v>632</v>
      </c>
      <c r="B105" s="1">
        <v>45723</v>
      </c>
      <c r="C105" s="1" t="s">
        <v>289</v>
      </c>
      <c r="D105" s="4" t="s">
        <v>336</v>
      </c>
      <c r="E105" s="2" t="s">
        <v>278</v>
      </c>
      <c r="F105" s="2" t="s">
        <v>263</v>
      </c>
      <c r="G105" s="2" t="s">
        <v>253</v>
      </c>
      <c r="H105" s="3">
        <v>0</v>
      </c>
      <c r="I105" t="str">
        <f>IFERROR(VLOOKUP(Prestamos[[#This Row],[ID Libro]],Inventario_Libros!A:B,2,0),"Libro No Existe")</f>
        <v>Cien Años De Soledad</v>
      </c>
      <c r="J105" t="str">
        <f>IFERROR(VLOOKUP(Prestamos[[#This Row],[ID Libro]],Inventario_Libros!A:C,3,0),"Libro No Existe")</f>
        <v>Gabriel García Márquez</v>
      </c>
      <c r="K105" t="str">
        <f>IFERROR(VLOOKUP(Prestamos[[#This Row],[ID Libro]],Inventario_Libros!A:D,4,0),"Libro No Existe")</f>
        <v>Novela</v>
      </c>
      <c r="L105">
        <f>IFERROR(VLOOKUP(Prestamos[[#This Row],[ID Libro]],Inventario_Libros!A:E,5,0),"Libro No Existe")</f>
        <v>2014</v>
      </c>
      <c r="M105" t="str">
        <f>_xlfn.XLOOKUP(D:D,Inventario_Libros!A:A,Inventario_Libros!G:G,"No Existe",0)</f>
        <v>B-2</v>
      </c>
      <c r="N105" t="str">
        <f>IFERROR(VLOOKUP(Prestamos[[#This Row],[ID Libro]],Inventario_Libros!A:H,8,0),"Libro No Existe")</f>
        <v>Activo</v>
      </c>
    </row>
    <row r="106" spans="1:14" x14ac:dyDescent="0.3">
      <c r="A106" s="5" t="s">
        <v>633</v>
      </c>
      <c r="B106" s="1">
        <v>45714</v>
      </c>
      <c r="C106" s="1" t="s">
        <v>289</v>
      </c>
      <c r="D106" s="4" t="s">
        <v>402</v>
      </c>
      <c r="E106" s="2" t="s">
        <v>272</v>
      </c>
      <c r="F106" s="2" t="s">
        <v>275</v>
      </c>
      <c r="G106" s="2" t="s">
        <v>253</v>
      </c>
      <c r="H106" s="3">
        <v>5</v>
      </c>
      <c r="I106" t="str">
        <f>IFERROR(VLOOKUP(Prestamos[[#This Row],[ID Libro]],Inventario_Libros!A:B,2,0),"Libro No Existe")</f>
        <v>La Iliada</v>
      </c>
      <c r="J106" t="str">
        <f>IFERROR(VLOOKUP(Prestamos[[#This Row],[ID Libro]],Inventario_Libros!A:C,3,0),"Libro No Existe")</f>
        <v>Homero</v>
      </c>
      <c r="K106" t="str">
        <f>IFERROR(VLOOKUP(Prestamos[[#This Row],[ID Libro]],Inventario_Libros!A:D,4,0),"Libro No Existe")</f>
        <v>Clásicos</v>
      </c>
      <c r="L106">
        <f>IFERROR(VLOOKUP(Prestamos[[#This Row],[ID Libro]],Inventario_Libros!A:E,5,0),"Libro No Existe")</f>
        <v>1893</v>
      </c>
      <c r="M106" t="str">
        <f>_xlfn.XLOOKUP(D:D,Inventario_Libros!A:A,Inventario_Libros!G:G,"No Existe",0)</f>
        <v>Est-1</v>
      </c>
      <c r="N106" t="str">
        <f>IFERROR(VLOOKUP(Prestamos[[#This Row],[ID Libro]],Inventario_Libros!A:H,8,0),"Libro No Existe")</f>
        <v>Activo</v>
      </c>
    </row>
    <row r="107" spans="1:14" x14ac:dyDescent="0.3">
      <c r="A107" s="5" t="s">
        <v>634</v>
      </c>
      <c r="B107" s="1">
        <v>45709</v>
      </c>
      <c r="C107" s="1" t="s">
        <v>289</v>
      </c>
      <c r="D107" s="4" t="s">
        <v>359</v>
      </c>
      <c r="E107" s="2" t="s">
        <v>272</v>
      </c>
      <c r="F107" s="2" t="s">
        <v>258</v>
      </c>
      <c r="G107" s="2" t="s">
        <v>253</v>
      </c>
      <c r="H107" s="3">
        <v>0</v>
      </c>
      <c r="I107" t="str">
        <f>IFERROR(VLOOKUP(Prestamos[[#This Row],[ID Libro]],Inventario_Libros!A:B,2,0),"Libro No Existe")</f>
        <v>Pedro Páramo</v>
      </c>
      <c r="J107" t="str">
        <f>IFERROR(VLOOKUP(Prestamos[[#This Row],[ID Libro]],Inventario_Libros!A:C,3,0),"Libro No Existe")</f>
        <v>Juan Rulfo</v>
      </c>
      <c r="K107" t="str">
        <f>IFERROR(VLOOKUP(Prestamos[[#This Row],[ID Libro]],Inventario_Libros!A:D,4,0),"Libro No Existe")</f>
        <v>Novela</v>
      </c>
      <c r="L107">
        <f>IFERROR(VLOOKUP(Prestamos[[#This Row],[ID Libro]],Inventario_Libros!A:E,5,0),"Libro No Existe")</f>
        <v>1920</v>
      </c>
      <c r="M107" t="str">
        <f>_xlfn.XLOOKUP(D:D,Inventario_Libros!A:A,Inventario_Libros!G:G,"No Existe",0)</f>
        <v>No Asignado</v>
      </c>
      <c r="N107" t="str">
        <f>IFERROR(VLOOKUP(Prestamos[[#This Row],[ID Libro]],Inventario_Libros!A:H,8,0),"Libro No Existe")</f>
        <v>Retirado</v>
      </c>
    </row>
    <row r="108" spans="1:14" x14ac:dyDescent="0.3">
      <c r="A108" s="5" t="s">
        <v>635</v>
      </c>
      <c r="B108" s="1">
        <v>45709</v>
      </c>
      <c r="C108" s="1" t="s">
        <v>289</v>
      </c>
      <c r="D108" s="4" t="s">
        <v>403</v>
      </c>
      <c r="E108" s="2" t="s">
        <v>256</v>
      </c>
      <c r="F108" s="2" t="s">
        <v>252</v>
      </c>
      <c r="G108" s="2" t="s">
        <v>253</v>
      </c>
      <c r="H108" s="3">
        <v>5</v>
      </c>
      <c r="I108" t="str">
        <f>IFERROR(VLOOKUP(Prestamos[[#This Row],[ID Libro]],Inventario_Libros!A:B,2,0),"Libro No Existe")</f>
        <v>Sobre La Felicidad</v>
      </c>
      <c r="J108" t="str">
        <f>IFERROR(VLOOKUP(Prestamos[[#This Row],[ID Libro]],Inventario_Libros!A:C,3,0),"Libro No Existe")</f>
        <v>Lucio Anneo Séneca</v>
      </c>
      <c r="K108" t="str">
        <f>IFERROR(VLOOKUP(Prestamos[[#This Row],[ID Libro]],Inventario_Libros!A:D,4,0),"Libro No Existe")</f>
        <v>Filosofía Y Pensamiento</v>
      </c>
      <c r="L108">
        <f>IFERROR(VLOOKUP(Prestamos[[#This Row],[ID Libro]],Inventario_Libros!A:E,5,0),"Libro No Existe")</f>
        <v>1936</v>
      </c>
      <c r="M108" t="str">
        <f>_xlfn.XLOOKUP(D:D,Inventario_Libros!A:A,Inventario_Libros!G:G,"No Existe",0)</f>
        <v>B-2</v>
      </c>
      <c r="N108" t="str">
        <f>IFERROR(VLOOKUP(Prestamos[[#This Row],[ID Libro]],Inventario_Libros!A:H,8,0),"Libro No Existe")</f>
        <v>Retirado</v>
      </c>
    </row>
    <row r="109" spans="1:14" x14ac:dyDescent="0.3">
      <c r="A109" s="5" t="s">
        <v>636</v>
      </c>
      <c r="B109" s="1">
        <v>45705</v>
      </c>
      <c r="C109" s="1">
        <v>45722</v>
      </c>
      <c r="D109" s="4" t="s">
        <v>404</v>
      </c>
      <c r="E109" s="2" t="s">
        <v>262</v>
      </c>
      <c r="F109" s="2" t="s">
        <v>275</v>
      </c>
      <c r="G109" s="2" t="s">
        <v>257</v>
      </c>
      <c r="H109" s="3">
        <v>2</v>
      </c>
      <c r="I109" t="str">
        <f>IFERROR(VLOOKUP(Prestamos[[#This Row],[ID Libro]],Inventario_Libros!A:B,2,0),"Libro No Existe")</f>
        <v>Rebelión En La Granja</v>
      </c>
      <c r="J109" t="str">
        <f>IFERROR(VLOOKUP(Prestamos[[#This Row],[ID Libro]],Inventario_Libros!A:C,3,0),"Libro No Existe")</f>
        <v>George Orwell</v>
      </c>
      <c r="K109" t="str">
        <f>IFERROR(VLOOKUP(Prestamos[[#This Row],[ID Libro]],Inventario_Libros!A:D,4,0),"Libro No Existe")</f>
        <v>Ciencia Ficción</v>
      </c>
      <c r="L109">
        <f>IFERROR(VLOOKUP(Prestamos[[#This Row],[ID Libro]],Inventario_Libros!A:E,5,0),"Libro No Existe")</f>
        <v>1897</v>
      </c>
      <c r="M109" t="str">
        <f>_xlfn.XLOOKUP(D:D,Inventario_Libros!A:A,Inventario_Libros!G:G,"No Existe",0)</f>
        <v>C-3</v>
      </c>
      <c r="N109" t="str">
        <f>IFERROR(VLOOKUP(Prestamos[[#This Row],[ID Libro]],Inventario_Libros!A:H,8,0),"Libro No Existe")</f>
        <v>Activo</v>
      </c>
    </row>
    <row r="110" spans="1:14" x14ac:dyDescent="0.3">
      <c r="A110" s="5" t="s">
        <v>637</v>
      </c>
      <c r="B110" s="1">
        <v>45704</v>
      </c>
      <c r="C110" s="1" t="s">
        <v>289</v>
      </c>
      <c r="D110" s="4" t="s">
        <v>405</v>
      </c>
      <c r="E110" s="2" t="s">
        <v>261</v>
      </c>
      <c r="F110" s="2" t="s">
        <v>252</v>
      </c>
      <c r="G110" s="2" t="s">
        <v>253</v>
      </c>
      <c r="H110" s="3">
        <v>5</v>
      </c>
      <c r="I110" t="str">
        <f>IFERROR(VLOOKUP(Prestamos[[#This Row],[ID Libro]],Inventario_Libros!A:B,2,0),"Libro No Existe")</f>
        <v>El Aleph</v>
      </c>
      <c r="J110" t="str">
        <f>IFERROR(VLOOKUP(Prestamos[[#This Row],[ID Libro]],Inventario_Libros!A:C,3,0),"Libro No Existe")</f>
        <v>Jorge Luis Borges</v>
      </c>
      <c r="K110" t="str">
        <f>IFERROR(VLOOKUP(Prestamos[[#This Row],[ID Libro]],Inventario_Libros!A:D,4,0),"Libro No Existe")</f>
        <v>Cuentos / Fantasía Metafísica</v>
      </c>
      <c r="L110">
        <f>IFERROR(VLOOKUP(Prestamos[[#This Row],[ID Libro]],Inventario_Libros!A:E,5,0),"Libro No Existe")</f>
        <v>1994</v>
      </c>
      <c r="M110" t="str">
        <f>_xlfn.XLOOKUP(D:D,Inventario_Libros!A:A,Inventario_Libros!G:G,"No Existe",0)</f>
        <v>Est-1</v>
      </c>
      <c r="N110" t="str">
        <f>IFERROR(VLOOKUP(Prestamos[[#This Row],[ID Libro]],Inventario_Libros!A:H,8,0),"Libro No Existe")</f>
        <v>Retirado</v>
      </c>
    </row>
    <row r="111" spans="1:14" x14ac:dyDescent="0.3">
      <c r="A111" s="5" t="s">
        <v>638</v>
      </c>
      <c r="B111" s="1">
        <v>45703</v>
      </c>
      <c r="C111" s="1" t="s">
        <v>289</v>
      </c>
      <c r="D111" s="4" t="s">
        <v>406</v>
      </c>
      <c r="E111" s="2" t="s">
        <v>262</v>
      </c>
      <c r="F111" s="2" t="s">
        <v>263</v>
      </c>
      <c r="G111" s="2" t="s">
        <v>257</v>
      </c>
      <c r="H111" s="3">
        <v>3</v>
      </c>
      <c r="I111" t="str">
        <f>IFERROR(VLOOKUP(Prestamos[[#This Row],[ID Libro]],Inventario_Libros!A:B,2,0),"Libro No Existe")</f>
        <v>Matar A Un Ruiseñor</v>
      </c>
      <c r="J111" t="str">
        <f>IFERROR(VLOOKUP(Prestamos[[#This Row],[ID Libro]],Inventario_Libros!A:C,3,0),"Libro No Existe")</f>
        <v>Harper Lee</v>
      </c>
      <c r="K111" t="str">
        <f>IFERROR(VLOOKUP(Prestamos[[#This Row],[ID Libro]],Inventario_Libros!A:D,4,0),"Libro No Existe")</f>
        <v>Novela</v>
      </c>
      <c r="L111">
        <f>IFERROR(VLOOKUP(Prestamos[[#This Row],[ID Libro]],Inventario_Libros!A:E,5,0),"Libro No Existe")</f>
        <v>1887</v>
      </c>
      <c r="M111" t="str">
        <f>_xlfn.XLOOKUP(D:D,Inventario_Libros!A:A,Inventario_Libros!G:G,"No Existe",0)</f>
        <v>B-2</v>
      </c>
      <c r="N111" t="str">
        <f>IFERROR(VLOOKUP(Prestamos[[#This Row],[ID Libro]],Inventario_Libros!A:H,8,0),"Libro No Existe")</f>
        <v>Activo</v>
      </c>
    </row>
    <row r="112" spans="1:14" x14ac:dyDescent="0.3">
      <c r="A112" s="5" t="s">
        <v>639</v>
      </c>
      <c r="B112" s="1">
        <v>45703</v>
      </c>
      <c r="C112" s="1">
        <v>45719</v>
      </c>
      <c r="D112" s="4" t="s">
        <v>340</v>
      </c>
      <c r="E112" s="2" t="s">
        <v>264</v>
      </c>
      <c r="F112" s="2" t="s">
        <v>255</v>
      </c>
      <c r="G112" s="2" t="s">
        <v>257</v>
      </c>
      <c r="H112" s="3">
        <v>1</v>
      </c>
      <c r="I112" t="str">
        <f>IFERROR(VLOOKUP(Prestamos[[#This Row],[ID Libro]],Inventario_Libros!A:B,2,0),"Libro No Existe")</f>
        <v>El Aleph</v>
      </c>
      <c r="J112" t="str">
        <f>IFERROR(VLOOKUP(Prestamos[[#This Row],[ID Libro]],Inventario_Libros!A:C,3,0),"Libro No Existe")</f>
        <v>Jorge Luis Borges</v>
      </c>
      <c r="K112" t="str">
        <f>IFERROR(VLOOKUP(Prestamos[[#This Row],[ID Libro]],Inventario_Libros!A:D,4,0),"Libro No Existe")</f>
        <v>Cuentos / Fantasía Metafísica</v>
      </c>
      <c r="L112">
        <f>IFERROR(VLOOKUP(Prestamos[[#This Row],[ID Libro]],Inventario_Libros!A:E,5,0),"Libro No Existe")</f>
        <v>1953</v>
      </c>
      <c r="M112" t="str">
        <f>_xlfn.XLOOKUP(D:D,Inventario_Libros!A:A,Inventario_Libros!G:G,"No Existe",0)</f>
        <v>C-3</v>
      </c>
      <c r="N112" t="str">
        <f>IFERROR(VLOOKUP(Prestamos[[#This Row],[ID Libro]],Inventario_Libros!A:H,8,0),"Libro No Existe")</f>
        <v>Activo</v>
      </c>
    </row>
    <row r="113" spans="1:14" x14ac:dyDescent="0.3">
      <c r="A113" s="5" t="s">
        <v>640</v>
      </c>
      <c r="B113" s="1">
        <v>45702</v>
      </c>
      <c r="C113" s="1">
        <v>45719</v>
      </c>
      <c r="D113" s="4" t="s">
        <v>407</v>
      </c>
      <c r="E113" s="2" t="s">
        <v>274</v>
      </c>
      <c r="F113" s="2" t="s">
        <v>255</v>
      </c>
      <c r="G113" s="2" t="s">
        <v>257</v>
      </c>
      <c r="H113" s="3">
        <v>2</v>
      </c>
      <c r="I113" t="str">
        <f>IFERROR(VLOOKUP(Prestamos[[#This Row],[ID Libro]],Inventario_Libros!A:B,2,0),"Libro No Existe")</f>
        <v>Crónica De Una Muerte Anunciada</v>
      </c>
      <c r="J113" t="str">
        <f>IFERROR(VLOOKUP(Prestamos[[#This Row],[ID Libro]],Inventario_Libros!A:C,3,0),"Libro No Existe")</f>
        <v>Gabriel García Márquez</v>
      </c>
      <c r="K113" t="str">
        <f>IFERROR(VLOOKUP(Prestamos[[#This Row],[ID Libro]],Inventario_Libros!A:D,4,0),"Libro No Existe")</f>
        <v>Novela</v>
      </c>
      <c r="L113">
        <f>IFERROR(VLOOKUP(Prestamos[[#This Row],[ID Libro]],Inventario_Libros!A:E,5,0),"Libro No Existe")</f>
        <v>1934</v>
      </c>
      <c r="M113" t="str">
        <f>_xlfn.XLOOKUP(D:D,Inventario_Libros!A:A,Inventario_Libros!G:G,"No Existe",0)</f>
        <v>C-3</v>
      </c>
      <c r="N113" t="str">
        <f>IFERROR(VLOOKUP(Prestamos[[#This Row],[ID Libro]],Inventario_Libros!A:H,8,0),"Libro No Existe")</f>
        <v>Retirado</v>
      </c>
    </row>
    <row r="114" spans="1:14" x14ac:dyDescent="0.3">
      <c r="A114" s="5" t="s">
        <v>641</v>
      </c>
      <c r="B114" s="1">
        <v>45701</v>
      </c>
      <c r="C114" s="1" t="s">
        <v>289</v>
      </c>
      <c r="D114" s="4" t="s">
        <v>408</v>
      </c>
      <c r="E114" s="2" t="s">
        <v>256</v>
      </c>
      <c r="F114" s="2" t="s">
        <v>275</v>
      </c>
      <c r="G114" s="2" t="s">
        <v>253</v>
      </c>
      <c r="H114" s="3">
        <v>0</v>
      </c>
      <c r="I114" t="str">
        <f>IFERROR(VLOOKUP(Prestamos[[#This Row],[ID Libro]],Inventario_Libros!A:B,2,0),"Libro No Existe")</f>
        <v>La Casa De Los Espíritus</v>
      </c>
      <c r="J114" t="str">
        <f>IFERROR(VLOOKUP(Prestamos[[#This Row],[ID Libro]],Inventario_Libros!A:C,3,0),"Libro No Existe")</f>
        <v>Isabel Allende</v>
      </c>
      <c r="K114" t="str">
        <f>IFERROR(VLOOKUP(Prestamos[[#This Row],[ID Libro]],Inventario_Libros!A:D,4,0),"Libro No Existe")</f>
        <v>Novela</v>
      </c>
      <c r="L114">
        <f>IFERROR(VLOOKUP(Prestamos[[#This Row],[ID Libro]],Inventario_Libros!A:E,5,0),"Libro No Existe")</f>
        <v>1907</v>
      </c>
      <c r="M114" t="str">
        <f>_xlfn.XLOOKUP(D:D,Inventario_Libros!A:A,Inventario_Libros!G:G,"No Existe",0)</f>
        <v>B-2</v>
      </c>
      <c r="N114" t="str">
        <f>IFERROR(VLOOKUP(Prestamos[[#This Row],[ID Libro]],Inventario_Libros!A:H,8,0),"Libro No Existe")</f>
        <v>Activo</v>
      </c>
    </row>
    <row r="115" spans="1:14" x14ac:dyDescent="0.3">
      <c r="A115" s="5" t="s">
        <v>642</v>
      </c>
      <c r="B115" s="1">
        <v>45701</v>
      </c>
      <c r="C115" s="1" t="s">
        <v>289</v>
      </c>
      <c r="D115" s="4" t="s">
        <v>317</v>
      </c>
      <c r="E115" s="2" t="s">
        <v>254</v>
      </c>
      <c r="F115" s="2" t="s">
        <v>275</v>
      </c>
      <c r="G115" s="2" t="s">
        <v>253</v>
      </c>
      <c r="H115" s="3">
        <v>5</v>
      </c>
      <c r="I115" t="str">
        <f>IFERROR(VLOOKUP(Prestamos[[#This Row],[ID Libro]],Inventario_Libros!A:B,2,0),"Libro No Existe")</f>
        <v>El Aleph</v>
      </c>
      <c r="J115" t="str">
        <f>IFERROR(VLOOKUP(Prestamos[[#This Row],[ID Libro]],Inventario_Libros!A:C,3,0),"Libro No Existe")</f>
        <v>Jorge Luis Borges</v>
      </c>
      <c r="K115" t="str">
        <f>IFERROR(VLOOKUP(Prestamos[[#This Row],[ID Libro]],Inventario_Libros!A:D,4,0),"Libro No Existe")</f>
        <v>Cuentos / Fantasía Metafísica</v>
      </c>
      <c r="L115">
        <f>IFERROR(VLOOKUP(Prestamos[[#This Row],[ID Libro]],Inventario_Libros!A:E,5,0),"Libro No Existe")</f>
        <v>1941</v>
      </c>
      <c r="M115" t="str">
        <f>_xlfn.XLOOKUP(D:D,Inventario_Libros!A:A,Inventario_Libros!G:G,"No Existe",0)</f>
        <v>Est-1</v>
      </c>
      <c r="N115" t="str">
        <f>IFERROR(VLOOKUP(Prestamos[[#This Row],[ID Libro]],Inventario_Libros!A:H,8,0),"Libro No Existe")</f>
        <v>Activo</v>
      </c>
    </row>
    <row r="116" spans="1:14" x14ac:dyDescent="0.3">
      <c r="A116" s="5" t="s">
        <v>643</v>
      </c>
      <c r="B116" s="1">
        <v>45691</v>
      </c>
      <c r="C116" s="1" t="s">
        <v>289</v>
      </c>
      <c r="D116" s="4" t="s">
        <v>363</v>
      </c>
      <c r="E116" s="2" t="s">
        <v>269</v>
      </c>
      <c r="F116" s="2" t="s">
        <v>258</v>
      </c>
      <c r="G116" s="2" t="s">
        <v>257</v>
      </c>
      <c r="H116" s="3">
        <v>3</v>
      </c>
      <c r="I116" t="str">
        <f>IFERROR(VLOOKUP(Prestamos[[#This Row],[ID Libro]],Inventario_Libros!A:B,2,0),"Libro No Existe")</f>
        <v>Los Detectives Salvajes</v>
      </c>
      <c r="J116" t="str">
        <f>IFERROR(VLOOKUP(Prestamos[[#This Row],[ID Libro]],Inventario_Libros!A:C,3,0),"Libro No Existe")</f>
        <v>Roberto Bolaño</v>
      </c>
      <c r="K116" t="str">
        <f>IFERROR(VLOOKUP(Prestamos[[#This Row],[ID Libro]],Inventario_Libros!A:D,4,0),"Libro No Existe")</f>
        <v>Novela</v>
      </c>
      <c r="L116">
        <f>IFERROR(VLOOKUP(Prestamos[[#This Row],[ID Libro]],Inventario_Libros!A:E,5,0),"Libro No Existe")</f>
        <v>1898</v>
      </c>
      <c r="M116" t="str">
        <f>_xlfn.XLOOKUP(D:D,Inventario_Libros!A:A,Inventario_Libros!G:G,"No Existe",0)</f>
        <v>Est-1</v>
      </c>
      <c r="N116" t="str">
        <f>IFERROR(VLOOKUP(Prestamos[[#This Row],[ID Libro]],Inventario_Libros!A:H,8,0),"Libro No Existe")</f>
        <v>Retirado</v>
      </c>
    </row>
    <row r="117" spans="1:14" x14ac:dyDescent="0.3">
      <c r="A117" s="5" t="s">
        <v>644</v>
      </c>
      <c r="B117" s="1">
        <v>45689</v>
      </c>
      <c r="C117" s="1" t="s">
        <v>289</v>
      </c>
      <c r="D117" s="4" t="s">
        <v>409</v>
      </c>
      <c r="E117" s="2" t="s">
        <v>273</v>
      </c>
      <c r="F117" s="2" t="s">
        <v>275</v>
      </c>
      <c r="G117" s="2" t="s">
        <v>253</v>
      </c>
      <c r="H117" s="3">
        <v>0</v>
      </c>
      <c r="I117" t="str">
        <f>IFERROR(VLOOKUP(Prestamos[[#This Row],[ID Libro]],Inventario_Libros!A:B,2,0),"Libro No Existe")</f>
        <v>Crónica De Una Muerte Anunciada</v>
      </c>
      <c r="J117" t="str">
        <f>IFERROR(VLOOKUP(Prestamos[[#This Row],[ID Libro]],Inventario_Libros!A:C,3,0),"Libro No Existe")</f>
        <v>Gabriel García Márquez</v>
      </c>
      <c r="K117" t="str">
        <f>IFERROR(VLOOKUP(Prestamos[[#This Row],[ID Libro]],Inventario_Libros!A:D,4,0),"Libro No Existe")</f>
        <v>Novela</v>
      </c>
      <c r="L117">
        <f>IFERROR(VLOOKUP(Prestamos[[#This Row],[ID Libro]],Inventario_Libros!A:E,5,0),"Libro No Existe")</f>
        <v>1930</v>
      </c>
      <c r="M117" t="str">
        <f>_xlfn.XLOOKUP(D:D,Inventario_Libros!A:A,Inventario_Libros!G:G,"No Existe",0)</f>
        <v>A-1</v>
      </c>
      <c r="N117" t="str">
        <f>IFERROR(VLOOKUP(Prestamos[[#This Row],[ID Libro]],Inventario_Libros!A:H,8,0),"Libro No Existe")</f>
        <v>Retirado</v>
      </c>
    </row>
    <row r="118" spans="1:14" x14ac:dyDescent="0.3">
      <c r="A118" s="5" t="s">
        <v>645</v>
      </c>
      <c r="B118" s="1">
        <v>45684</v>
      </c>
      <c r="C118" s="1">
        <v>45709</v>
      </c>
      <c r="D118" s="4" t="s">
        <v>344</v>
      </c>
      <c r="E118" s="2" t="s">
        <v>274</v>
      </c>
      <c r="F118" s="2" t="s">
        <v>252</v>
      </c>
      <c r="G118" s="2" t="s">
        <v>257</v>
      </c>
      <c r="H118" s="3">
        <v>10</v>
      </c>
      <c r="I118" t="str">
        <f>IFERROR(VLOOKUP(Prestamos[[#This Row],[ID Libro]],Inventario_Libros!A:B,2,0),"Libro No Existe")</f>
        <v>Matar A Un Ruiseñor</v>
      </c>
      <c r="J118" t="str">
        <f>IFERROR(VLOOKUP(Prestamos[[#This Row],[ID Libro]],Inventario_Libros!A:C,3,0),"Libro No Existe")</f>
        <v>Harper Lee</v>
      </c>
      <c r="K118" t="str">
        <f>IFERROR(VLOOKUP(Prestamos[[#This Row],[ID Libro]],Inventario_Libros!A:D,4,0),"Libro No Existe")</f>
        <v>Novela</v>
      </c>
      <c r="L118">
        <f>IFERROR(VLOOKUP(Prestamos[[#This Row],[ID Libro]],Inventario_Libros!A:E,5,0),"Libro No Existe")</f>
        <v>1981</v>
      </c>
      <c r="M118" t="str">
        <f>_xlfn.XLOOKUP(D:D,Inventario_Libros!A:A,Inventario_Libros!G:G,"No Existe",0)</f>
        <v>C-3</v>
      </c>
      <c r="N118" t="str">
        <f>IFERROR(VLOOKUP(Prestamos[[#This Row],[ID Libro]],Inventario_Libros!A:H,8,0),"Libro No Existe")</f>
        <v>Retirado</v>
      </c>
    </row>
    <row r="119" spans="1:14" x14ac:dyDescent="0.3">
      <c r="A119" s="5" t="s">
        <v>646</v>
      </c>
      <c r="B119" s="1">
        <v>45682</v>
      </c>
      <c r="C119" s="1" t="s">
        <v>289</v>
      </c>
      <c r="D119" s="4" t="s">
        <v>346</v>
      </c>
      <c r="E119" s="2" t="s">
        <v>270</v>
      </c>
      <c r="F119" s="2" t="s">
        <v>275</v>
      </c>
      <c r="G119" s="2" t="s">
        <v>253</v>
      </c>
      <c r="H119" s="3">
        <v>5</v>
      </c>
      <c r="I119" t="str">
        <f>IFERROR(VLOOKUP(Prestamos[[#This Row],[ID Libro]],Inventario_Libros!A:B,2,0),"Libro No Existe")</f>
        <v>Macbeth</v>
      </c>
      <c r="J119" t="str">
        <f>IFERROR(VLOOKUP(Prestamos[[#This Row],[ID Libro]],Inventario_Libros!A:C,3,0),"Libro No Existe")</f>
        <v>William Shakespeare</v>
      </c>
      <c r="K119" t="str">
        <f>IFERROR(VLOOKUP(Prestamos[[#This Row],[ID Libro]],Inventario_Libros!A:D,4,0),"Libro No Existe")</f>
        <v>Clásicos</v>
      </c>
      <c r="L119">
        <f>IFERROR(VLOOKUP(Prestamos[[#This Row],[ID Libro]],Inventario_Libros!A:E,5,0),"Libro No Existe")</f>
        <v>1891</v>
      </c>
      <c r="M119" t="str">
        <f>_xlfn.XLOOKUP(D:D,Inventario_Libros!A:A,Inventario_Libros!G:G,"No Existe",0)</f>
        <v>B-2</v>
      </c>
      <c r="N119" t="str">
        <f>IFERROR(VLOOKUP(Prestamos[[#This Row],[ID Libro]],Inventario_Libros!A:H,8,0),"Libro No Existe")</f>
        <v>Activo</v>
      </c>
    </row>
    <row r="120" spans="1:14" x14ac:dyDescent="0.3">
      <c r="A120" s="5" t="s">
        <v>647</v>
      </c>
      <c r="B120" s="1">
        <v>45672</v>
      </c>
      <c r="C120" s="1">
        <v>45692</v>
      </c>
      <c r="D120" s="4" t="s">
        <v>410</v>
      </c>
      <c r="E120" s="2" t="s">
        <v>265</v>
      </c>
      <c r="F120" s="2" t="s">
        <v>252</v>
      </c>
      <c r="G120" s="2" t="s">
        <v>257</v>
      </c>
      <c r="H120" s="3">
        <v>5</v>
      </c>
      <c r="I120" t="str">
        <f>IFERROR(VLOOKUP(Prestamos[[#This Row],[ID Libro]],Inventario_Libros!A:B,2,0),"Libro No Existe")</f>
        <v>Rayuela</v>
      </c>
      <c r="J120" t="str">
        <f>IFERROR(VLOOKUP(Prestamos[[#This Row],[ID Libro]],Inventario_Libros!A:C,3,0),"Libro No Existe")</f>
        <v>Julio Cortázar</v>
      </c>
      <c r="K120" t="str">
        <f>IFERROR(VLOOKUP(Prestamos[[#This Row],[ID Libro]],Inventario_Libros!A:D,4,0),"Libro No Existe")</f>
        <v>Novela</v>
      </c>
      <c r="L120">
        <f>IFERROR(VLOOKUP(Prestamos[[#This Row],[ID Libro]],Inventario_Libros!A:E,5,0),"Libro No Existe")</f>
        <v>1986</v>
      </c>
      <c r="M120" t="str">
        <f>_xlfn.XLOOKUP(D:D,Inventario_Libros!A:A,Inventario_Libros!G:G,"No Existe",0)</f>
        <v>Est-1</v>
      </c>
      <c r="N120" t="str">
        <f>IFERROR(VLOOKUP(Prestamos[[#This Row],[ID Libro]],Inventario_Libros!A:H,8,0),"Libro No Existe")</f>
        <v>Retirado</v>
      </c>
    </row>
    <row r="121" spans="1:14" x14ac:dyDescent="0.3">
      <c r="A121" s="5" t="s">
        <v>648</v>
      </c>
      <c r="B121" s="1">
        <v>45672</v>
      </c>
      <c r="C121" s="1" t="s">
        <v>289</v>
      </c>
      <c r="D121" s="4" t="s">
        <v>411</v>
      </c>
      <c r="E121" s="2" t="s">
        <v>256</v>
      </c>
      <c r="F121" s="2" t="s">
        <v>263</v>
      </c>
      <c r="G121" s="2" t="s">
        <v>253</v>
      </c>
      <c r="H121" s="3">
        <v>5</v>
      </c>
      <c r="I121" t="str">
        <f>IFERROR(VLOOKUP(Prestamos[[#This Row],[ID Libro]],Inventario_Libros!A:B,2,0),"Libro No Existe")</f>
        <v>La Casa De Los Espíritus</v>
      </c>
      <c r="J121" t="str">
        <f>IFERROR(VLOOKUP(Prestamos[[#This Row],[ID Libro]],Inventario_Libros!A:C,3,0),"Libro No Existe")</f>
        <v>Isabel Allende</v>
      </c>
      <c r="K121" t="str">
        <f>IFERROR(VLOOKUP(Prestamos[[#This Row],[ID Libro]],Inventario_Libros!A:D,4,0),"Libro No Existe")</f>
        <v>Novela</v>
      </c>
      <c r="L121">
        <f>IFERROR(VLOOKUP(Prestamos[[#This Row],[ID Libro]],Inventario_Libros!A:E,5,0),"Libro No Existe")</f>
        <v>2018</v>
      </c>
      <c r="M121" t="str">
        <f>_xlfn.XLOOKUP(D:D,Inventario_Libros!A:A,Inventario_Libros!G:G,"No Existe",0)</f>
        <v>Est-1</v>
      </c>
      <c r="N121" t="str">
        <f>IFERROR(VLOOKUP(Prestamos[[#This Row],[ID Libro]],Inventario_Libros!A:H,8,0),"Libro No Existe")</f>
        <v>Activo</v>
      </c>
    </row>
    <row r="122" spans="1:14" x14ac:dyDescent="0.3">
      <c r="A122" s="5" t="s">
        <v>649</v>
      </c>
      <c r="B122" s="1">
        <v>45670</v>
      </c>
      <c r="C122" s="1" t="s">
        <v>289</v>
      </c>
      <c r="D122" s="4" t="s">
        <v>412</v>
      </c>
      <c r="E122" s="2" t="s">
        <v>277</v>
      </c>
      <c r="F122" s="2" t="s">
        <v>263</v>
      </c>
      <c r="G122" s="2" t="s">
        <v>257</v>
      </c>
      <c r="H122" s="3">
        <v>3</v>
      </c>
      <c r="I122" t="str">
        <f>IFERROR(VLOOKUP(Prestamos[[#This Row],[ID Libro]],Inventario_Libros!A:B,2,0),"Libro No Existe")</f>
        <v>El Aleph</v>
      </c>
      <c r="J122" t="str">
        <f>IFERROR(VLOOKUP(Prestamos[[#This Row],[ID Libro]],Inventario_Libros!A:C,3,0),"Libro No Existe")</f>
        <v>Jorge Luis Borges</v>
      </c>
      <c r="K122" t="str">
        <f>IFERROR(VLOOKUP(Prestamos[[#This Row],[ID Libro]],Inventario_Libros!A:D,4,0),"Libro No Existe")</f>
        <v>Cuentos / Fantasía Metafísica</v>
      </c>
      <c r="L122">
        <f>IFERROR(VLOOKUP(Prestamos[[#This Row],[ID Libro]],Inventario_Libros!A:E,5,0),"Libro No Existe")</f>
        <v>1903</v>
      </c>
      <c r="M122" t="str">
        <f>_xlfn.XLOOKUP(D:D,Inventario_Libros!A:A,Inventario_Libros!G:G,"No Existe",0)</f>
        <v>A-1</v>
      </c>
      <c r="N122" t="str">
        <f>IFERROR(VLOOKUP(Prestamos[[#This Row],[ID Libro]],Inventario_Libros!A:H,8,0),"Libro No Existe")</f>
        <v>Retirado</v>
      </c>
    </row>
    <row r="123" spans="1:14" x14ac:dyDescent="0.3">
      <c r="A123" s="5" t="s">
        <v>650</v>
      </c>
      <c r="B123" s="1">
        <v>45669</v>
      </c>
      <c r="C123" s="1" t="s">
        <v>289</v>
      </c>
      <c r="D123" s="4" t="s">
        <v>413</v>
      </c>
      <c r="E123" s="2" t="s">
        <v>273</v>
      </c>
      <c r="F123" s="2" t="s">
        <v>275</v>
      </c>
      <c r="G123" s="2" t="s">
        <v>253</v>
      </c>
      <c r="H123" s="3">
        <v>5</v>
      </c>
      <c r="I123" t="str">
        <f>IFERROR(VLOOKUP(Prestamos[[#This Row],[ID Libro]],Inventario_Libros!A:B,2,0),"Libro No Existe")</f>
        <v>Ficciones</v>
      </c>
      <c r="J123" t="str">
        <f>IFERROR(VLOOKUP(Prestamos[[#This Row],[ID Libro]],Inventario_Libros!A:C,3,0),"Libro No Existe")</f>
        <v>Jorge Luis Borges</v>
      </c>
      <c r="K123" t="str">
        <f>IFERROR(VLOOKUP(Prestamos[[#This Row],[ID Libro]],Inventario_Libros!A:D,4,0),"Libro No Existe")</f>
        <v>Cuentos / Fantasía Metafísica</v>
      </c>
      <c r="L123">
        <f>IFERROR(VLOOKUP(Prestamos[[#This Row],[ID Libro]],Inventario_Libros!A:E,5,0),"Libro No Existe")</f>
        <v>1953</v>
      </c>
      <c r="M123" t="str">
        <f>_xlfn.XLOOKUP(D:D,Inventario_Libros!A:A,Inventario_Libros!G:G,"No Existe",0)</f>
        <v>A-1</v>
      </c>
      <c r="N123" t="str">
        <f>IFERROR(VLOOKUP(Prestamos[[#This Row],[ID Libro]],Inventario_Libros!A:H,8,0),"Libro No Existe")</f>
        <v>Activo</v>
      </c>
    </row>
    <row r="124" spans="1:14" x14ac:dyDescent="0.3">
      <c r="A124" s="5" t="s">
        <v>651</v>
      </c>
      <c r="B124" s="1">
        <v>45663</v>
      </c>
      <c r="C124" s="1" t="s">
        <v>289</v>
      </c>
      <c r="D124" s="4" t="s">
        <v>414</v>
      </c>
      <c r="E124" s="2" t="s">
        <v>265</v>
      </c>
      <c r="F124" s="2" t="s">
        <v>275</v>
      </c>
      <c r="G124" s="2" t="s">
        <v>253</v>
      </c>
      <c r="H124" s="3">
        <v>0</v>
      </c>
      <c r="I124" t="str">
        <f>IFERROR(VLOOKUP(Prestamos[[#This Row],[ID Libro]],Inventario_Libros!A:B,2,0),"Libro No Existe")</f>
        <v>1984</v>
      </c>
      <c r="J124" t="str">
        <f>IFERROR(VLOOKUP(Prestamos[[#This Row],[ID Libro]],Inventario_Libros!A:C,3,0),"Libro No Existe")</f>
        <v>George Orwell</v>
      </c>
      <c r="K124" t="str">
        <f>IFERROR(VLOOKUP(Prestamos[[#This Row],[ID Libro]],Inventario_Libros!A:D,4,0),"Libro No Existe")</f>
        <v>Ciencia Ficción</v>
      </c>
      <c r="L124">
        <f>IFERROR(VLOOKUP(Prestamos[[#This Row],[ID Libro]],Inventario_Libros!A:E,5,0),"Libro No Existe")</f>
        <v>1898</v>
      </c>
      <c r="M124" t="str">
        <f>_xlfn.XLOOKUP(D:D,Inventario_Libros!A:A,Inventario_Libros!G:G,"No Existe",0)</f>
        <v>B-2</v>
      </c>
      <c r="N124" t="str">
        <f>IFERROR(VLOOKUP(Prestamos[[#This Row],[ID Libro]],Inventario_Libros!A:H,8,0),"Libro No Existe")</f>
        <v>Retirado</v>
      </c>
    </row>
    <row r="125" spans="1:14" x14ac:dyDescent="0.3">
      <c r="A125" s="5" t="s">
        <v>652</v>
      </c>
      <c r="B125" s="1">
        <v>45662</v>
      </c>
      <c r="C125" s="1" t="s">
        <v>289</v>
      </c>
      <c r="D125" s="4" t="s">
        <v>415</v>
      </c>
      <c r="E125" s="2" t="s">
        <v>278</v>
      </c>
      <c r="F125" s="2" t="s">
        <v>263</v>
      </c>
      <c r="G125" s="2" t="s">
        <v>253</v>
      </c>
      <c r="H125" s="3">
        <v>5</v>
      </c>
      <c r="I125" t="str">
        <f>IFERROR(VLOOKUP(Prestamos[[#This Row],[ID Libro]],Inventario_Libros!A:B,2,0),"Libro No Existe")</f>
        <v>Rayuela</v>
      </c>
      <c r="J125" t="str">
        <f>IFERROR(VLOOKUP(Prestamos[[#This Row],[ID Libro]],Inventario_Libros!A:C,3,0),"Libro No Existe")</f>
        <v>Julio Cortázar</v>
      </c>
      <c r="K125" t="str">
        <f>IFERROR(VLOOKUP(Prestamos[[#This Row],[ID Libro]],Inventario_Libros!A:D,4,0),"Libro No Existe")</f>
        <v>Novela</v>
      </c>
      <c r="L125">
        <f>IFERROR(VLOOKUP(Prestamos[[#This Row],[ID Libro]],Inventario_Libros!A:E,5,0),"Libro No Existe")</f>
        <v>1939</v>
      </c>
      <c r="M125" t="str">
        <f>_xlfn.XLOOKUP(D:D,Inventario_Libros!A:A,Inventario_Libros!G:G,"No Existe",0)</f>
        <v>A-1</v>
      </c>
      <c r="N125" t="str">
        <f>IFERROR(VLOOKUP(Prestamos[[#This Row],[ID Libro]],Inventario_Libros!A:H,8,0),"Libro No Existe")</f>
        <v>Retirado</v>
      </c>
    </row>
    <row r="126" spans="1:14" x14ac:dyDescent="0.3">
      <c r="A126" s="5" t="s">
        <v>653</v>
      </c>
      <c r="B126" s="1">
        <v>45660</v>
      </c>
      <c r="C126" s="1">
        <v>45677</v>
      </c>
      <c r="D126" s="4" t="s">
        <v>416</v>
      </c>
      <c r="E126" s="2" t="s">
        <v>272</v>
      </c>
      <c r="F126" s="2" t="s">
        <v>275</v>
      </c>
      <c r="G126" s="2" t="s">
        <v>257</v>
      </c>
      <c r="H126" s="3">
        <v>2</v>
      </c>
      <c r="I126" t="str">
        <f>IFERROR(VLOOKUP(Prestamos[[#This Row],[ID Libro]],Inventario_Libros!A:B,2,0),"Libro No Existe")</f>
        <v>La Tregua</v>
      </c>
      <c r="J126" t="str">
        <f>IFERROR(VLOOKUP(Prestamos[[#This Row],[ID Libro]],Inventario_Libros!A:C,3,0),"Libro No Existe")</f>
        <v>Mario Benedetti</v>
      </c>
      <c r="K126" t="str">
        <f>IFERROR(VLOOKUP(Prestamos[[#This Row],[ID Libro]],Inventario_Libros!A:D,4,0),"Libro No Existe")</f>
        <v>Novela</v>
      </c>
      <c r="L126">
        <f>IFERROR(VLOOKUP(Prestamos[[#This Row],[ID Libro]],Inventario_Libros!A:E,5,0),"Libro No Existe")</f>
        <v>2003</v>
      </c>
      <c r="M126" t="str">
        <f>_xlfn.XLOOKUP(D:D,Inventario_Libros!A:A,Inventario_Libros!G:G,"No Existe",0)</f>
        <v>C-3</v>
      </c>
      <c r="N126" t="str">
        <f>IFERROR(VLOOKUP(Prestamos[[#This Row],[ID Libro]],Inventario_Libros!A:H,8,0),"Libro No Existe")</f>
        <v>Activo</v>
      </c>
    </row>
    <row r="127" spans="1:14" x14ac:dyDescent="0.3">
      <c r="A127" s="5" t="s">
        <v>654</v>
      </c>
      <c r="B127" s="1">
        <v>45877</v>
      </c>
      <c r="C127" s="1">
        <v>45867</v>
      </c>
      <c r="D127" s="4" t="s">
        <v>368</v>
      </c>
      <c r="E127" s="2" t="s">
        <v>274</v>
      </c>
      <c r="F127" s="2" t="s">
        <v>255</v>
      </c>
      <c r="G127" s="2" t="s">
        <v>279</v>
      </c>
      <c r="H127" s="3" t="s">
        <v>289</v>
      </c>
      <c r="I127" t="str">
        <f>IFERROR(VLOOKUP(Prestamos[[#This Row],[ID Libro]],Inventario_Libros!A:B,2,0),"Libro No Existe")</f>
        <v>Breve Historia Del Tiempo</v>
      </c>
      <c r="J127" t="str">
        <f>IFERROR(VLOOKUP(Prestamos[[#This Row],[ID Libro]],Inventario_Libros!A:C,3,0),"Libro No Existe")</f>
        <v>Stephen Hawking</v>
      </c>
      <c r="K127" t="str">
        <f>IFERROR(VLOOKUP(Prestamos[[#This Row],[ID Libro]],Inventario_Libros!A:D,4,0),"Libro No Existe")</f>
        <v>Divulgación Científica / Cosmología</v>
      </c>
      <c r="L127">
        <f>IFERROR(VLOOKUP(Prestamos[[#This Row],[ID Libro]],Inventario_Libros!A:E,5,0),"Libro No Existe")</f>
        <v>1889</v>
      </c>
      <c r="M127" t="str">
        <f>_xlfn.XLOOKUP(D:D,Inventario_Libros!A:A,Inventario_Libros!G:G,"No Existe",0)</f>
        <v>Est-1</v>
      </c>
      <c r="N127" t="str">
        <f>IFERROR(VLOOKUP(Prestamos[[#This Row],[ID Libro]],Inventario_Libros!A:H,8,0),"Libro No Existe")</f>
        <v>Retirado</v>
      </c>
    </row>
    <row r="128" spans="1:14" x14ac:dyDescent="0.3">
      <c r="A128" s="5" t="s">
        <v>655</v>
      </c>
      <c r="B128" s="1">
        <v>45738</v>
      </c>
      <c r="C128" s="1">
        <v>45728</v>
      </c>
      <c r="D128" s="4" t="s">
        <v>417</v>
      </c>
      <c r="E128" s="2" t="s">
        <v>277</v>
      </c>
      <c r="F128" s="2" t="s">
        <v>263</v>
      </c>
      <c r="G128" s="2" t="s">
        <v>253</v>
      </c>
      <c r="H128" s="3">
        <v>0</v>
      </c>
      <c r="I128" t="str">
        <f>IFERROR(VLOOKUP(Prestamos[[#This Row],[ID Libro]],Inventario_Libros!A:B,2,0),"Libro No Existe")</f>
        <v>El Aleph</v>
      </c>
      <c r="J128" t="str">
        <f>IFERROR(VLOOKUP(Prestamos[[#This Row],[ID Libro]],Inventario_Libros!A:C,3,0),"Libro No Existe")</f>
        <v>Jorge Luis Borges</v>
      </c>
      <c r="K128" t="str">
        <f>IFERROR(VLOOKUP(Prestamos[[#This Row],[ID Libro]],Inventario_Libros!A:D,4,0),"Libro No Existe")</f>
        <v>Cuentos / Fantasía Metafísica</v>
      </c>
      <c r="L128">
        <f>IFERROR(VLOOKUP(Prestamos[[#This Row],[ID Libro]],Inventario_Libros!A:E,5,0),"Libro No Existe")</f>
        <v>1991</v>
      </c>
      <c r="M128" t="str">
        <f>_xlfn.XLOOKUP(D:D,Inventario_Libros!A:A,Inventario_Libros!G:G,"No Existe",0)</f>
        <v>Est-1</v>
      </c>
      <c r="N128" t="str">
        <f>IFERROR(VLOOKUP(Prestamos[[#This Row],[ID Libro]],Inventario_Libros!A:H,8,0),"Libro No Existe")</f>
        <v>Retirado</v>
      </c>
    </row>
    <row r="129" spans="1:14" x14ac:dyDescent="0.3">
      <c r="A129" s="5" t="s">
        <v>656</v>
      </c>
      <c r="B129" s="1">
        <v>45865</v>
      </c>
      <c r="C129" s="1">
        <v>45885</v>
      </c>
      <c r="D129" s="4" t="s">
        <v>382</v>
      </c>
      <c r="E129" s="2" t="s">
        <v>261</v>
      </c>
      <c r="F129" s="2" t="s">
        <v>275</v>
      </c>
      <c r="G129" s="2" t="s">
        <v>257</v>
      </c>
      <c r="H129" s="3">
        <v>5</v>
      </c>
      <c r="I129" t="str">
        <f>IFERROR(VLOOKUP(Prestamos[[#This Row],[ID Libro]],Inventario_Libros!A:B,2,0),"Libro No Existe")</f>
        <v>Crónica De Una Muerte Anunciada</v>
      </c>
      <c r="J129" t="str">
        <f>IFERROR(VLOOKUP(Prestamos[[#This Row],[ID Libro]],Inventario_Libros!A:C,3,0),"Libro No Existe")</f>
        <v>Gabriel García Márquez</v>
      </c>
      <c r="K129" t="str">
        <f>IFERROR(VLOOKUP(Prestamos[[#This Row],[ID Libro]],Inventario_Libros!A:D,4,0),"Libro No Existe")</f>
        <v>Novela</v>
      </c>
      <c r="L129">
        <f>IFERROR(VLOOKUP(Prestamos[[#This Row],[ID Libro]],Inventario_Libros!A:E,5,0),"Libro No Existe")</f>
        <v>1987</v>
      </c>
      <c r="M129" t="str">
        <f>_xlfn.XLOOKUP(D:D,Inventario_Libros!A:A,Inventario_Libros!G:G,"No Existe",0)</f>
        <v>A-1</v>
      </c>
      <c r="N129" t="str">
        <f>IFERROR(VLOOKUP(Prestamos[[#This Row],[ID Libro]],Inventario_Libros!A:H,8,0),"Libro No Existe")</f>
        <v>Activo</v>
      </c>
    </row>
    <row r="130" spans="1:14" x14ac:dyDescent="0.3">
      <c r="A130" s="5" t="s">
        <v>657</v>
      </c>
      <c r="B130" s="1">
        <v>45846</v>
      </c>
      <c r="C130" s="1">
        <v>45871</v>
      </c>
      <c r="D130" s="4" t="s">
        <v>418</v>
      </c>
      <c r="E130" s="2" t="s">
        <v>273</v>
      </c>
      <c r="F130" s="2" t="s">
        <v>252</v>
      </c>
      <c r="G130" s="2" t="s">
        <v>257</v>
      </c>
      <c r="H130" s="3">
        <v>10</v>
      </c>
      <c r="I130" t="str">
        <f>IFERROR(VLOOKUP(Prestamos[[#This Row],[ID Libro]],Inventario_Libros!A:B,2,0),"Libro No Existe")</f>
        <v>Libro No Existe</v>
      </c>
      <c r="J130" t="str">
        <f>IFERROR(VLOOKUP(Prestamos[[#This Row],[ID Libro]],Inventario_Libros!A:C,3,0),"Libro No Existe")</f>
        <v>Libro No Existe</v>
      </c>
      <c r="K130" t="str">
        <f>IFERROR(VLOOKUP(Prestamos[[#This Row],[ID Libro]],Inventario_Libros!A:D,4,0),"Libro No Existe")</f>
        <v>Libro No Existe</v>
      </c>
      <c r="L130" t="str">
        <f>IFERROR(VLOOKUP(Prestamos[[#This Row],[ID Libro]],Inventario_Libros!A:E,5,0),"Libro No Existe")</f>
        <v>Libro No Existe</v>
      </c>
      <c r="M130" t="str">
        <f>_xlfn.XLOOKUP(D:D,Inventario_Libros!A:A,Inventario_Libros!G:G,"No Existe",0)</f>
        <v>No Existe</v>
      </c>
      <c r="N130" t="str">
        <f>IFERROR(VLOOKUP(Prestamos[[#This Row],[ID Libro]],Inventario_Libros!A:H,8,0),"Libro No Existe")</f>
        <v>Libro No Existe</v>
      </c>
    </row>
    <row r="131" spans="1:14" x14ac:dyDescent="0.3">
      <c r="A131" s="5" t="s">
        <v>658</v>
      </c>
      <c r="B131" s="1">
        <v>45808</v>
      </c>
      <c r="C131" s="1">
        <v>45799</v>
      </c>
      <c r="D131" s="4" t="s">
        <v>368</v>
      </c>
      <c r="E131" s="2" t="s">
        <v>266</v>
      </c>
      <c r="F131" s="2" t="s">
        <v>255</v>
      </c>
      <c r="G131" s="2" t="s">
        <v>253</v>
      </c>
      <c r="H131" s="3" t="s">
        <v>280</v>
      </c>
      <c r="I131" t="str">
        <f>IFERROR(VLOOKUP(Prestamos[[#This Row],[ID Libro]],Inventario_Libros!A:B,2,0),"Libro No Existe")</f>
        <v>Breve Historia Del Tiempo</v>
      </c>
      <c r="J131" t="str">
        <f>IFERROR(VLOOKUP(Prestamos[[#This Row],[ID Libro]],Inventario_Libros!A:C,3,0),"Libro No Existe")</f>
        <v>Stephen Hawking</v>
      </c>
      <c r="K131" t="str">
        <f>IFERROR(VLOOKUP(Prestamos[[#This Row],[ID Libro]],Inventario_Libros!A:D,4,0),"Libro No Existe")</f>
        <v>Divulgación Científica / Cosmología</v>
      </c>
      <c r="L131">
        <f>IFERROR(VLOOKUP(Prestamos[[#This Row],[ID Libro]],Inventario_Libros!A:E,5,0),"Libro No Existe")</f>
        <v>1889</v>
      </c>
      <c r="M131" t="str">
        <f>_xlfn.XLOOKUP(D:D,Inventario_Libros!A:A,Inventario_Libros!G:G,"No Existe",0)</f>
        <v>Est-1</v>
      </c>
      <c r="N131" t="str">
        <f>IFERROR(VLOOKUP(Prestamos[[#This Row],[ID Libro]],Inventario_Libros!A:H,8,0),"Libro No Existe")</f>
        <v>Retirado</v>
      </c>
    </row>
    <row r="132" spans="1:14" x14ac:dyDescent="0.3">
      <c r="A132" s="5" t="s">
        <v>659</v>
      </c>
      <c r="B132" s="1">
        <v>45739</v>
      </c>
      <c r="C132" s="1">
        <v>45730</v>
      </c>
      <c r="D132" s="4" t="s">
        <v>333</v>
      </c>
      <c r="E132" s="2" t="s">
        <v>271</v>
      </c>
      <c r="F132" s="2" t="s">
        <v>263</v>
      </c>
      <c r="G132" s="2" t="s">
        <v>253</v>
      </c>
      <c r="H132" s="3">
        <v>5</v>
      </c>
      <c r="I132" t="str">
        <f>IFERROR(VLOOKUP(Prestamos[[#This Row],[ID Libro]],Inventario_Libros!A:B,2,0),"Libro No Existe")</f>
        <v>Sobre La Felicidad</v>
      </c>
      <c r="J132" t="str">
        <f>IFERROR(VLOOKUP(Prestamos[[#This Row],[ID Libro]],Inventario_Libros!A:C,3,0),"Libro No Existe")</f>
        <v>Lucio Anneo Séneca</v>
      </c>
      <c r="K132" t="str">
        <f>IFERROR(VLOOKUP(Prestamos[[#This Row],[ID Libro]],Inventario_Libros!A:D,4,0),"Libro No Existe")</f>
        <v>Filosofía Y Pensamiento</v>
      </c>
      <c r="L132">
        <f>IFERROR(VLOOKUP(Prestamos[[#This Row],[ID Libro]],Inventario_Libros!A:E,5,0),"Libro No Existe")</f>
        <v>1903</v>
      </c>
      <c r="M132" t="str">
        <f>_xlfn.XLOOKUP(D:D,Inventario_Libros!A:A,Inventario_Libros!G:G,"No Existe",0)</f>
        <v>A-1</v>
      </c>
      <c r="N132" t="str">
        <f>IFERROR(VLOOKUP(Prestamos[[#This Row],[ID Libro]],Inventario_Libros!A:H,8,0),"Libro No Existe")</f>
        <v>Activo</v>
      </c>
    </row>
    <row r="133" spans="1:14" x14ac:dyDescent="0.3">
      <c r="A133" s="5" t="s">
        <v>660</v>
      </c>
      <c r="B133" s="1">
        <v>45808</v>
      </c>
      <c r="C133" s="1">
        <v>45825</v>
      </c>
      <c r="D133" s="4" t="s">
        <v>419</v>
      </c>
      <c r="E133" s="2" t="s">
        <v>260</v>
      </c>
      <c r="F133" s="2" t="s">
        <v>275</v>
      </c>
      <c r="G133" s="2" t="s">
        <v>257</v>
      </c>
      <c r="H133" s="3">
        <v>2</v>
      </c>
      <c r="I133" t="str">
        <f>IFERROR(VLOOKUP(Prestamos[[#This Row],[ID Libro]],Inventario_Libros!A:B,2,0),"Libro No Existe")</f>
        <v>Matar A Un Ruiseñor</v>
      </c>
      <c r="J133" t="str">
        <f>IFERROR(VLOOKUP(Prestamos[[#This Row],[ID Libro]],Inventario_Libros!A:C,3,0),"Libro No Existe")</f>
        <v>Harper Lee</v>
      </c>
      <c r="K133" t="str">
        <f>IFERROR(VLOOKUP(Prestamos[[#This Row],[ID Libro]],Inventario_Libros!A:D,4,0),"Libro No Existe")</f>
        <v>Novela</v>
      </c>
      <c r="L133">
        <f>IFERROR(VLOOKUP(Prestamos[[#This Row],[ID Libro]],Inventario_Libros!A:E,5,0),"Libro No Existe")</f>
        <v>1939</v>
      </c>
      <c r="M133" t="str">
        <f>_xlfn.XLOOKUP(D:D,Inventario_Libros!A:A,Inventario_Libros!G:G,"No Existe",0)</f>
        <v>No Asignado</v>
      </c>
      <c r="N133" t="str">
        <f>IFERROR(VLOOKUP(Prestamos[[#This Row],[ID Libro]],Inventario_Libros!A:H,8,0),"Libro No Existe")</f>
        <v>Retirado</v>
      </c>
    </row>
    <row r="134" spans="1:14" x14ac:dyDescent="0.3">
      <c r="A134" s="5" t="s">
        <v>661</v>
      </c>
      <c r="B134" s="1">
        <v>45869</v>
      </c>
      <c r="C134" s="1">
        <v>45891</v>
      </c>
      <c r="D134" s="4" t="s">
        <v>420</v>
      </c>
      <c r="E134" s="2" t="s">
        <v>281</v>
      </c>
      <c r="F134" s="2" t="s">
        <v>263</v>
      </c>
      <c r="G134" s="2" t="s">
        <v>279</v>
      </c>
      <c r="H134" s="3" t="s">
        <v>289</v>
      </c>
      <c r="I134" t="str">
        <f>IFERROR(VLOOKUP(Prestamos[[#This Row],[ID Libro]],Inventario_Libros!A:B,2,0),"Libro No Existe")</f>
        <v>La Ciudad Y Los Perros</v>
      </c>
      <c r="J134" t="str">
        <f>IFERROR(VLOOKUP(Prestamos[[#This Row],[ID Libro]],Inventario_Libros!A:C,3,0),"Libro No Existe")</f>
        <v>Mario Vargas Llosa</v>
      </c>
      <c r="K134" t="str">
        <f>IFERROR(VLOOKUP(Prestamos[[#This Row],[ID Libro]],Inventario_Libros!A:D,4,0),"Libro No Existe")</f>
        <v>Novela</v>
      </c>
      <c r="L134">
        <f>IFERROR(VLOOKUP(Prestamos[[#This Row],[ID Libro]],Inventario_Libros!A:E,5,0),"Libro No Existe")</f>
        <v>1896</v>
      </c>
      <c r="M134" t="str">
        <f>_xlfn.XLOOKUP(D:D,Inventario_Libros!A:A,Inventario_Libros!G:G,"No Existe",0)</f>
        <v>Est-1</v>
      </c>
      <c r="N134" t="str">
        <f>IFERROR(VLOOKUP(Prestamos[[#This Row],[ID Libro]],Inventario_Libros!A:H,8,0),"Libro No Existe")</f>
        <v>Activo</v>
      </c>
    </row>
    <row r="135" spans="1:14" x14ac:dyDescent="0.3">
      <c r="A135" s="5" t="s">
        <v>662</v>
      </c>
      <c r="B135" s="1">
        <v>45849</v>
      </c>
      <c r="C135" s="1">
        <v>45871</v>
      </c>
      <c r="D135" s="4" t="s">
        <v>421</v>
      </c>
      <c r="E135" s="2" t="s">
        <v>278</v>
      </c>
      <c r="F135" s="2" t="s">
        <v>258</v>
      </c>
      <c r="G135" s="2" t="s">
        <v>279</v>
      </c>
      <c r="H135" s="3" t="s">
        <v>289</v>
      </c>
      <c r="I135" t="str">
        <f>IFERROR(VLOOKUP(Prestamos[[#This Row],[ID Libro]],Inventario_Libros!A:B,2,0),"Libro No Existe")</f>
        <v>Rayuela</v>
      </c>
      <c r="J135" t="str">
        <f>IFERROR(VLOOKUP(Prestamos[[#This Row],[ID Libro]],Inventario_Libros!A:C,3,0),"Libro No Existe")</f>
        <v>Julio Cortázar</v>
      </c>
      <c r="K135" t="str">
        <f>IFERROR(VLOOKUP(Prestamos[[#This Row],[ID Libro]],Inventario_Libros!A:D,4,0),"Libro No Existe")</f>
        <v>Novela</v>
      </c>
      <c r="L135">
        <f>IFERROR(VLOOKUP(Prestamos[[#This Row],[ID Libro]],Inventario_Libros!A:E,5,0),"Libro No Existe")</f>
        <v>1932</v>
      </c>
      <c r="M135" t="str">
        <f>_xlfn.XLOOKUP(D:D,Inventario_Libros!A:A,Inventario_Libros!G:G,"No Existe",0)</f>
        <v>B-2</v>
      </c>
      <c r="N135" t="str">
        <f>IFERROR(VLOOKUP(Prestamos[[#This Row],[ID Libro]],Inventario_Libros!A:H,8,0),"Libro No Existe")</f>
        <v>Activo</v>
      </c>
    </row>
    <row r="136" spans="1:14" x14ac:dyDescent="0.3">
      <c r="A136" s="5" t="s">
        <v>663</v>
      </c>
      <c r="B136" s="1">
        <v>45884</v>
      </c>
      <c r="C136" s="1">
        <v>45875</v>
      </c>
      <c r="D136" s="4" t="s">
        <v>422</v>
      </c>
      <c r="E136" s="2" t="s">
        <v>270</v>
      </c>
      <c r="F136" s="2" t="s">
        <v>258</v>
      </c>
      <c r="G136" s="2" t="s">
        <v>253</v>
      </c>
      <c r="H136" s="3">
        <v>0</v>
      </c>
      <c r="I136" t="str">
        <f>IFERROR(VLOOKUP(Prestamos[[#This Row],[ID Libro]],Inventario_Libros!A:B,2,0),"Libro No Existe")</f>
        <v>Pedro Páramo</v>
      </c>
      <c r="J136" t="str">
        <f>IFERROR(VLOOKUP(Prestamos[[#This Row],[ID Libro]],Inventario_Libros!A:C,3,0),"Libro No Existe")</f>
        <v>Juan Rulfo</v>
      </c>
      <c r="K136" t="str">
        <f>IFERROR(VLOOKUP(Prestamos[[#This Row],[ID Libro]],Inventario_Libros!A:D,4,0),"Libro No Existe")</f>
        <v>Novela</v>
      </c>
      <c r="L136">
        <f>IFERROR(VLOOKUP(Prestamos[[#This Row],[ID Libro]],Inventario_Libros!A:E,5,0),"Libro No Existe")</f>
        <v>1966</v>
      </c>
      <c r="M136" t="str">
        <f>_xlfn.XLOOKUP(D:D,Inventario_Libros!A:A,Inventario_Libros!G:G,"No Existe",0)</f>
        <v>Est-1</v>
      </c>
      <c r="N136" t="str">
        <f>IFERROR(VLOOKUP(Prestamos[[#This Row],[ID Libro]],Inventario_Libros!A:H,8,0),"Libro No Existe")</f>
        <v>Retirado</v>
      </c>
    </row>
    <row r="137" spans="1:14" x14ac:dyDescent="0.3">
      <c r="A137" s="5" t="s">
        <v>664</v>
      </c>
      <c r="B137" s="1">
        <v>45681</v>
      </c>
      <c r="C137" s="1">
        <v>45704</v>
      </c>
      <c r="D137" s="4" t="s">
        <v>423</v>
      </c>
      <c r="E137" s="2" t="s">
        <v>251</v>
      </c>
      <c r="F137" s="2" t="s">
        <v>263</v>
      </c>
      <c r="G137" s="2" t="s">
        <v>279</v>
      </c>
      <c r="H137" s="3" t="s">
        <v>289</v>
      </c>
      <c r="I137" t="str">
        <f>IFERROR(VLOOKUP(Prestamos[[#This Row],[ID Libro]],Inventario_Libros!A:B,2,0),"Libro No Existe")</f>
        <v>Orgullo Y Prejuicio</v>
      </c>
      <c r="J137" t="str">
        <f>IFERROR(VLOOKUP(Prestamos[[#This Row],[ID Libro]],Inventario_Libros!A:C,3,0),"Libro No Existe")</f>
        <v>Jane Austen</v>
      </c>
      <c r="K137" t="str">
        <f>IFERROR(VLOOKUP(Prestamos[[#This Row],[ID Libro]],Inventario_Libros!A:D,4,0),"Libro No Existe")</f>
        <v>Novela</v>
      </c>
      <c r="L137">
        <f>IFERROR(VLOOKUP(Prestamos[[#This Row],[ID Libro]],Inventario_Libros!A:E,5,0),"Libro No Existe")</f>
        <v>2009</v>
      </c>
      <c r="M137" t="str">
        <f>_xlfn.XLOOKUP(D:D,Inventario_Libros!A:A,Inventario_Libros!G:G,"No Existe",0)</f>
        <v>Est-1</v>
      </c>
      <c r="N137" t="str">
        <f>IFERROR(VLOOKUP(Prestamos[[#This Row],[ID Libro]],Inventario_Libros!A:H,8,0),"Libro No Existe")</f>
        <v>Retirado</v>
      </c>
    </row>
    <row r="138" spans="1:14" x14ac:dyDescent="0.3">
      <c r="A138" s="5" t="s">
        <v>665</v>
      </c>
      <c r="B138" s="1">
        <v>45712</v>
      </c>
      <c r="C138" s="1">
        <v>45732</v>
      </c>
      <c r="D138" s="4" t="s">
        <v>424</v>
      </c>
      <c r="E138" s="2" t="s">
        <v>266</v>
      </c>
      <c r="F138" s="2" t="s">
        <v>263</v>
      </c>
      <c r="G138" s="2" t="s">
        <v>279</v>
      </c>
      <c r="H138" s="3" t="s">
        <v>289</v>
      </c>
      <c r="I138" t="str">
        <f>IFERROR(VLOOKUP(Prestamos[[#This Row],[ID Libro]],Inventario_Libros!A:B,2,0),"Libro No Existe")</f>
        <v>La Iliada</v>
      </c>
      <c r="J138" t="str">
        <f>IFERROR(VLOOKUP(Prestamos[[#This Row],[ID Libro]],Inventario_Libros!A:C,3,0),"Libro No Existe")</f>
        <v>Homero</v>
      </c>
      <c r="K138" t="str">
        <f>IFERROR(VLOOKUP(Prestamos[[#This Row],[ID Libro]],Inventario_Libros!A:D,4,0),"Libro No Existe")</f>
        <v>Clásicos</v>
      </c>
      <c r="L138">
        <f>IFERROR(VLOOKUP(Prestamos[[#This Row],[ID Libro]],Inventario_Libros!A:E,5,0),"Libro No Existe")</f>
        <v>1947</v>
      </c>
      <c r="M138" t="str">
        <f>_xlfn.XLOOKUP(D:D,Inventario_Libros!A:A,Inventario_Libros!G:G,"No Existe",0)</f>
        <v>A-1</v>
      </c>
      <c r="N138" t="str">
        <f>IFERROR(VLOOKUP(Prestamos[[#This Row],[ID Libro]],Inventario_Libros!A:H,8,0),"Libro No Existe")</f>
        <v>Activo</v>
      </c>
    </row>
    <row r="139" spans="1:14" x14ac:dyDescent="0.3">
      <c r="A139" s="5" t="s">
        <v>666</v>
      </c>
      <c r="B139" s="1">
        <v>45782</v>
      </c>
      <c r="C139" s="1">
        <v>45798</v>
      </c>
      <c r="D139" s="4" t="s">
        <v>425</v>
      </c>
      <c r="E139" s="2" t="s">
        <v>267</v>
      </c>
      <c r="F139" s="2" t="s">
        <v>258</v>
      </c>
      <c r="G139" s="2" t="s">
        <v>257</v>
      </c>
      <c r="H139" s="3">
        <v>1</v>
      </c>
      <c r="I139" t="str">
        <f>IFERROR(VLOOKUP(Prestamos[[#This Row],[ID Libro]],Inventario_Libros!A:B,2,0),"Libro No Existe")</f>
        <v>La Odisea</v>
      </c>
      <c r="J139" t="str">
        <f>IFERROR(VLOOKUP(Prestamos[[#This Row],[ID Libro]],Inventario_Libros!A:C,3,0),"Libro No Existe")</f>
        <v>Homero</v>
      </c>
      <c r="K139" t="str">
        <f>IFERROR(VLOOKUP(Prestamos[[#This Row],[ID Libro]],Inventario_Libros!A:D,4,0),"Libro No Existe")</f>
        <v>Clásicos</v>
      </c>
      <c r="L139">
        <f>IFERROR(VLOOKUP(Prestamos[[#This Row],[ID Libro]],Inventario_Libros!A:E,5,0),"Libro No Existe")</f>
        <v>1978</v>
      </c>
      <c r="M139" t="str">
        <f>_xlfn.XLOOKUP(D:D,Inventario_Libros!A:A,Inventario_Libros!G:G,"No Existe",0)</f>
        <v>A-1</v>
      </c>
      <c r="N139" t="str">
        <f>IFERROR(VLOOKUP(Prestamos[[#This Row],[ID Libro]],Inventario_Libros!A:H,8,0),"Libro No Existe")</f>
        <v>Retirado</v>
      </c>
    </row>
    <row r="140" spans="1:14" x14ac:dyDescent="0.3">
      <c r="A140" s="5" t="s">
        <v>667</v>
      </c>
      <c r="B140" s="1">
        <v>45976</v>
      </c>
      <c r="C140" s="1">
        <v>45968</v>
      </c>
      <c r="D140" s="4" t="s">
        <v>351</v>
      </c>
      <c r="E140" s="2" t="s">
        <v>266</v>
      </c>
      <c r="F140" s="2" t="s">
        <v>255</v>
      </c>
      <c r="G140" s="2" t="s">
        <v>253</v>
      </c>
      <c r="H140" s="3">
        <v>0</v>
      </c>
      <c r="I140" t="str">
        <f>IFERROR(VLOOKUP(Prestamos[[#This Row],[ID Libro]],Inventario_Libros!A:B,2,0),"Libro No Existe")</f>
        <v>Breve Historia Del Tiempo</v>
      </c>
      <c r="J140" t="str">
        <f>IFERROR(VLOOKUP(Prestamos[[#This Row],[ID Libro]],Inventario_Libros!A:C,3,0),"Libro No Existe")</f>
        <v>Stephen Hawking</v>
      </c>
      <c r="K140" t="str">
        <f>IFERROR(VLOOKUP(Prestamos[[#This Row],[ID Libro]],Inventario_Libros!A:D,4,0),"Libro No Existe")</f>
        <v>Divulgación Científica / Cosmología</v>
      </c>
      <c r="L140">
        <f>IFERROR(VLOOKUP(Prestamos[[#This Row],[ID Libro]],Inventario_Libros!A:E,5,0),"Libro No Existe")</f>
        <v>1945</v>
      </c>
      <c r="M140" t="str">
        <f>_xlfn.XLOOKUP(D:D,Inventario_Libros!A:A,Inventario_Libros!G:G,"No Existe",0)</f>
        <v>C-3</v>
      </c>
      <c r="N140" t="str">
        <f>IFERROR(VLOOKUP(Prestamos[[#This Row],[ID Libro]],Inventario_Libros!A:H,8,0),"Libro No Existe")</f>
        <v>Retirado</v>
      </c>
    </row>
    <row r="141" spans="1:14" x14ac:dyDescent="0.3">
      <c r="A141" s="5" t="s">
        <v>668</v>
      </c>
      <c r="B141" s="1">
        <v>45878</v>
      </c>
      <c r="C141" s="1">
        <v>45898</v>
      </c>
      <c r="D141" s="4" t="s">
        <v>413</v>
      </c>
      <c r="E141" s="2" t="s">
        <v>282</v>
      </c>
      <c r="F141" s="2" t="s">
        <v>258</v>
      </c>
      <c r="G141" s="2" t="s">
        <v>257</v>
      </c>
      <c r="H141" s="3">
        <v>5</v>
      </c>
      <c r="I141" t="str">
        <f>IFERROR(VLOOKUP(Prestamos[[#This Row],[ID Libro]],Inventario_Libros!A:B,2,0),"Libro No Existe")</f>
        <v>Ficciones</v>
      </c>
      <c r="J141" t="str">
        <f>IFERROR(VLOOKUP(Prestamos[[#This Row],[ID Libro]],Inventario_Libros!A:C,3,0),"Libro No Existe")</f>
        <v>Jorge Luis Borges</v>
      </c>
      <c r="K141" t="str">
        <f>IFERROR(VLOOKUP(Prestamos[[#This Row],[ID Libro]],Inventario_Libros!A:D,4,0),"Libro No Existe")</f>
        <v>Cuentos / Fantasía Metafísica</v>
      </c>
      <c r="L141">
        <f>IFERROR(VLOOKUP(Prestamos[[#This Row],[ID Libro]],Inventario_Libros!A:E,5,0),"Libro No Existe")</f>
        <v>1953</v>
      </c>
      <c r="M141" t="str">
        <f>_xlfn.XLOOKUP(D:D,Inventario_Libros!A:A,Inventario_Libros!G:G,"No Existe",0)</f>
        <v>A-1</v>
      </c>
      <c r="N141" t="str">
        <f>IFERROR(VLOOKUP(Prestamos[[#This Row],[ID Libro]],Inventario_Libros!A:H,8,0),"Libro No Existe")</f>
        <v>Activo</v>
      </c>
    </row>
    <row r="142" spans="1:14" x14ac:dyDescent="0.3">
      <c r="A142" s="5" t="s">
        <v>669</v>
      </c>
      <c r="B142" s="1">
        <v>45726</v>
      </c>
      <c r="C142" s="1">
        <v>45718</v>
      </c>
      <c r="D142" s="4" t="s">
        <v>426</v>
      </c>
      <c r="E142" s="2" t="s">
        <v>262</v>
      </c>
      <c r="F142" s="2" t="s">
        <v>255</v>
      </c>
      <c r="G142" s="2" t="s">
        <v>253</v>
      </c>
      <c r="H142" s="3" t="s">
        <v>280</v>
      </c>
      <c r="I142" t="str">
        <f>IFERROR(VLOOKUP(Prestamos[[#This Row],[ID Libro]],Inventario_Libros!A:B,2,0),"Libro No Existe")</f>
        <v>Libro No Existe</v>
      </c>
      <c r="J142" t="str">
        <f>IFERROR(VLOOKUP(Prestamos[[#This Row],[ID Libro]],Inventario_Libros!A:C,3,0),"Libro No Existe")</f>
        <v>Libro No Existe</v>
      </c>
      <c r="K142" t="str">
        <f>IFERROR(VLOOKUP(Prestamos[[#This Row],[ID Libro]],Inventario_Libros!A:D,4,0),"Libro No Existe")</f>
        <v>Libro No Existe</v>
      </c>
      <c r="L142" t="str">
        <f>IFERROR(VLOOKUP(Prestamos[[#This Row],[ID Libro]],Inventario_Libros!A:E,5,0),"Libro No Existe")</f>
        <v>Libro No Existe</v>
      </c>
      <c r="M142" t="str">
        <f>_xlfn.XLOOKUP(D:D,Inventario_Libros!A:A,Inventario_Libros!G:G,"No Existe",0)</f>
        <v>No Existe</v>
      </c>
      <c r="N142" t="str">
        <f>IFERROR(VLOOKUP(Prestamos[[#This Row],[ID Libro]],Inventario_Libros!A:H,8,0),"Libro No Existe")</f>
        <v>Libro No Existe</v>
      </c>
    </row>
    <row r="143" spans="1:14" x14ac:dyDescent="0.3">
      <c r="A143" s="5" t="s">
        <v>670</v>
      </c>
      <c r="B143" s="1">
        <v>45744</v>
      </c>
      <c r="C143" s="1">
        <v>45736</v>
      </c>
      <c r="D143" s="4" t="s">
        <v>427</v>
      </c>
      <c r="E143" s="2" t="s">
        <v>273</v>
      </c>
      <c r="F143" s="2" t="s">
        <v>263</v>
      </c>
      <c r="G143" s="2" t="s">
        <v>253</v>
      </c>
      <c r="H143" s="3">
        <v>0</v>
      </c>
      <c r="I143" t="str">
        <f>IFERROR(VLOOKUP(Prestamos[[#This Row],[ID Libro]],Inventario_Libros!A:B,2,0),"Libro No Existe")</f>
        <v>La Odisea</v>
      </c>
      <c r="J143" t="str">
        <f>IFERROR(VLOOKUP(Prestamos[[#This Row],[ID Libro]],Inventario_Libros!A:C,3,0),"Libro No Existe")</f>
        <v>Homero</v>
      </c>
      <c r="K143" t="str">
        <f>IFERROR(VLOOKUP(Prestamos[[#This Row],[ID Libro]],Inventario_Libros!A:D,4,0),"Libro No Existe")</f>
        <v>Clásicos</v>
      </c>
      <c r="L143">
        <f>IFERROR(VLOOKUP(Prestamos[[#This Row],[ID Libro]],Inventario_Libros!A:E,5,0),"Libro No Existe")</f>
        <v>1893</v>
      </c>
      <c r="M143" t="str">
        <f>_xlfn.XLOOKUP(D:D,Inventario_Libros!A:A,Inventario_Libros!G:G,"No Existe",0)</f>
        <v>Est-1</v>
      </c>
      <c r="N143" t="str">
        <f>IFERROR(VLOOKUP(Prestamos[[#This Row],[ID Libro]],Inventario_Libros!A:H,8,0),"Libro No Existe")</f>
        <v>Activo</v>
      </c>
    </row>
    <row r="144" spans="1:14" x14ac:dyDescent="0.3">
      <c r="A144" s="5" t="s">
        <v>671</v>
      </c>
      <c r="B144" s="1">
        <v>45738</v>
      </c>
      <c r="C144" s="1">
        <v>45758</v>
      </c>
      <c r="D144" s="4" t="s">
        <v>405</v>
      </c>
      <c r="E144" s="2" t="s">
        <v>267</v>
      </c>
      <c r="F144" s="2" t="s">
        <v>263</v>
      </c>
      <c r="G144" s="2" t="s">
        <v>257</v>
      </c>
      <c r="H144" s="3">
        <v>5</v>
      </c>
      <c r="I144" t="str">
        <f>IFERROR(VLOOKUP(Prestamos[[#This Row],[ID Libro]],Inventario_Libros!A:B,2,0),"Libro No Existe")</f>
        <v>El Aleph</v>
      </c>
      <c r="J144" t="str">
        <f>IFERROR(VLOOKUP(Prestamos[[#This Row],[ID Libro]],Inventario_Libros!A:C,3,0),"Libro No Existe")</f>
        <v>Jorge Luis Borges</v>
      </c>
      <c r="K144" t="str">
        <f>IFERROR(VLOOKUP(Prestamos[[#This Row],[ID Libro]],Inventario_Libros!A:D,4,0),"Libro No Existe")</f>
        <v>Cuentos / Fantasía Metafísica</v>
      </c>
      <c r="L144">
        <f>IFERROR(VLOOKUP(Prestamos[[#This Row],[ID Libro]],Inventario_Libros!A:E,5,0),"Libro No Existe")</f>
        <v>1994</v>
      </c>
      <c r="M144" t="str">
        <f>_xlfn.XLOOKUP(D:D,Inventario_Libros!A:A,Inventario_Libros!G:G,"No Existe",0)</f>
        <v>Est-1</v>
      </c>
      <c r="N144" t="str">
        <f>IFERROR(VLOOKUP(Prestamos[[#This Row],[ID Libro]],Inventario_Libros!A:H,8,0),"Libro No Existe")</f>
        <v>Retirado</v>
      </c>
    </row>
    <row r="145" spans="1:14" x14ac:dyDescent="0.3">
      <c r="A145" s="5" t="s">
        <v>672</v>
      </c>
      <c r="B145" s="1">
        <v>45755</v>
      </c>
      <c r="C145" s="1">
        <v>45748</v>
      </c>
      <c r="D145" s="4" t="s">
        <v>428</v>
      </c>
      <c r="E145" s="2" t="s">
        <v>256</v>
      </c>
      <c r="F145" s="2" t="s">
        <v>255</v>
      </c>
      <c r="G145" s="2" t="s">
        <v>279</v>
      </c>
      <c r="H145" s="3" t="s">
        <v>289</v>
      </c>
      <c r="I145" t="str">
        <f>IFERROR(VLOOKUP(Prestamos[[#This Row],[ID Libro]],Inventario_Libros!A:B,2,0),"Libro No Existe")</f>
        <v>Libro No Existe</v>
      </c>
      <c r="J145" t="str">
        <f>IFERROR(VLOOKUP(Prestamos[[#This Row],[ID Libro]],Inventario_Libros!A:C,3,0),"Libro No Existe")</f>
        <v>Libro No Existe</v>
      </c>
      <c r="K145" t="str">
        <f>IFERROR(VLOOKUP(Prestamos[[#This Row],[ID Libro]],Inventario_Libros!A:D,4,0),"Libro No Existe")</f>
        <v>Libro No Existe</v>
      </c>
      <c r="L145" t="str">
        <f>IFERROR(VLOOKUP(Prestamos[[#This Row],[ID Libro]],Inventario_Libros!A:E,5,0),"Libro No Existe")</f>
        <v>Libro No Existe</v>
      </c>
      <c r="M145" t="str">
        <f>_xlfn.XLOOKUP(D:D,Inventario_Libros!A:A,Inventario_Libros!G:G,"No Existe",0)</f>
        <v>No Existe</v>
      </c>
      <c r="N145" t="str">
        <f>IFERROR(VLOOKUP(Prestamos[[#This Row],[ID Libro]],Inventario_Libros!A:H,8,0),"Libro No Existe")</f>
        <v>Libro No Existe</v>
      </c>
    </row>
    <row r="146" spans="1:14" x14ac:dyDescent="0.3">
      <c r="A146" s="5" t="s">
        <v>673</v>
      </c>
      <c r="B146" s="1">
        <v>45660</v>
      </c>
      <c r="C146" s="1">
        <v>45653</v>
      </c>
      <c r="D146" s="4" t="s">
        <v>387</v>
      </c>
      <c r="E146" s="2" t="s">
        <v>274</v>
      </c>
      <c r="F146" s="2" t="s">
        <v>258</v>
      </c>
      <c r="G146" s="2" t="s">
        <v>279</v>
      </c>
      <c r="H146" s="3" t="s">
        <v>289</v>
      </c>
      <c r="I146" t="str">
        <f>IFERROR(VLOOKUP(Prestamos[[#This Row],[ID Libro]],Inventario_Libros!A:B,2,0),"Libro No Existe")</f>
        <v>El Amor En Los Tiempos Del Cólera</v>
      </c>
      <c r="J146" t="str">
        <f>IFERROR(VLOOKUP(Prestamos[[#This Row],[ID Libro]],Inventario_Libros!A:C,3,0),"Libro No Existe")</f>
        <v>Gabriel García Márquez</v>
      </c>
      <c r="K146" t="str">
        <f>IFERROR(VLOOKUP(Prestamos[[#This Row],[ID Libro]],Inventario_Libros!A:D,4,0),"Libro No Existe")</f>
        <v>Novela</v>
      </c>
      <c r="L146">
        <f>IFERROR(VLOOKUP(Prestamos[[#This Row],[ID Libro]],Inventario_Libros!A:E,5,0),"Libro No Existe")</f>
        <v>2022</v>
      </c>
      <c r="M146" t="str">
        <f>_xlfn.XLOOKUP(D:D,Inventario_Libros!A:A,Inventario_Libros!G:G,"No Existe",0)</f>
        <v>A-1</v>
      </c>
      <c r="N146" t="str">
        <f>IFERROR(VLOOKUP(Prestamos[[#This Row],[ID Libro]],Inventario_Libros!A:H,8,0),"Libro No Existe")</f>
        <v>Activo</v>
      </c>
    </row>
    <row r="147" spans="1:14" x14ac:dyDescent="0.3">
      <c r="A147" s="5" t="s">
        <v>674</v>
      </c>
      <c r="B147" s="1">
        <v>45734</v>
      </c>
      <c r="C147" s="1">
        <v>45752</v>
      </c>
      <c r="D147" s="4" t="s">
        <v>429</v>
      </c>
      <c r="E147" s="2" t="s">
        <v>269</v>
      </c>
      <c r="F147" s="2" t="s">
        <v>255</v>
      </c>
      <c r="G147" s="2" t="s">
        <v>257</v>
      </c>
      <c r="H147" s="3">
        <v>3</v>
      </c>
      <c r="I147" t="str">
        <f>IFERROR(VLOOKUP(Prestamos[[#This Row],[ID Libro]],Inventario_Libros!A:B,2,0),"Libro No Existe")</f>
        <v>Pedro Páramo</v>
      </c>
      <c r="J147" t="str">
        <f>IFERROR(VLOOKUP(Prestamos[[#This Row],[ID Libro]],Inventario_Libros!A:C,3,0),"Libro No Existe")</f>
        <v>Juan Rulfo</v>
      </c>
      <c r="K147" t="str">
        <f>IFERROR(VLOOKUP(Prestamos[[#This Row],[ID Libro]],Inventario_Libros!A:D,4,0),"Libro No Existe")</f>
        <v>Novela</v>
      </c>
      <c r="L147">
        <f>IFERROR(VLOOKUP(Prestamos[[#This Row],[ID Libro]],Inventario_Libros!A:E,5,0),"Libro No Existe")</f>
        <v>1924</v>
      </c>
      <c r="M147" t="str">
        <f>_xlfn.XLOOKUP(D:D,Inventario_Libros!A:A,Inventario_Libros!G:G,"No Existe",0)</f>
        <v>Est-1</v>
      </c>
      <c r="N147" t="str">
        <f>IFERROR(VLOOKUP(Prestamos[[#This Row],[ID Libro]],Inventario_Libros!A:H,8,0),"Libro No Existe")</f>
        <v>Retirado</v>
      </c>
    </row>
    <row r="148" spans="1:14" x14ac:dyDescent="0.3">
      <c r="A148" s="5" t="s">
        <v>675</v>
      </c>
      <c r="B148" s="1">
        <v>45876</v>
      </c>
      <c r="C148" s="1">
        <v>45869</v>
      </c>
      <c r="D148" s="4" t="s">
        <v>345</v>
      </c>
      <c r="E148" s="2" t="s">
        <v>259</v>
      </c>
      <c r="F148" s="2" t="s">
        <v>275</v>
      </c>
      <c r="G148" s="2" t="s">
        <v>253</v>
      </c>
      <c r="H148" s="3" t="s">
        <v>280</v>
      </c>
      <c r="I148" t="str">
        <f>IFERROR(VLOOKUP(Prestamos[[#This Row],[ID Libro]],Inventario_Libros!A:B,2,0),"Libro No Existe")</f>
        <v>La Iliada</v>
      </c>
      <c r="J148" t="str">
        <f>IFERROR(VLOOKUP(Prestamos[[#This Row],[ID Libro]],Inventario_Libros!A:C,3,0),"Libro No Existe")</f>
        <v>Homero</v>
      </c>
      <c r="K148" t="str">
        <f>IFERROR(VLOOKUP(Prestamos[[#This Row],[ID Libro]],Inventario_Libros!A:D,4,0),"Libro No Existe")</f>
        <v>Clásicos</v>
      </c>
      <c r="L148">
        <f>IFERROR(VLOOKUP(Prestamos[[#This Row],[ID Libro]],Inventario_Libros!A:E,5,0),"Libro No Existe")</f>
        <v>1940</v>
      </c>
      <c r="M148" t="str">
        <f>_xlfn.XLOOKUP(D:D,Inventario_Libros!A:A,Inventario_Libros!G:G,"No Existe",0)</f>
        <v>B-2</v>
      </c>
      <c r="N148" t="str">
        <f>IFERROR(VLOOKUP(Prestamos[[#This Row],[ID Libro]],Inventario_Libros!A:H,8,0),"Libro No Existe")</f>
        <v>Retirado</v>
      </c>
    </row>
    <row r="149" spans="1:14" x14ac:dyDescent="0.3">
      <c r="A149" s="5" t="s">
        <v>676</v>
      </c>
      <c r="B149" s="1">
        <v>45734</v>
      </c>
      <c r="C149" s="1">
        <v>45754</v>
      </c>
      <c r="D149" s="4" t="s">
        <v>326</v>
      </c>
      <c r="E149" s="2" t="s">
        <v>262</v>
      </c>
      <c r="F149" s="2" t="s">
        <v>275</v>
      </c>
      <c r="G149" s="2" t="s">
        <v>257</v>
      </c>
      <c r="H149" s="3">
        <v>5</v>
      </c>
      <c r="I149" t="str">
        <f>IFERROR(VLOOKUP(Prestamos[[#This Row],[ID Libro]],Inventario_Libros!A:B,2,0),"Libro No Existe")</f>
        <v>Orgullo Y Prejuicio</v>
      </c>
      <c r="J149" t="str">
        <f>IFERROR(VLOOKUP(Prestamos[[#This Row],[ID Libro]],Inventario_Libros!A:C,3,0),"Libro No Existe")</f>
        <v>Jane Austen</v>
      </c>
      <c r="K149" t="str">
        <f>IFERROR(VLOOKUP(Prestamos[[#This Row],[ID Libro]],Inventario_Libros!A:D,4,0),"Libro No Existe")</f>
        <v>Novela</v>
      </c>
      <c r="L149">
        <f>IFERROR(VLOOKUP(Prestamos[[#This Row],[ID Libro]],Inventario_Libros!A:E,5,0),"Libro No Existe")</f>
        <v>2013</v>
      </c>
      <c r="M149" t="str">
        <f>_xlfn.XLOOKUP(D:D,Inventario_Libros!A:A,Inventario_Libros!G:G,"No Existe",0)</f>
        <v>Est-1</v>
      </c>
      <c r="N149" t="str">
        <f>IFERROR(VLOOKUP(Prestamos[[#This Row],[ID Libro]],Inventario_Libros!A:H,8,0),"Libro No Existe")</f>
        <v>Activo</v>
      </c>
    </row>
    <row r="150" spans="1:14" x14ac:dyDescent="0.3">
      <c r="A150" s="5" t="s">
        <v>677</v>
      </c>
      <c r="B150" s="1">
        <v>45695</v>
      </c>
      <c r="C150" s="1">
        <v>45711</v>
      </c>
      <c r="D150" s="4" t="s">
        <v>430</v>
      </c>
      <c r="E150" s="2" t="s">
        <v>273</v>
      </c>
      <c r="F150" s="2" t="s">
        <v>258</v>
      </c>
      <c r="G150" s="2" t="s">
        <v>257</v>
      </c>
      <c r="H150" s="3">
        <v>1</v>
      </c>
      <c r="I150" t="str">
        <f>IFERROR(VLOOKUP(Prestamos[[#This Row],[ID Libro]],Inventario_Libros!A:B,2,0),"Libro No Existe")</f>
        <v>La Ciudad Y Los Perros</v>
      </c>
      <c r="J150" t="str">
        <f>IFERROR(VLOOKUP(Prestamos[[#This Row],[ID Libro]],Inventario_Libros!A:C,3,0),"Libro No Existe")</f>
        <v>Mario Vargas Llosa</v>
      </c>
      <c r="K150" t="str">
        <f>IFERROR(VLOOKUP(Prestamos[[#This Row],[ID Libro]],Inventario_Libros!A:D,4,0),"Libro No Existe")</f>
        <v>Novela</v>
      </c>
      <c r="L150">
        <f>IFERROR(VLOOKUP(Prestamos[[#This Row],[ID Libro]],Inventario_Libros!A:E,5,0),"Libro No Existe")</f>
        <v>1947</v>
      </c>
      <c r="M150" t="str">
        <f>_xlfn.XLOOKUP(D:D,Inventario_Libros!A:A,Inventario_Libros!G:G,"No Existe",0)</f>
        <v>Est-1</v>
      </c>
      <c r="N150" t="str">
        <f>IFERROR(VLOOKUP(Prestamos[[#This Row],[ID Libro]],Inventario_Libros!A:H,8,0),"Libro No Existe")</f>
        <v>Activo</v>
      </c>
    </row>
    <row r="151" spans="1:14" x14ac:dyDescent="0.3">
      <c r="A151" s="5" t="s">
        <v>678</v>
      </c>
      <c r="B151" s="1">
        <v>45985</v>
      </c>
      <c r="C151" s="1">
        <v>46005</v>
      </c>
      <c r="D151" s="4" t="s">
        <v>431</v>
      </c>
      <c r="E151" s="2" t="s">
        <v>261</v>
      </c>
      <c r="F151" s="2" t="s">
        <v>275</v>
      </c>
      <c r="G151" s="2" t="s">
        <v>257</v>
      </c>
      <c r="H151" s="3">
        <v>5</v>
      </c>
      <c r="I151" t="str">
        <f>IFERROR(VLOOKUP(Prestamos[[#This Row],[ID Libro]],Inventario_Libros!A:B,2,0),"Libro No Existe")</f>
        <v>Los Detectives Salvajes</v>
      </c>
      <c r="J151" t="str">
        <f>IFERROR(VLOOKUP(Prestamos[[#This Row],[ID Libro]],Inventario_Libros!A:C,3,0),"Libro No Existe")</f>
        <v>Roberto Bolaño</v>
      </c>
      <c r="K151" t="str">
        <f>IFERROR(VLOOKUP(Prestamos[[#This Row],[ID Libro]],Inventario_Libros!A:D,4,0),"Libro No Existe")</f>
        <v>Novela</v>
      </c>
      <c r="L151">
        <f>IFERROR(VLOOKUP(Prestamos[[#This Row],[ID Libro]],Inventario_Libros!A:E,5,0),"Libro No Existe")</f>
        <v>1956</v>
      </c>
      <c r="M151" t="str">
        <f>_xlfn.XLOOKUP(D:D,Inventario_Libros!A:A,Inventario_Libros!G:G,"No Existe",0)</f>
        <v>B-2</v>
      </c>
      <c r="N151" t="str">
        <f>IFERROR(VLOOKUP(Prestamos[[#This Row],[ID Libro]],Inventario_Libros!A:H,8,0),"Libro No Existe")</f>
        <v>Activo</v>
      </c>
    </row>
    <row r="152" spans="1:14" x14ac:dyDescent="0.3">
      <c r="A152" s="5" t="s">
        <v>679</v>
      </c>
      <c r="B152" s="1">
        <v>45970</v>
      </c>
      <c r="C152" s="1">
        <v>45990</v>
      </c>
      <c r="D152" s="4" t="s">
        <v>324</v>
      </c>
      <c r="E152" s="2" t="s">
        <v>262</v>
      </c>
      <c r="F152" s="2" t="s">
        <v>263</v>
      </c>
      <c r="G152" s="2" t="s">
        <v>257</v>
      </c>
      <c r="H152" s="3">
        <v>5</v>
      </c>
      <c r="I152" t="str">
        <f>IFERROR(VLOOKUP(Prestamos[[#This Row],[ID Libro]],Inventario_Libros!A:B,2,0),"Libro No Existe")</f>
        <v>Ficciones</v>
      </c>
      <c r="J152" t="str">
        <f>IFERROR(VLOOKUP(Prestamos[[#This Row],[ID Libro]],Inventario_Libros!A:C,3,0),"Libro No Existe")</f>
        <v>Jorge Luis Borges</v>
      </c>
      <c r="K152" t="str">
        <f>IFERROR(VLOOKUP(Prestamos[[#This Row],[ID Libro]],Inventario_Libros!A:D,4,0),"Libro No Existe")</f>
        <v>Cuentos / Fantasía Metafísica</v>
      </c>
      <c r="L152">
        <f>IFERROR(VLOOKUP(Prestamos[[#This Row],[ID Libro]],Inventario_Libros!A:E,5,0),"Libro No Existe")</f>
        <v>1938</v>
      </c>
      <c r="M152" t="str">
        <f>_xlfn.XLOOKUP(D:D,Inventario_Libros!A:A,Inventario_Libros!G:G,"No Existe",0)</f>
        <v>A-1</v>
      </c>
      <c r="N152" t="str">
        <f>IFERROR(VLOOKUP(Prestamos[[#This Row],[ID Libro]],Inventario_Libros!A:H,8,0),"Libro No Existe")</f>
        <v>Retirado</v>
      </c>
    </row>
    <row r="153" spans="1:14" x14ac:dyDescent="0.3">
      <c r="A153" s="5" t="s">
        <v>680</v>
      </c>
      <c r="B153" s="1">
        <v>45951</v>
      </c>
      <c r="C153" s="1">
        <v>45945</v>
      </c>
      <c r="D153" s="4" t="s">
        <v>432</v>
      </c>
      <c r="E153" s="2" t="s">
        <v>262</v>
      </c>
      <c r="F153" s="2" t="s">
        <v>258</v>
      </c>
      <c r="G153" s="2" t="s">
        <v>253</v>
      </c>
      <c r="H153" s="3" t="s">
        <v>280</v>
      </c>
      <c r="I153" t="str">
        <f>IFERROR(VLOOKUP(Prestamos[[#This Row],[ID Libro]],Inventario_Libros!A:B,2,0),"Libro No Existe")</f>
        <v>La Casa De Los Espíritus</v>
      </c>
      <c r="J153" t="str">
        <f>IFERROR(VLOOKUP(Prestamos[[#This Row],[ID Libro]],Inventario_Libros!A:C,3,0),"Libro No Existe")</f>
        <v>Isabel Allende</v>
      </c>
      <c r="K153" t="str">
        <f>IFERROR(VLOOKUP(Prestamos[[#This Row],[ID Libro]],Inventario_Libros!A:D,4,0),"Libro No Existe")</f>
        <v>Novela</v>
      </c>
      <c r="L153">
        <f>IFERROR(VLOOKUP(Prestamos[[#This Row],[ID Libro]],Inventario_Libros!A:E,5,0),"Libro No Existe")</f>
        <v>1894</v>
      </c>
      <c r="M153" t="str">
        <f>_xlfn.XLOOKUP(D:D,Inventario_Libros!A:A,Inventario_Libros!G:G,"No Existe",0)</f>
        <v>A-1</v>
      </c>
      <c r="N153" t="str">
        <f>IFERROR(VLOOKUP(Prestamos[[#This Row],[ID Libro]],Inventario_Libros!A:H,8,0),"Libro No Existe")</f>
        <v>Retirado</v>
      </c>
    </row>
    <row r="154" spans="1:14" x14ac:dyDescent="0.3">
      <c r="A154" s="5" t="s">
        <v>681</v>
      </c>
      <c r="B154" s="1">
        <v>45739</v>
      </c>
      <c r="C154" s="1">
        <v>45733</v>
      </c>
      <c r="D154" s="4" t="s">
        <v>323</v>
      </c>
      <c r="E154" s="2" t="s">
        <v>254</v>
      </c>
      <c r="F154" s="2" t="s">
        <v>255</v>
      </c>
      <c r="G154" s="2" t="s">
        <v>253</v>
      </c>
      <c r="H154" s="3">
        <v>0</v>
      </c>
      <c r="I154" t="str">
        <f>IFERROR(VLOOKUP(Prestamos[[#This Row],[ID Libro]],Inventario_Libros!A:B,2,0),"Libro No Existe")</f>
        <v>La Tregua</v>
      </c>
      <c r="J154" t="str">
        <f>IFERROR(VLOOKUP(Prestamos[[#This Row],[ID Libro]],Inventario_Libros!A:C,3,0),"Libro No Existe")</f>
        <v>Mario Benedetti</v>
      </c>
      <c r="K154" t="str">
        <f>IFERROR(VLOOKUP(Prestamos[[#This Row],[ID Libro]],Inventario_Libros!A:D,4,0),"Libro No Existe")</f>
        <v>Novela</v>
      </c>
      <c r="L154">
        <f>IFERROR(VLOOKUP(Prestamos[[#This Row],[ID Libro]],Inventario_Libros!A:E,5,0),"Libro No Existe")</f>
        <v>2004</v>
      </c>
      <c r="M154" t="str">
        <f>_xlfn.XLOOKUP(D:D,Inventario_Libros!A:A,Inventario_Libros!G:G,"No Existe",0)</f>
        <v>Est-1</v>
      </c>
      <c r="N154" t="str">
        <f>IFERROR(VLOOKUP(Prestamos[[#This Row],[ID Libro]],Inventario_Libros!A:H,8,0),"Libro No Existe")</f>
        <v>Retirado</v>
      </c>
    </row>
    <row r="155" spans="1:14" x14ac:dyDescent="0.3">
      <c r="A155" s="5" t="s">
        <v>682</v>
      </c>
      <c r="B155" s="1">
        <v>45810</v>
      </c>
      <c r="C155" s="1">
        <v>45804</v>
      </c>
      <c r="D155" s="4" t="s">
        <v>400</v>
      </c>
      <c r="E155" s="2" t="s">
        <v>256</v>
      </c>
      <c r="F155" s="2" t="s">
        <v>275</v>
      </c>
      <c r="G155" s="2" t="s">
        <v>253</v>
      </c>
      <c r="H155" s="3">
        <v>0</v>
      </c>
      <c r="I155" t="str">
        <f>IFERROR(VLOOKUP(Prestamos[[#This Row],[ID Libro]],Inventario_Libros!A:B,2,0),"Libro No Existe")</f>
        <v>El Principito</v>
      </c>
      <c r="J155" t="str">
        <f>IFERROR(VLOOKUP(Prestamos[[#This Row],[ID Libro]],Inventario_Libros!A:C,3,0),"Libro No Existe")</f>
        <v>Antoine De Saint-Exupéry</v>
      </c>
      <c r="K155" t="str">
        <f>IFERROR(VLOOKUP(Prestamos[[#This Row],[ID Libro]],Inventario_Libros!A:D,4,0),"Libro No Existe")</f>
        <v>Literatura Infantil / Fábula Filosófica</v>
      </c>
      <c r="L155">
        <f>IFERROR(VLOOKUP(Prestamos[[#This Row],[ID Libro]],Inventario_Libros!A:E,5,0),"Libro No Existe")</f>
        <v>2000</v>
      </c>
      <c r="M155" t="str">
        <f>_xlfn.XLOOKUP(D:D,Inventario_Libros!A:A,Inventario_Libros!G:G,"No Existe",0)</f>
        <v>A-1</v>
      </c>
      <c r="N155" t="str">
        <f>IFERROR(VLOOKUP(Prestamos[[#This Row],[ID Libro]],Inventario_Libros!A:H,8,0),"Libro No Existe")</f>
        <v>Retirado</v>
      </c>
    </row>
    <row r="156" spans="1:14" x14ac:dyDescent="0.3">
      <c r="A156" s="5" t="s">
        <v>683</v>
      </c>
      <c r="B156" s="1">
        <v>45982</v>
      </c>
      <c r="C156" s="1">
        <v>46006</v>
      </c>
      <c r="D156" s="4" t="s">
        <v>433</v>
      </c>
      <c r="E156" s="2" t="s">
        <v>278</v>
      </c>
      <c r="F156" s="2" t="s">
        <v>275</v>
      </c>
      <c r="G156" s="2" t="s">
        <v>279</v>
      </c>
      <c r="H156" s="3" t="s">
        <v>289</v>
      </c>
      <c r="I156" t="str">
        <f>IFERROR(VLOOKUP(Prestamos[[#This Row],[ID Libro]],Inventario_Libros!A:B,2,0),"Libro No Existe")</f>
        <v>Don Quijote De La Mancha</v>
      </c>
      <c r="J156" t="str">
        <f>IFERROR(VLOOKUP(Prestamos[[#This Row],[ID Libro]],Inventario_Libros!A:C,3,0),"Libro No Existe")</f>
        <v>Miguel De Cervantes</v>
      </c>
      <c r="K156" t="str">
        <f>IFERROR(VLOOKUP(Prestamos[[#This Row],[ID Libro]],Inventario_Libros!A:D,4,0),"Libro No Existe")</f>
        <v>Novela</v>
      </c>
      <c r="L156">
        <f>IFERROR(VLOOKUP(Prestamos[[#This Row],[ID Libro]],Inventario_Libros!A:E,5,0),"Libro No Existe")</f>
        <v>1889</v>
      </c>
      <c r="M156" t="str">
        <f>_xlfn.XLOOKUP(D:D,Inventario_Libros!A:A,Inventario_Libros!G:G,"No Existe",0)</f>
        <v>B-2</v>
      </c>
      <c r="N156" t="str">
        <f>IFERROR(VLOOKUP(Prestamos[[#This Row],[ID Libro]],Inventario_Libros!A:H,8,0),"Libro No Existe")</f>
        <v>Activo</v>
      </c>
    </row>
    <row r="157" spans="1:14" x14ac:dyDescent="0.3">
      <c r="A157" s="5" t="s">
        <v>684</v>
      </c>
      <c r="B157" s="1">
        <v>45948</v>
      </c>
      <c r="C157" s="1">
        <v>45942</v>
      </c>
      <c r="D157" s="4" t="s">
        <v>434</v>
      </c>
      <c r="E157" s="2" t="s">
        <v>278</v>
      </c>
      <c r="F157" s="2" t="s">
        <v>255</v>
      </c>
      <c r="G157" s="2" t="s">
        <v>279</v>
      </c>
      <c r="H157" s="3" t="s">
        <v>289</v>
      </c>
      <c r="I157" t="str">
        <f>IFERROR(VLOOKUP(Prestamos[[#This Row],[ID Libro]],Inventario_Libros!A:B,2,0),"Libro No Existe")</f>
        <v>Los Detectives Salvajes</v>
      </c>
      <c r="J157" t="str">
        <f>IFERROR(VLOOKUP(Prestamos[[#This Row],[ID Libro]],Inventario_Libros!A:C,3,0),"Libro No Existe")</f>
        <v>Roberto Bolaño</v>
      </c>
      <c r="K157" t="str">
        <f>IFERROR(VLOOKUP(Prestamos[[#This Row],[ID Libro]],Inventario_Libros!A:D,4,0),"Libro No Existe")</f>
        <v>Novela</v>
      </c>
      <c r="L157">
        <f>IFERROR(VLOOKUP(Prestamos[[#This Row],[ID Libro]],Inventario_Libros!A:E,5,0),"Libro No Existe")</f>
        <v>1926</v>
      </c>
      <c r="M157" t="str">
        <f>_xlfn.XLOOKUP(D:D,Inventario_Libros!A:A,Inventario_Libros!G:G,"No Existe",0)</f>
        <v>B-2</v>
      </c>
      <c r="N157" t="str">
        <f>IFERROR(VLOOKUP(Prestamos[[#This Row],[ID Libro]],Inventario_Libros!A:H,8,0),"Libro No Existe")</f>
        <v>Activo</v>
      </c>
    </row>
    <row r="158" spans="1:14" x14ac:dyDescent="0.3">
      <c r="A158" s="5" t="s">
        <v>685</v>
      </c>
      <c r="B158" s="1">
        <v>45818</v>
      </c>
      <c r="C158" s="1">
        <v>45838</v>
      </c>
      <c r="D158" s="4" t="s">
        <v>435</v>
      </c>
      <c r="E158" s="2" t="s">
        <v>267</v>
      </c>
      <c r="F158" s="2" t="s">
        <v>252</v>
      </c>
      <c r="G158" s="2" t="s">
        <v>257</v>
      </c>
      <c r="H158" s="3">
        <v>5</v>
      </c>
      <c r="I158" t="str">
        <f>IFERROR(VLOOKUP(Prestamos[[#This Row],[ID Libro]],Inventario_Libros!A:B,2,0),"Libro No Existe")</f>
        <v>El Túnel</v>
      </c>
      <c r="J158" t="str">
        <f>IFERROR(VLOOKUP(Prestamos[[#This Row],[ID Libro]],Inventario_Libros!A:C,3,0),"Libro No Existe")</f>
        <v>Ernesto Sabato</v>
      </c>
      <c r="K158" t="str">
        <f>IFERROR(VLOOKUP(Prestamos[[#This Row],[ID Libro]],Inventario_Libros!A:D,4,0),"Libro No Existe")</f>
        <v>Novela</v>
      </c>
      <c r="L158">
        <f>IFERROR(VLOOKUP(Prestamos[[#This Row],[ID Libro]],Inventario_Libros!A:E,5,0),"Libro No Existe")</f>
        <v>1972</v>
      </c>
      <c r="M158" t="str">
        <f>_xlfn.XLOOKUP(D:D,Inventario_Libros!A:A,Inventario_Libros!G:G,"No Existe",0)</f>
        <v>Est-1</v>
      </c>
      <c r="N158" t="str">
        <f>IFERROR(VLOOKUP(Prestamos[[#This Row],[ID Libro]],Inventario_Libros!A:H,8,0),"Libro No Existe")</f>
        <v>Retirado</v>
      </c>
    </row>
    <row r="159" spans="1:14" x14ac:dyDescent="0.3">
      <c r="A159" s="5" t="s">
        <v>686</v>
      </c>
      <c r="B159" s="1">
        <v>45751</v>
      </c>
      <c r="C159" s="1">
        <v>45746</v>
      </c>
      <c r="D159" s="4" t="s">
        <v>400</v>
      </c>
      <c r="E159" s="2" t="s">
        <v>262</v>
      </c>
      <c r="F159" s="2" t="s">
        <v>258</v>
      </c>
      <c r="G159" s="2" t="s">
        <v>253</v>
      </c>
      <c r="H159" s="3">
        <v>5</v>
      </c>
      <c r="I159" t="str">
        <f>IFERROR(VLOOKUP(Prestamos[[#This Row],[ID Libro]],Inventario_Libros!A:B,2,0),"Libro No Existe")</f>
        <v>El Principito</v>
      </c>
      <c r="J159" t="str">
        <f>IFERROR(VLOOKUP(Prestamos[[#This Row],[ID Libro]],Inventario_Libros!A:C,3,0),"Libro No Existe")</f>
        <v>Antoine De Saint-Exupéry</v>
      </c>
      <c r="K159" t="str">
        <f>IFERROR(VLOOKUP(Prestamos[[#This Row],[ID Libro]],Inventario_Libros!A:D,4,0),"Libro No Existe")</f>
        <v>Literatura Infantil / Fábula Filosófica</v>
      </c>
      <c r="L159">
        <f>IFERROR(VLOOKUP(Prestamos[[#This Row],[ID Libro]],Inventario_Libros!A:E,5,0),"Libro No Existe")</f>
        <v>2000</v>
      </c>
      <c r="M159" t="str">
        <f>_xlfn.XLOOKUP(D:D,Inventario_Libros!A:A,Inventario_Libros!G:G,"No Existe",0)</f>
        <v>A-1</v>
      </c>
      <c r="N159" t="str">
        <f>IFERROR(VLOOKUP(Prestamos[[#This Row],[ID Libro]],Inventario_Libros!A:H,8,0),"Libro No Existe")</f>
        <v>Retirado</v>
      </c>
    </row>
    <row r="160" spans="1:14" x14ac:dyDescent="0.3">
      <c r="A160" s="5" t="s">
        <v>687</v>
      </c>
      <c r="B160" s="1">
        <v>45902</v>
      </c>
      <c r="C160" s="1">
        <v>45898</v>
      </c>
      <c r="D160" s="4" t="s">
        <v>430</v>
      </c>
      <c r="E160" s="2" t="s">
        <v>264</v>
      </c>
      <c r="F160" s="2" t="s">
        <v>275</v>
      </c>
      <c r="G160" s="2" t="s">
        <v>253</v>
      </c>
      <c r="H160" s="3">
        <v>0</v>
      </c>
      <c r="I160" t="str">
        <f>IFERROR(VLOOKUP(Prestamos[[#This Row],[ID Libro]],Inventario_Libros!A:B,2,0),"Libro No Existe")</f>
        <v>La Ciudad Y Los Perros</v>
      </c>
      <c r="J160" t="str">
        <f>IFERROR(VLOOKUP(Prestamos[[#This Row],[ID Libro]],Inventario_Libros!A:C,3,0),"Libro No Existe")</f>
        <v>Mario Vargas Llosa</v>
      </c>
      <c r="K160" t="str">
        <f>IFERROR(VLOOKUP(Prestamos[[#This Row],[ID Libro]],Inventario_Libros!A:D,4,0),"Libro No Existe")</f>
        <v>Novela</v>
      </c>
      <c r="L160">
        <f>IFERROR(VLOOKUP(Prestamos[[#This Row],[ID Libro]],Inventario_Libros!A:E,5,0),"Libro No Existe")</f>
        <v>1947</v>
      </c>
      <c r="M160" t="str">
        <f>_xlfn.XLOOKUP(D:D,Inventario_Libros!A:A,Inventario_Libros!G:G,"No Existe",0)</f>
        <v>Est-1</v>
      </c>
      <c r="N160" t="str">
        <f>IFERROR(VLOOKUP(Prestamos[[#This Row],[ID Libro]],Inventario_Libros!A:H,8,0),"Libro No Existe")</f>
        <v>Activo</v>
      </c>
    </row>
    <row r="161" spans="1:14" x14ac:dyDescent="0.3">
      <c r="A161" s="5" t="s">
        <v>688</v>
      </c>
      <c r="B161" s="1">
        <v>45929</v>
      </c>
      <c r="C161" s="1">
        <v>45955</v>
      </c>
      <c r="D161" s="4" t="s">
        <v>407</v>
      </c>
      <c r="E161" s="2" t="s">
        <v>262</v>
      </c>
      <c r="F161" s="2" t="s">
        <v>258</v>
      </c>
      <c r="G161" s="2" t="s">
        <v>279</v>
      </c>
      <c r="H161" s="3" t="s">
        <v>289</v>
      </c>
      <c r="I161" t="str">
        <f>IFERROR(VLOOKUP(Prestamos[[#This Row],[ID Libro]],Inventario_Libros!A:B,2,0),"Libro No Existe")</f>
        <v>Crónica De Una Muerte Anunciada</v>
      </c>
      <c r="J161" t="str">
        <f>IFERROR(VLOOKUP(Prestamos[[#This Row],[ID Libro]],Inventario_Libros!A:C,3,0),"Libro No Existe")</f>
        <v>Gabriel García Márquez</v>
      </c>
      <c r="K161" t="str">
        <f>IFERROR(VLOOKUP(Prestamos[[#This Row],[ID Libro]],Inventario_Libros!A:D,4,0),"Libro No Existe")</f>
        <v>Novela</v>
      </c>
      <c r="L161">
        <f>IFERROR(VLOOKUP(Prestamos[[#This Row],[ID Libro]],Inventario_Libros!A:E,5,0),"Libro No Existe")</f>
        <v>1934</v>
      </c>
      <c r="M161" t="str">
        <f>_xlfn.XLOOKUP(D:D,Inventario_Libros!A:A,Inventario_Libros!G:G,"No Existe",0)</f>
        <v>C-3</v>
      </c>
      <c r="N161" t="str">
        <f>IFERROR(VLOOKUP(Prestamos[[#This Row],[ID Libro]],Inventario_Libros!A:H,8,0),"Libro No Existe")</f>
        <v>Retirado</v>
      </c>
    </row>
    <row r="162" spans="1:14" x14ac:dyDescent="0.3">
      <c r="A162" s="5" t="s">
        <v>689</v>
      </c>
      <c r="B162" s="1">
        <v>45704</v>
      </c>
      <c r="C162" s="1" t="s">
        <v>289</v>
      </c>
      <c r="D162" s="4" t="s">
        <v>436</v>
      </c>
      <c r="E162" s="2" t="s">
        <v>262</v>
      </c>
      <c r="F162" s="2" t="s">
        <v>263</v>
      </c>
      <c r="G162" s="2" t="s">
        <v>257</v>
      </c>
      <c r="H162" s="3">
        <v>5</v>
      </c>
      <c r="I162" t="str">
        <f>IFERROR(VLOOKUP(Prestamos[[#This Row],[ID Libro]],Inventario_Libros!A:B,2,0),"Libro No Existe")</f>
        <v>Los Detectives Salvajes</v>
      </c>
      <c r="J162" t="str">
        <f>IFERROR(VLOOKUP(Prestamos[[#This Row],[ID Libro]],Inventario_Libros!A:C,3,0),"Libro No Existe")</f>
        <v>Roberto Bolaño</v>
      </c>
      <c r="K162" t="str">
        <f>IFERROR(VLOOKUP(Prestamos[[#This Row],[ID Libro]],Inventario_Libros!A:D,4,0),"Libro No Existe")</f>
        <v>Novela</v>
      </c>
      <c r="L162">
        <f>IFERROR(VLOOKUP(Prestamos[[#This Row],[ID Libro]],Inventario_Libros!A:E,5,0),"Libro No Existe")</f>
        <v>1978</v>
      </c>
      <c r="M162" t="str">
        <f>_xlfn.XLOOKUP(D:D,Inventario_Libros!A:A,Inventario_Libros!G:G,"No Existe",0)</f>
        <v>Est-1</v>
      </c>
      <c r="N162" t="str">
        <f>IFERROR(VLOOKUP(Prestamos[[#This Row],[ID Libro]],Inventario_Libros!A:H,8,0),"Libro No Existe")</f>
        <v>Retirado</v>
      </c>
    </row>
    <row r="163" spans="1:14" x14ac:dyDescent="0.3">
      <c r="A163" s="5" t="s">
        <v>690</v>
      </c>
      <c r="B163" s="1">
        <v>45988</v>
      </c>
      <c r="C163" s="1">
        <v>46008</v>
      </c>
      <c r="D163" s="4" t="s">
        <v>342</v>
      </c>
      <c r="E163" s="2" t="s">
        <v>264</v>
      </c>
      <c r="F163" s="2" t="s">
        <v>255</v>
      </c>
      <c r="G163" s="2" t="s">
        <v>257</v>
      </c>
      <c r="H163" s="3">
        <v>5</v>
      </c>
      <c r="I163" t="str">
        <f>IFERROR(VLOOKUP(Prestamos[[#This Row],[ID Libro]],Inventario_Libros!A:B,2,0),"Libro No Existe")</f>
        <v>Crónica De Una Muerte Anunciada</v>
      </c>
      <c r="J163" t="str">
        <f>IFERROR(VLOOKUP(Prestamos[[#This Row],[ID Libro]],Inventario_Libros!A:C,3,0),"Libro No Existe")</f>
        <v>Gabriel García Márquez</v>
      </c>
      <c r="K163" t="str">
        <f>IFERROR(VLOOKUP(Prestamos[[#This Row],[ID Libro]],Inventario_Libros!A:D,4,0),"Libro No Existe")</f>
        <v>Novela</v>
      </c>
      <c r="L163">
        <f>IFERROR(VLOOKUP(Prestamos[[#This Row],[ID Libro]],Inventario_Libros!A:E,5,0),"Libro No Existe")</f>
        <v>1999</v>
      </c>
      <c r="M163" t="str">
        <f>_xlfn.XLOOKUP(D:D,Inventario_Libros!A:A,Inventario_Libros!G:G,"No Existe",0)</f>
        <v>A-1</v>
      </c>
      <c r="N163" t="str">
        <f>IFERROR(VLOOKUP(Prestamos[[#This Row],[ID Libro]],Inventario_Libros!A:H,8,0),"Libro No Existe")</f>
        <v>Activo</v>
      </c>
    </row>
    <row r="164" spans="1:14" x14ac:dyDescent="0.3">
      <c r="A164" s="5" t="s">
        <v>691</v>
      </c>
      <c r="B164" s="1">
        <v>45674</v>
      </c>
      <c r="C164" s="1">
        <v>45671</v>
      </c>
      <c r="D164" s="4" t="s">
        <v>437</v>
      </c>
      <c r="E164" s="2" t="s">
        <v>267</v>
      </c>
      <c r="F164" s="2" t="s">
        <v>258</v>
      </c>
      <c r="G164" s="2" t="s">
        <v>253</v>
      </c>
      <c r="H164" s="3">
        <v>0</v>
      </c>
      <c r="I164" t="str">
        <f>IFERROR(VLOOKUP(Prestamos[[#This Row],[ID Libro]],Inventario_Libros!A:B,2,0),"Libro No Existe")</f>
        <v>El Código Da Vinci</v>
      </c>
      <c r="J164" t="str">
        <f>IFERROR(VLOOKUP(Prestamos[[#This Row],[ID Libro]],Inventario_Libros!A:C,3,0),"Libro No Existe")</f>
        <v>Dan Brown</v>
      </c>
      <c r="K164" t="str">
        <f>IFERROR(VLOOKUP(Prestamos[[#This Row],[ID Libro]],Inventario_Libros!A:D,4,0),"Libro No Existe")</f>
        <v>Misterio</v>
      </c>
      <c r="L164">
        <f>IFERROR(VLOOKUP(Prestamos[[#This Row],[ID Libro]],Inventario_Libros!A:E,5,0),"Libro No Existe")</f>
        <v>1935</v>
      </c>
      <c r="M164" t="str">
        <f>_xlfn.XLOOKUP(D:D,Inventario_Libros!A:A,Inventario_Libros!G:G,"No Existe",0)</f>
        <v>B-2</v>
      </c>
      <c r="N164" t="str">
        <f>IFERROR(VLOOKUP(Prestamos[[#This Row],[ID Libro]],Inventario_Libros!A:H,8,0),"Libro No Existe")</f>
        <v>Retirado</v>
      </c>
    </row>
    <row r="165" spans="1:14" x14ac:dyDescent="0.3">
      <c r="A165" s="5" t="s">
        <v>692</v>
      </c>
      <c r="B165" s="1">
        <v>45893</v>
      </c>
      <c r="C165" s="1">
        <v>45918</v>
      </c>
      <c r="D165" s="4" t="s">
        <v>438</v>
      </c>
      <c r="E165" s="2" t="s">
        <v>274</v>
      </c>
      <c r="F165" s="2" t="s">
        <v>258</v>
      </c>
      <c r="G165" s="2" t="s">
        <v>257</v>
      </c>
      <c r="H165" s="3">
        <v>10</v>
      </c>
      <c r="I165" t="str">
        <f>IFERROR(VLOOKUP(Prestamos[[#This Row],[ID Libro]],Inventario_Libros!A:B,2,0),"Libro No Existe")</f>
        <v>Los Detectives Salvajes</v>
      </c>
      <c r="J165" t="str">
        <f>IFERROR(VLOOKUP(Prestamos[[#This Row],[ID Libro]],Inventario_Libros!A:C,3,0),"Libro No Existe")</f>
        <v>Roberto Bolaño</v>
      </c>
      <c r="K165" t="str">
        <f>IFERROR(VLOOKUP(Prestamos[[#This Row],[ID Libro]],Inventario_Libros!A:D,4,0),"Libro No Existe")</f>
        <v>Novela</v>
      </c>
      <c r="L165">
        <f>IFERROR(VLOOKUP(Prestamos[[#This Row],[ID Libro]],Inventario_Libros!A:E,5,0),"Libro No Existe")</f>
        <v>2015</v>
      </c>
      <c r="M165" t="str">
        <f>_xlfn.XLOOKUP(D:D,Inventario_Libros!A:A,Inventario_Libros!G:G,"No Existe",0)</f>
        <v>Est-1</v>
      </c>
      <c r="N165" t="str">
        <f>IFERROR(VLOOKUP(Prestamos[[#This Row],[ID Libro]],Inventario_Libros!A:H,8,0),"Libro No Existe")</f>
        <v>Activo</v>
      </c>
    </row>
    <row r="166" spans="1:14" x14ac:dyDescent="0.3">
      <c r="A166" s="5" t="s">
        <v>693</v>
      </c>
      <c r="B166" s="1">
        <v>45818</v>
      </c>
      <c r="C166" s="1">
        <v>45836</v>
      </c>
      <c r="D166" s="4" t="s">
        <v>424</v>
      </c>
      <c r="E166" s="2" t="s">
        <v>272</v>
      </c>
      <c r="F166" s="2" t="s">
        <v>263</v>
      </c>
      <c r="G166" s="2" t="s">
        <v>257</v>
      </c>
      <c r="H166" s="3">
        <v>3</v>
      </c>
      <c r="I166" t="str">
        <f>IFERROR(VLOOKUP(Prestamos[[#This Row],[ID Libro]],Inventario_Libros!A:B,2,0),"Libro No Existe")</f>
        <v>La Iliada</v>
      </c>
      <c r="J166" t="str">
        <f>IFERROR(VLOOKUP(Prestamos[[#This Row],[ID Libro]],Inventario_Libros!A:C,3,0),"Libro No Existe")</f>
        <v>Homero</v>
      </c>
      <c r="K166" t="str">
        <f>IFERROR(VLOOKUP(Prestamos[[#This Row],[ID Libro]],Inventario_Libros!A:D,4,0),"Libro No Existe")</f>
        <v>Clásicos</v>
      </c>
      <c r="L166">
        <f>IFERROR(VLOOKUP(Prestamos[[#This Row],[ID Libro]],Inventario_Libros!A:E,5,0),"Libro No Existe")</f>
        <v>1947</v>
      </c>
      <c r="M166" t="str">
        <f>_xlfn.XLOOKUP(D:D,Inventario_Libros!A:A,Inventario_Libros!G:G,"No Existe",0)</f>
        <v>A-1</v>
      </c>
      <c r="N166" t="str">
        <f>IFERROR(VLOOKUP(Prestamos[[#This Row],[ID Libro]],Inventario_Libros!A:H,8,0),"Libro No Existe")</f>
        <v>Activo</v>
      </c>
    </row>
    <row r="167" spans="1:14" x14ac:dyDescent="0.3">
      <c r="A167" s="5" t="s">
        <v>694</v>
      </c>
      <c r="B167" s="1">
        <v>45900</v>
      </c>
      <c r="C167" s="1">
        <v>45897</v>
      </c>
      <c r="D167" s="4" t="s">
        <v>398</v>
      </c>
      <c r="E167" s="2" t="s">
        <v>260</v>
      </c>
      <c r="F167" s="2" t="s">
        <v>255</v>
      </c>
      <c r="G167" s="2" t="s">
        <v>253</v>
      </c>
      <c r="H167" s="3">
        <v>0</v>
      </c>
      <c r="I167" t="str">
        <f>IFERROR(VLOOKUP(Prestamos[[#This Row],[ID Libro]],Inventario_Libros!A:B,2,0),"Libro No Existe")</f>
        <v>Don Quijote De La Mancha</v>
      </c>
      <c r="J167" t="str">
        <f>IFERROR(VLOOKUP(Prestamos[[#This Row],[ID Libro]],Inventario_Libros!A:C,3,0),"Libro No Existe")</f>
        <v>Miguel De Cervantes</v>
      </c>
      <c r="K167" t="str">
        <f>IFERROR(VLOOKUP(Prestamos[[#This Row],[ID Libro]],Inventario_Libros!A:D,4,0),"Libro No Existe")</f>
        <v>Novela</v>
      </c>
      <c r="L167">
        <f>IFERROR(VLOOKUP(Prestamos[[#This Row],[ID Libro]],Inventario_Libros!A:E,5,0),"Libro No Existe")</f>
        <v>1926</v>
      </c>
      <c r="M167" t="str">
        <f>_xlfn.XLOOKUP(D:D,Inventario_Libros!A:A,Inventario_Libros!G:G,"No Existe",0)</f>
        <v>Est-1</v>
      </c>
      <c r="N167" t="str">
        <f>IFERROR(VLOOKUP(Prestamos[[#This Row],[ID Libro]],Inventario_Libros!A:H,8,0),"Libro No Existe")</f>
        <v>Activo</v>
      </c>
    </row>
    <row r="168" spans="1:14" x14ac:dyDescent="0.3">
      <c r="A168" s="5" t="s">
        <v>695</v>
      </c>
      <c r="B168" s="1">
        <v>45687</v>
      </c>
      <c r="C168" s="1">
        <v>45684</v>
      </c>
      <c r="D168" s="4" t="s">
        <v>377</v>
      </c>
      <c r="E168" s="2" t="s">
        <v>261</v>
      </c>
      <c r="F168" s="2" t="s">
        <v>275</v>
      </c>
      <c r="G168" s="2" t="s">
        <v>253</v>
      </c>
      <c r="H168" s="3">
        <v>0</v>
      </c>
      <c r="I168" t="str">
        <f>IFERROR(VLOOKUP(Prestamos[[#This Row],[ID Libro]],Inventario_Libros!A:B,2,0),"Libro No Existe")</f>
        <v>Orgullo Y Prejuicio</v>
      </c>
      <c r="J168" t="str">
        <f>IFERROR(VLOOKUP(Prestamos[[#This Row],[ID Libro]],Inventario_Libros!A:C,3,0),"Libro No Existe")</f>
        <v>Jane Austen</v>
      </c>
      <c r="K168" t="str">
        <f>IFERROR(VLOOKUP(Prestamos[[#This Row],[ID Libro]],Inventario_Libros!A:D,4,0),"Libro No Existe")</f>
        <v>Novela</v>
      </c>
      <c r="L168">
        <f>IFERROR(VLOOKUP(Prestamos[[#This Row],[ID Libro]],Inventario_Libros!A:E,5,0),"Libro No Existe")</f>
        <v>1934</v>
      </c>
      <c r="M168" t="str">
        <f>_xlfn.XLOOKUP(D:D,Inventario_Libros!A:A,Inventario_Libros!G:G,"No Existe",0)</f>
        <v>A-1</v>
      </c>
      <c r="N168" t="str">
        <f>IFERROR(VLOOKUP(Prestamos[[#This Row],[ID Libro]],Inventario_Libros!A:H,8,0),"Libro No Existe")</f>
        <v>Activo</v>
      </c>
    </row>
    <row r="169" spans="1:14" x14ac:dyDescent="0.3">
      <c r="A169" s="5" t="s">
        <v>696</v>
      </c>
      <c r="B169" s="1">
        <v>45694</v>
      </c>
      <c r="C169" s="1">
        <v>45692</v>
      </c>
      <c r="D169" s="4" t="s">
        <v>349</v>
      </c>
      <c r="E169" s="2" t="s">
        <v>272</v>
      </c>
      <c r="F169" s="2" t="s">
        <v>258</v>
      </c>
      <c r="G169" s="2" t="s">
        <v>279</v>
      </c>
      <c r="H169" s="3" t="s">
        <v>289</v>
      </c>
      <c r="I169" t="str">
        <f>IFERROR(VLOOKUP(Prestamos[[#This Row],[ID Libro]],Inventario_Libros!A:B,2,0),"Libro No Existe")</f>
        <v>Los Detectives Salvajes</v>
      </c>
      <c r="J169" t="str">
        <f>IFERROR(VLOOKUP(Prestamos[[#This Row],[ID Libro]],Inventario_Libros!A:C,3,0),"Libro No Existe")</f>
        <v>Roberto Bolaño</v>
      </c>
      <c r="K169" t="str">
        <f>IFERROR(VLOOKUP(Prestamos[[#This Row],[ID Libro]],Inventario_Libros!A:D,4,0),"Libro No Existe")</f>
        <v>Novela</v>
      </c>
      <c r="L169">
        <f>IFERROR(VLOOKUP(Prestamos[[#This Row],[ID Libro]],Inventario_Libros!A:E,5,0),"Libro No Existe")</f>
        <v>1914</v>
      </c>
      <c r="M169" t="str">
        <f>_xlfn.XLOOKUP(D:D,Inventario_Libros!A:A,Inventario_Libros!G:G,"No Existe",0)</f>
        <v>C-3</v>
      </c>
      <c r="N169" t="str">
        <f>IFERROR(VLOOKUP(Prestamos[[#This Row],[ID Libro]],Inventario_Libros!A:H,8,0),"Libro No Existe")</f>
        <v>Retirado</v>
      </c>
    </row>
    <row r="170" spans="1:14" x14ac:dyDescent="0.3">
      <c r="A170" s="5" t="s">
        <v>697</v>
      </c>
      <c r="B170" s="1">
        <v>45756</v>
      </c>
      <c r="C170" s="1">
        <v>45754</v>
      </c>
      <c r="D170" s="4" t="s">
        <v>439</v>
      </c>
      <c r="E170" s="2" t="s">
        <v>266</v>
      </c>
      <c r="F170" s="2" t="s">
        <v>252</v>
      </c>
      <c r="G170" s="2" t="s">
        <v>253</v>
      </c>
      <c r="H170" s="3">
        <v>0</v>
      </c>
      <c r="I170" t="str">
        <f>IFERROR(VLOOKUP(Prestamos[[#This Row],[ID Libro]],Inventario_Libros!A:B,2,0),"Libro No Existe")</f>
        <v>Pedro Páramo</v>
      </c>
      <c r="J170" t="str">
        <f>IFERROR(VLOOKUP(Prestamos[[#This Row],[ID Libro]],Inventario_Libros!A:C,3,0),"Libro No Existe")</f>
        <v>Juan Rulfo</v>
      </c>
      <c r="K170" t="str">
        <f>IFERROR(VLOOKUP(Prestamos[[#This Row],[ID Libro]],Inventario_Libros!A:D,4,0),"Libro No Existe")</f>
        <v>Novela</v>
      </c>
      <c r="L170">
        <f>IFERROR(VLOOKUP(Prestamos[[#This Row],[ID Libro]],Inventario_Libros!A:E,5,0),"Libro No Existe")</f>
        <v>1983</v>
      </c>
      <c r="M170" t="str">
        <f>_xlfn.XLOOKUP(D:D,Inventario_Libros!A:A,Inventario_Libros!G:G,"No Existe",0)</f>
        <v>Est-1</v>
      </c>
      <c r="N170" t="str">
        <f>IFERROR(VLOOKUP(Prestamos[[#This Row],[ID Libro]],Inventario_Libros!A:H,8,0),"Libro No Existe")</f>
        <v>Activo</v>
      </c>
    </row>
    <row r="171" spans="1:14" x14ac:dyDescent="0.3">
      <c r="A171" s="5" t="s">
        <v>698</v>
      </c>
      <c r="B171" s="1">
        <v>45893</v>
      </c>
      <c r="C171" s="1">
        <v>45913</v>
      </c>
      <c r="D171" s="4" t="s">
        <v>440</v>
      </c>
      <c r="E171" s="2" t="s">
        <v>271</v>
      </c>
      <c r="F171" s="2" t="s">
        <v>252</v>
      </c>
      <c r="G171" s="2" t="s">
        <v>257</v>
      </c>
      <c r="H171" s="3">
        <v>5</v>
      </c>
      <c r="I171" t="str">
        <f>IFERROR(VLOOKUP(Prestamos[[#This Row],[ID Libro]],Inventario_Libros!A:B,2,0),"Libro No Existe")</f>
        <v>Libro No Existe</v>
      </c>
      <c r="J171" t="str">
        <f>IFERROR(VLOOKUP(Prestamos[[#This Row],[ID Libro]],Inventario_Libros!A:C,3,0),"Libro No Existe")</f>
        <v>Libro No Existe</v>
      </c>
      <c r="K171" t="str">
        <f>IFERROR(VLOOKUP(Prestamos[[#This Row],[ID Libro]],Inventario_Libros!A:D,4,0),"Libro No Existe")</f>
        <v>Libro No Existe</v>
      </c>
      <c r="L171" t="str">
        <f>IFERROR(VLOOKUP(Prestamos[[#This Row],[ID Libro]],Inventario_Libros!A:E,5,0),"Libro No Existe")</f>
        <v>Libro No Existe</v>
      </c>
      <c r="M171" t="str">
        <f>_xlfn.XLOOKUP(D:D,Inventario_Libros!A:A,Inventario_Libros!G:G,"No Existe",0)</f>
        <v>No Existe</v>
      </c>
      <c r="N171" t="str">
        <f>IFERROR(VLOOKUP(Prestamos[[#This Row],[ID Libro]],Inventario_Libros!A:H,8,0),"Libro No Existe")</f>
        <v>Libro No Existe</v>
      </c>
    </row>
    <row r="172" spans="1:14" x14ac:dyDescent="0.3">
      <c r="A172" s="5" t="s">
        <v>699</v>
      </c>
      <c r="B172" s="1">
        <v>45945</v>
      </c>
      <c r="C172" s="1">
        <v>45965</v>
      </c>
      <c r="D172" s="4" t="s">
        <v>342</v>
      </c>
      <c r="E172" s="2" t="s">
        <v>273</v>
      </c>
      <c r="F172" s="2" t="s">
        <v>275</v>
      </c>
      <c r="G172" s="2" t="s">
        <v>257</v>
      </c>
      <c r="H172" s="3">
        <v>5</v>
      </c>
      <c r="I172" t="str">
        <f>IFERROR(VLOOKUP(Prestamos[[#This Row],[ID Libro]],Inventario_Libros!A:B,2,0),"Libro No Existe")</f>
        <v>Crónica De Una Muerte Anunciada</v>
      </c>
      <c r="J172" t="str">
        <f>IFERROR(VLOOKUP(Prestamos[[#This Row],[ID Libro]],Inventario_Libros!A:C,3,0),"Libro No Existe")</f>
        <v>Gabriel García Márquez</v>
      </c>
      <c r="K172" t="str">
        <f>IFERROR(VLOOKUP(Prestamos[[#This Row],[ID Libro]],Inventario_Libros!A:D,4,0),"Libro No Existe")</f>
        <v>Novela</v>
      </c>
      <c r="L172">
        <f>IFERROR(VLOOKUP(Prestamos[[#This Row],[ID Libro]],Inventario_Libros!A:E,5,0),"Libro No Existe")</f>
        <v>1999</v>
      </c>
      <c r="M172" t="str">
        <f>_xlfn.XLOOKUP(D:D,Inventario_Libros!A:A,Inventario_Libros!G:G,"No Existe",0)</f>
        <v>A-1</v>
      </c>
      <c r="N172" t="str">
        <f>IFERROR(VLOOKUP(Prestamos[[#This Row],[ID Libro]],Inventario_Libros!A:H,8,0),"Libro No Existe")</f>
        <v>Activo</v>
      </c>
    </row>
    <row r="173" spans="1:14" x14ac:dyDescent="0.3">
      <c r="A173" s="5" t="s">
        <v>700</v>
      </c>
      <c r="B173" s="1">
        <v>45724</v>
      </c>
      <c r="C173" s="1">
        <v>45749</v>
      </c>
      <c r="D173" s="4" t="s">
        <v>317</v>
      </c>
      <c r="E173" s="2" t="s">
        <v>277</v>
      </c>
      <c r="F173" s="2" t="s">
        <v>258</v>
      </c>
      <c r="G173" s="2" t="s">
        <v>257</v>
      </c>
      <c r="H173" s="3">
        <v>10</v>
      </c>
      <c r="I173" t="str">
        <f>IFERROR(VLOOKUP(Prestamos[[#This Row],[ID Libro]],Inventario_Libros!A:B,2,0),"Libro No Existe")</f>
        <v>El Aleph</v>
      </c>
      <c r="J173" t="str">
        <f>IFERROR(VLOOKUP(Prestamos[[#This Row],[ID Libro]],Inventario_Libros!A:C,3,0),"Libro No Existe")</f>
        <v>Jorge Luis Borges</v>
      </c>
      <c r="K173" t="str">
        <f>IFERROR(VLOOKUP(Prestamos[[#This Row],[ID Libro]],Inventario_Libros!A:D,4,0),"Libro No Existe")</f>
        <v>Cuentos / Fantasía Metafísica</v>
      </c>
      <c r="L173">
        <f>IFERROR(VLOOKUP(Prestamos[[#This Row],[ID Libro]],Inventario_Libros!A:E,5,0),"Libro No Existe")</f>
        <v>1941</v>
      </c>
      <c r="M173" t="str">
        <f>_xlfn.XLOOKUP(D:D,Inventario_Libros!A:A,Inventario_Libros!G:G,"No Existe",0)</f>
        <v>Est-1</v>
      </c>
      <c r="N173" t="str">
        <f>IFERROR(VLOOKUP(Prestamos[[#This Row],[ID Libro]],Inventario_Libros!A:H,8,0),"Libro No Existe")</f>
        <v>Activo</v>
      </c>
    </row>
    <row r="174" spans="1:14" x14ac:dyDescent="0.3">
      <c r="A174" s="5" t="s">
        <v>701</v>
      </c>
      <c r="B174" s="1">
        <v>45905</v>
      </c>
      <c r="C174" s="1">
        <v>45903</v>
      </c>
      <c r="D174" s="4" t="s">
        <v>441</v>
      </c>
      <c r="E174" s="2" t="s">
        <v>269</v>
      </c>
      <c r="F174" s="2" t="s">
        <v>263</v>
      </c>
      <c r="G174" s="2" t="s">
        <v>253</v>
      </c>
      <c r="H174" s="3">
        <v>0</v>
      </c>
      <c r="I174" t="str">
        <f>IFERROR(VLOOKUP(Prestamos[[#This Row],[ID Libro]],Inventario_Libros!A:B,2,0),"Libro No Existe")</f>
        <v>Libro No Existe</v>
      </c>
      <c r="J174" t="str">
        <f>IFERROR(VLOOKUP(Prestamos[[#This Row],[ID Libro]],Inventario_Libros!A:C,3,0),"Libro No Existe")</f>
        <v>Libro No Existe</v>
      </c>
      <c r="K174" t="str">
        <f>IFERROR(VLOOKUP(Prestamos[[#This Row],[ID Libro]],Inventario_Libros!A:D,4,0),"Libro No Existe")</f>
        <v>Libro No Existe</v>
      </c>
      <c r="L174" t="str">
        <f>IFERROR(VLOOKUP(Prestamos[[#This Row],[ID Libro]],Inventario_Libros!A:E,5,0),"Libro No Existe")</f>
        <v>Libro No Existe</v>
      </c>
      <c r="M174" t="str">
        <f>_xlfn.XLOOKUP(D:D,Inventario_Libros!A:A,Inventario_Libros!G:G,"No Existe",0)</f>
        <v>No Existe</v>
      </c>
      <c r="N174" t="str">
        <f>IFERROR(VLOOKUP(Prestamos[[#This Row],[ID Libro]],Inventario_Libros!A:H,8,0),"Libro No Existe")</f>
        <v>Libro No Existe</v>
      </c>
    </row>
    <row r="175" spans="1:14" x14ac:dyDescent="0.3">
      <c r="A175" s="5" t="s">
        <v>702</v>
      </c>
      <c r="B175" s="1">
        <v>45799</v>
      </c>
      <c r="C175" s="1">
        <v>45817</v>
      </c>
      <c r="D175" s="4" t="s">
        <v>442</v>
      </c>
      <c r="E175" s="2" t="s">
        <v>266</v>
      </c>
      <c r="F175" s="2" t="s">
        <v>263</v>
      </c>
      <c r="G175" s="2" t="s">
        <v>257</v>
      </c>
      <c r="H175" s="3">
        <v>3</v>
      </c>
      <c r="I175" t="str">
        <f>IFERROR(VLOOKUP(Prestamos[[#This Row],[ID Libro]],Inventario_Libros!A:B,2,0),"Libro No Existe")</f>
        <v>Orgullo Y Prejuicio</v>
      </c>
      <c r="J175" t="str">
        <f>IFERROR(VLOOKUP(Prestamos[[#This Row],[ID Libro]],Inventario_Libros!A:C,3,0),"Libro No Existe")</f>
        <v>Jane Austen</v>
      </c>
      <c r="K175" t="str">
        <f>IFERROR(VLOOKUP(Prestamos[[#This Row],[ID Libro]],Inventario_Libros!A:D,4,0),"Libro No Existe")</f>
        <v>Novela</v>
      </c>
      <c r="L175">
        <f>IFERROR(VLOOKUP(Prestamos[[#This Row],[ID Libro]],Inventario_Libros!A:E,5,0),"Libro No Existe")</f>
        <v>1955</v>
      </c>
      <c r="M175" t="str">
        <f>_xlfn.XLOOKUP(D:D,Inventario_Libros!A:A,Inventario_Libros!G:G,"No Existe",0)</f>
        <v>C-3</v>
      </c>
      <c r="N175" t="str">
        <f>IFERROR(VLOOKUP(Prestamos[[#This Row],[ID Libro]],Inventario_Libros!A:H,8,0),"Libro No Existe")</f>
        <v>Retirado</v>
      </c>
    </row>
    <row r="176" spans="1:14" x14ac:dyDescent="0.3">
      <c r="A176" s="5" t="s">
        <v>703</v>
      </c>
      <c r="B176" s="1">
        <v>45744</v>
      </c>
      <c r="C176" s="1">
        <v>45742</v>
      </c>
      <c r="D176" s="4" t="s">
        <v>326</v>
      </c>
      <c r="E176" s="2" t="s">
        <v>254</v>
      </c>
      <c r="F176" s="2" t="s">
        <v>258</v>
      </c>
      <c r="G176" s="2" t="s">
        <v>279</v>
      </c>
      <c r="H176" s="3" t="s">
        <v>289</v>
      </c>
      <c r="I176" t="str">
        <f>IFERROR(VLOOKUP(Prestamos[[#This Row],[ID Libro]],Inventario_Libros!A:B,2,0),"Libro No Existe")</f>
        <v>Orgullo Y Prejuicio</v>
      </c>
      <c r="J176" t="str">
        <f>IFERROR(VLOOKUP(Prestamos[[#This Row],[ID Libro]],Inventario_Libros!A:C,3,0),"Libro No Existe")</f>
        <v>Jane Austen</v>
      </c>
      <c r="K176" t="str">
        <f>IFERROR(VLOOKUP(Prestamos[[#This Row],[ID Libro]],Inventario_Libros!A:D,4,0),"Libro No Existe")</f>
        <v>Novela</v>
      </c>
      <c r="L176">
        <f>IFERROR(VLOOKUP(Prestamos[[#This Row],[ID Libro]],Inventario_Libros!A:E,5,0),"Libro No Existe")</f>
        <v>2013</v>
      </c>
      <c r="M176" t="str">
        <f>_xlfn.XLOOKUP(D:D,Inventario_Libros!A:A,Inventario_Libros!G:G,"No Existe",0)</f>
        <v>Est-1</v>
      </c>
      <c r="N176" t="str">
        <f>IFERROR(VLOOKUP(Prestamos[[#This Row],[ID Libro]],Inventario_Libros!A:H,8,0),"Libro No Existe")</f>
        <v>Activo</v>
      </c>
    </row>
    <row r="177" spans="1:14" x14ac:dyDescent="0.3">
      <c r="A177" s="5" t="s">
        <v>704</v>
      </c>
      <c r="B177" s="1">
        <v>45790</v>
      </c>
      <c r="C177" s="1">
        <v>45819</v>
      </c>
      <c r="D177" s="4" t="s">
        <v>443</v>
      </c>
      <c r="E177" s="2" t="s">
        <v>256</v>
      </c>
      <c r="F177" s="2" t="s">
        <v>275</v>
      </c>
      <c r="G177" s="2" t="s">
        <v>279</v>
      </c>
      <c r="H177" s="3" t="s">
        <v>289</v>
      </c>
      <c r="I177" t="str">
        <f>IFERROR(VLOOKUP(Prestamos[[#This Row],[ID Libro]],Inventario_Libros!A:B,2,0),"Libro No Existe")</f>
        <v>El Código Da Vinci</v>
      </c>
      <c r="J177" t="str">
        <f>IFERROR(VLOOKUP(Prestamos[[#This Row],[ID Libro]],Inventario_Libros!A:C,3,0),"Libro No Existe")</f>
        <v>Dan Brown</v>
      </c>
      <c r="K177" t="str">
        <f>IFERROR(VLOOKUP(Prestamos[[#This Row],[ID Libro]],Inventario_Libros!A:D,4,0),"Libro No Existe")</f>
        <v>Misterio</v>
      </c>
      <c r="L177">
        <f>IFERROR(VLOOKUP(Prestamos[[#This Row],[ID Libro]],Inventario_Libros!A:E,5,0),"Libro No Existe")</f>
        <v>1943</v>
      </c>
      <c r="M177" t="str">
        <f>_xlfn.XLOOKUP(D:D,Inventario_Libros!A:A,Inventario_Libros!G:G,"No Existe",0)</f>
        <v>B-2</v>
      </c>
      <c r="N177" t="str">
        <f>IFERROR(VLOOKUP(Prestamos[[#This Row],[ID Libro]],Inventario_Libros!A:H,8,0),"Libro No Existe")</f>
        <v>Retirado</v>
      </c>
    </row>
    <row r="178" spans="1:14" x14ac:dyDescent="0.3">
      <c r="A178" s="5" t="s">
        <v>705</v>
      </c>
      <c r="B178" s="1">
        <v>45808</v>
      </c>
      <c r="C178" s="1">
        <v>45807</v>
      </c>
      <c r="D178" s="4" t="s">
        <v>444</v>
      </c>
      <c r="E178" s="2" t="s">
        <v>256</v>
      </c>
      <c r="F178" s="2" t="s">
        <v>255</v>
      </c>
      <c r="G178" s="2" t="s">
        <v>253</v>
      </c>
      <c r="H178" s="3" t="s">
        <v>280</v>
      </c>
      <c r="I178" t="str">
        <f>IFERROR(VLOOKUP(Prestamos[[#This Row],[ID Libro]],Inventario_Libros!A:B,2,0),"Libro No Existe")</f>
        <v>El Amor En Los Tiempos Del Cólera</v>
      </c>
      <c r="J178" t="str">
        <f>IFERROR(VLOOKUP(Prestamos[[#This Row],[ID Libro]],Inventario_Libros!A:C,3,0),"Libro No Existe")</f>
        <v>Gabriel García Márquez</v>
      </c>
      <c r="K178" t="str">
        <f>IFERROR(VLOOKUP(Prestamos[[#This Row],[ID Libro]],Inventario_Libros!A:D,4,0),"Libro No Existe")</f>
        <v>Novela</v>
      </c>
      <c r="L178">
        <f>IFERROR(VLOOKUP(Prestamos[[#This Row],[ID Libro]],Inventario_Libros!A:E,5,0),"Libro No Existe")</f>
        <v>1979</v>
      </c>
      <c r="M178" t="str">
        <f>_xlfn.XLOOKUP(D:D,Inventario_Libros!A:A,Inventario_Libros!G:G,"No Existe",0)</f>
        <v>B-2</v>
      </c>
      <c r="N178" t="str">
        <f>IFERROR(VLOOKUP(Prestamos[[#This Row],[ID Libro]],Inventario_Libros!A:H,8,0),"Libro No Existe")</f>
        <v>Activo</v>
      </c>
    </row>
    <row r="179" spans="1:14" x14ac:dyDescent="0.3">
      <c r="A179" s="5" t="s">
        <v>706</v>
      </c>
      <c r="B179" s="1">
        <v>45887</v>
      </c>
      <c r="C179" s="1">
        <v>45886</v>
      </c>
      <c r="D179" s="4" t="s">
        <v>402</v>
      </c>
      <c r="E179" s="2" t="s">
        <v>264</v>
      </c>
      <c r="F179" s="2" t="s">
        <v>263</v>
      </c>
      <c r="G179" s="2" t="s">
        <v>253</v>
      </c>
      <c r="H179" s="3">
        <v>0</v>
      </c>
      <c r="I179" t="str">
        <f>IFERROR(VLOOKUP(Prestamos[[#This Row],[ID Libro]],Inventario_Libros!A:B,2,0),"Libro No Existe")</f>
        <v>La Iliada</v>
      </c>
      <c r="J179" t="str">
        <f>IFERROR(VLOOKUP(Prestamos[[#This Row],[ID Libro]],Inventario_Libros!A:C,3,0),"Libro No Existe")</f>
        <v>Homero</v>
      </c>
      <c r="K179" t="str">
        <f>IFERROR(VLOOKUP(Prestamos[[#This Row],[ID Libro]],Inventario_Libros!A:D,4,0),"Libro No Existe")</f>
        <v>Clásicos</v>
      </c>
      <c r="L179">
        <f>IFERROR(VLOOKUP(Prestamos[[#This Row],[ID Libro]],Inventario_Libros!A:E,5,0),"Libro No Existe")</f>
        <v>1893</v>
      </c>
      <c r="M179" t="str">
        <f>_xlfn.XLOOKUP(D:D,Inventario_Libros!A:A,Inventario_Libros!G:G,"No Existe",0)</f>
        <v>Est-1</v>
      </c>
      <c r="N179" t="str">
        <f>IFERROR(VLOOKUP(Prestamos[[#This Row],[ID Libro]],Inventario_Libros!A:H,8,0),"Libro No Existe")</f>
        <v>Activo</v>
      </c>
    </row>
    <row r="180" spans="1:14" x14ac:dyDescent="0.3">
      <c r="A180" s="5" t="s">
        <v>707</v>
      </c>
      <c r="B180" s="1">
        <v>45926</v>
      </c>
      <c r="C180" s="1">
        <v>45925</v>
      </c>
      <c r="D180" s="4" t="s">
        <v>433</v>
      </c>
      <c r="E180" s="2" t="s">
        <v>283</v>
      </c>
      <c r="F180" s="2" t="s">
        <v>255</v>
      </c>
      <c r="G180" s="2" t="s">
        <v>279</v>
      </c>
      <c r="H180" s="3" t="s">
        <v>289</v>
      </c>
      <c r="I180" t="str">
        <f>IFERROR(VLOOKUP(Prestamos[[#This Row],[ID Libro]],Inventario_Libros!A:B,2,0),"Libro No Existe")</f>
        <v>Don Quijote De La Mancha</v>
      </c>
      <c r="J180" t="str">
        <f>IFERROR(VLOOKUP(Prestamos[[#This Row],[ID Libro]],Inventario_Libros!A:C,3,0),"Libro No Existe")</f>
        <v>Miguel De Cervantes</v>
      </c>
      <c r="K180" t="str">
        <f>IFERROR(VLOOKUP(Prestamos[[#This Row],[ID Libro]],Inventario_Libros!A:D,4,0),"Libro No Existe")</f>
        <v>Novela</v>
      </c>
      <c r="L180">
        <f>IFERROR(VLOOKUP(Prestamos[[#This Row],[ID Libro]],Inventario_Libros!A:E,5,0),"Libro No Existe")</f>
        <v>1889</v>
      </c>
      <c r="M180" t="str">
        <f>_xlfn.XLOOKUP(D:D,Inventario_Libros!A:A,Inventario_Libros!G:G,"No Existe",0)</f>
        <v>B-2</v>
      </c>
      <c r="N180" t="str">
        <f>IFERROR(VLOOKUP(Prestamos[[#This Row],[ID Libro]],Inventario_Libros!A:H,8,0),"Libro No Existe")</f>
        <v>Activo</v>
      </c>
    </row>
    <row r="181" spans="1:14" x14ac:dyDescent="0.3">
      <c r="A181" s="5" t="s">
        <v>708</v>
      </c>
      <c r="B181" s="1">
        <v>45885</v>
      </c>
      <c r="C181" s="1">
        <v>45885</v>
      </c>
      <c r="D181" s="4" t="s">
        <v>366</v>
      </c>
      <c r="E181" s="2" t="s">
        <v>273</v>
      </c>
      <c r="F181" s="2" t="s">
        <v>255</v>
      </c>
      <c r="G181" s="2" t="s">
        <v>279</v>
      </c>
      <c r="H181" s="3" t="s">
        <v>289</v>
      </c>
      <c r="I181" t="str">
        <f>IFERROR(VLOOKUP(Prestamos[[#This Row],[ID Libro]],Inventario_Libros!A:B,2,0),"Libro No Existe")</f>
        <v>1984</v>
      </c>
      <c r="J181" t="str">
        <f>IFERROR(VLOOKUP(Prestamos[[#This Row],[ID Libro]],Inventario_Libros!A:C,3,0),"Libro No Existe")</f>
        <v>George Orwell</v>
      </c>
      <c r="K181" t="str">
        <f>IFERROR(VLOOKUP(Prestamos[[#This Row],[ID Libro]],Inventario_Libros!A:D,4,0),"Libro No Existe")</f>
        <v>Ciencia Ficción</v>
      </c>
      <c r="L181">
        <f>IFERROR(VLOOKUP(Prestamos[[#This Row],[ID Libro]],Inventario_Libros!A:E,5,0),"Libro No Existe")</f>
        <v>1893</v>
      </c>
      <c r="M181" t="str">
        <f>_xlfn.XLOOKUP(D:D,Inventario_Libros!A:A,Inventario_Libros!G:G,"No Existe",0)</f>
        <v>C-3</v>
      </c>
      <c r="N181" t="str">
        <f>IFERROR(VLOOKUP(Prestamos[[#This Row],[ID Libro]],Inventario_Libros!A:H,8,0),"Libro No Existe")</f>
        <v>Activo</v>
      </c>
    </row>
    <row r="182" spans="1:14" x14ac:dyDescent="0.3">
      <c r="A182" s="5" t="s">
        <v>709</v>
      </c>
      <c r="B182" s="1">
        <v>45921</v>
      </c>
      <c r="C182" s="1" t="s">
        <v>289</v>
      </c>
      <c r="D182" s="4" t="s">
        <v>445</v>
      </c>
      <c r="E182" s="2" t="s">
        <v>260</v>
      </c>
      <c r="F182" s="2" t="s">
        <v>275</v>
      </c>
      <c r="G182" s="2" t="s">
        <v>257</v>
      </c>
      <c r="H182" s="3">
        <v>5</v>
      </c>
      <c r="I182" t="str">
        <f>IFERROR(VLOOKUP(Prestamos[[#This Row],[ID Libro]],Inventario_Libros!A:B,2,0),"Libro No Existe")</f>
        <v>La Casa De Los Espíritus</v>
      </c>
      <c r="J182" t="str">
        <f>IFERROR(VLOOKUP(Prestamos[[#This Row],[ID Libro]],Inventario_Libros!A:C,3,0),"Libro No Existe")</f>
        <v>Isabel Allende</v>
      </c>
      <c r="K182" t="str">
        <f>IFERROR(VLOOKUP(Prestamos[[#This Row],[ID Libro]],Inventario_Libros!A:D,4,0),"Libro No Existe")</f>
        <v>Novela</v>
      </c>
      <c r="L182">
        <f>IFERROR(VLOOKUP(Prestamos[[#This Row],[ID Libro]],Inventario_Libros!A:E,5,0),"Libro No Existe")</f>
        <v>1977</v>
      </c>
      <c r="M182" t="str">
        <f>_xlfn.XLOOKUP(D:D,Inventario_Libros!A:A,Inventario_Libros!G:G,"No Existe",0)</f>
        <v>A-1</v>
      </c>
      <c r="N182" t="str">
        <f>IFERROR(VLOOKUP(Prestamos[[#This Row],[ID Libro]],Inventario_Libros!A:H,8,0),"Libro No Existe")</f>
        <v>Activo</v>
      </c>
    </row>
    <row r="183" spans="1:14" x14ac:dyDescent="0.3">
      <c r="A183" s="5" t="s">
        <v>710</v>
      </c>
      <c r="B183" s="1">
        <v>45886</v>
      </c>
      <c r="C183" s="1">
        <v>45885</v>
      </c>
      <c r="D183" s="4" t="s">
        <v>330</v>
      </c>
      <c r="E183" s="2" t="s">
        <v>259</v>
      </c>
      <c r="F183" s="2" t="s">
        <v>275</v>
      </c>
      <c r="G183" s="2" t="s">
        <v>279</v>
      </c>
      <c r="H183" s="3" t="s">
        <v>289</v>
      </c>
      <c r="I183" t="str">
        <f>IFERROR(VLOOKUP(Prestamos[[#This Row],[ID Libro]],Inventario_Libros!A:B,2,0),"Libro No Existe")</f>
        <v>Matadero Cinco</v>
      </c>
      <c r="J183" t="str">
        <f>IFERROR(VLOOKUP(Prestamos[[#This Row],[ID Libro]],Inventario_Libros!A:C,3,0),"Libro No Existe")</f>
        <v>Kurt Vonnegut</v>
      </c>
      <c r="K183" t="str">
        <f>IFERROR(VLOOKUP(Prestamos[[#This Row],[ID Libro]],Inventario_Libros!A:D,4,0),"Libro No Existe")</f>
        <v>Ciencia Ficción</v>
      </c>
      <c r="L183">
        <f>IFERROR(VLOOKUP(Prestamos[[#This Row],[ID Libro]],Inventario_Libros!A:E,5,0),"Libro No Existe")</f>
        <v>1989</v>
      </c>
      <c r="M183" t="str">
        <f>_xlfn.XLOOKUP(D:D,Inventario_Libros!A:A,Inventario_Libros!G:G,"No Existe",0)</f>
        <v>B-2</v>
      </c>
      <c r="N183" t="str">
        <f>IFERROR(VLOOKUP(Prestamos[[#This Row],[ID Libro]],Inventario_Libros!A:H,8,0),"Libro No Existe")</f>
        <v>Retirado</v>
      </c>
    </row>
    <row r="184" spans="1:14" x14ac:dyDescent="0.3">
      <c r="A184" s="5" t="s">
        <v>711</v>
      </c>
      <c r="B184" s="1">
        <v>45787</v>
      </c>
      <c r="C184" s="1">
        <v>45786</v>
      </c>
      <c r="D184" s="4" t="s">
        <v>332</v>
      </c>
      <c r="E184" s="2" t="s">
        <v>260</v>
      </c>
      <c r="F184" s="2" t="s">
        <v>252</v>
      </c>
      <c r="G184" s="2" t="s">
        <v>253</v>
      </c>
      <c r="H184" s="3">
        <v>0</v>
      </c>
      <c r="I184" t="str">
        <f>IFERROR(VLOOKUP(Prestamos[[#This Row],[ID Libro]],Inventario_Libros!A:B,2,0),"Libro No Existe")</f>
        <v>La Casa De Los Espíritus</v>
      </c>
      <c r="J184" t="str">
        <f>IFERROR(VLOOKUP(Prestamos[[#This Row],[ID Libro]],Inventario_Libros!A:C,3,0),"Libro No Existe")</f>
        <v>Isabel Allende</v>
      </c>
      <c r="K184" t="str">
        <f>IFERROR(VLOOKUP(Prestamos[[#This Row],[ID Libro]],Inventario_Libros!A:D,4,0),"Libro No Existe")</f>
        <v>Novela</v>
      </c>
      <c r="L184">
        <f>IFERROR(VLOOKUP(Prestamos[[#This Row],[ID Libro]],Inventario_Libros!A:E,5,0),"Libro No Existe")</f>
        <v>2023</v>
      </c>
      <c r="M184" t="str">
        <f>_xlfn.XLOOKUP(D:D,Inventario_Libros!A:A,Inventario_Libros!G:G,"No Existe",0)</f>
        <v>B-2</v>
      </c>
      <c r="N184" t="str">
        <f>IFERROR(VLOOKUP(Prestamos[[#This Row],[ID Libro]],Inventario_Libros!A:H,8,0),"Libro No Existe")</f>
        <v>Retirado</v>
      </c>
    </row>
    <row r="185" spans="1:14" x14ac:dyDescent="0.3">
      <c r="A185" s="5" t="s">
        <v>712</v>
      </c>
      <c r="B185" s="1">
        <v>45708</v>
      </c>
      <c r="C185" s="1">
        <v>45707</v>
      </c>
      <c r="D185" s="4" t="s">
        <v>446</v>
      </c>
      <c r="E185" s="2" t="s">
        <v>251</v>
      </c>
      <c r="F185" s="2" t="s">
        <v>258</v>
      </c>
      <c r="G185" s="2" t="s">
        <v>253</v>
      </c>
      <c r="H185" s="3" t="s">
        <v>280</v>
      </c>
      <c r="I185" t="str">
        <f>IFERROR(VLOOKUP(Prestamos[[#This Row],[ID Libro]],Inventario_Libros!A:B,2,0),"Libro No Existe")</f>
        <v>Los Detectives Salvajes</v>
      </c>
      <c r="J185" t="str">
        <f>IFERROR(VLOOKUP(Prestamos[[#This Row],[ID Libro]],Inventario_Libros!A:C,3,0),"Libro No Existe")</f>
        <v>Roberto Bolaño</v>
      </c>
      <c r="K185" t="str">
        <f>IFERROR(VLOOKUP(Prestamos[[#This Row],[ID Libro]],Inventario_Libros!A:D,4,0),"Libro No Existe")</f>
        <v>Novela</v>
      </c>
      <c r="L185">
        <f>IFERROR(VLOOKUP(Prestamos[[#This Row],[ID Libro]],Inventario_Libros!A:E,5,0),"Libro No Existe")</f>
        <v>1899</v>
      </c>
      <c r="M185" t="str">
        <f>_xlfn.XLOOKUP(D:D,Inventario_Libros!A:A,Inventario_Libros!G:G,"No Existe",0)</f>
        <v>A-1</v>
      </c>
      <c r="N185" t="str">
        <f>IFERROR(VLOOKUP(Prestamos[[#This Row],[ID Libro]],Inventario_Libros!A:H,8,0),"Libro No Existe")</f>
        <v>Retirado</v>
      </c>
    </row>
    <row r="186" spans="1:14" x14ac:dyDescent="0.3">
      <c r="A186" s="5" t="s">
        <v>713</v>
      </c>
      <c r="B186" s="1">
        <v>45867</v>
      </c>
      <c r="C186" s="1">
        <v>45887</v>
      </c>
      <c r="D186" s="4" t="s">
        <v>447</v>
      </c>
      <c r="E186" s="2" t="s">
        <v>284</v>
      </c>
      <c r="F186" s="2" t="s">
        <v>263</v>
      </c>
      <c r="G186" s="2" t="s">
        <v>257</v>
      </c>
      <c r="H186" s="3">
        <v>5</v>
      </c>
      <c r="I186" t="str">
        <f>IFERROR(VLOOKUP(Prestamos[[#This Row],[ID Libro]],Inventario_Libros!A:B,2,0),"Libro No Existe")</f>
        <v>La Casa De Los Espíritus</v>
      </c>
      <c r="J186" t="str">
        <f>IFERROR(VLOOKUP(Prestamos[[#This Row],[ID Libro]],Inventario_Libros!A:C,3,0),"Libro No Existe")</f>
        <v>Isabel Allende</v>
      </c>
      <c r="K186" t="str">
        <f>IFERROR(VLOOKUP(Prestamos[[#This Row],[ID Libro]],Inventario_Libros!A:D,4,0),"Libro No Existe")</f>
        <v>Novela</v>
      </c>
      <c r="L186">
        <f>IFERROR(VLOOKUP(Prestamos[[#This Row],[ID Libro]],Inventario_Libros!A:E,5,0),"Libro No Existe")</f>
        <v>2009</v>
      </c>
      <c r="M186" t="str">
        <f>_xlfn.XLOOKUP(D:D,Inventario_Libros!A:A,Inventario_Libros!G:G,"No Existe",0)</f>
        <v>Est-1</v>
      </c>
      <c r="N186" t="str">
        <f>IFERROR(VLOOKUP(Prestamos[[#This Row],[ID Libro]],Inventario_Libros!A:H,8,0),"Libro No Existe")</f>
        <v>Activo</v>
      </c>
    </row>
    <row r="187" spans="1:14" x14ac:dyDescent="0.3">
      <c r="A187" s="5" t="s">
        <v>714</v>
      </c>
      <c r="B187" s="1">
        <v>45839</v>
      </c>
      <c r="C187" s="1">
        <v>45840</v>
      </c>
      <c r="D187" s="4" t="s">
        <v>414</v>
      </c>
      <c r="E187" s="2" t="s">
        <v>278</v>
      </c>
      <c r="F187" s="2" t="s">
        <v>275</v>
      </c>
      <c r="G187" s="2" t="s">
        <v>279</v>
      </c>
      <c r="H187" s="3" t="s">
        <v>289</v>
      </c>
      <c r="I187" t="str">
        <f>IFERROR(VLOOKUP(Prestamos[[#This Row],[ID Libro]],Inventario_Libros!A:B,2,0),"Libro No Existe")</f>
        <v>1984</v>
      </c>
      <c r="J187" t="str">
        <f>IFERROR(VLOOKUP(Prestamos[[#This Row],[ID Libro]],Inventario_Libros!A:C,3,0),"Libro No Existe")</f>
        <v>George Orwell</v>
      </c>
      <c r="K187" t="str">
        <f>IFERROR(VLOOKUP(Prestamos[[#This Row],[ID Libro]],Inventario_Libros!A:D,4,0),"Libro No Existe")</f>
        <v>Ciencia Ficción</v>
      </c>
      <c r="L187">
        <f>IFERROR(VLOOKUP(Prestamos[[#This Row],[ID Libro]],Inventario_Libros!A:E,5,0),"Libro No Existe")</f>
        <v>1898</v>
      </c>
      <c r="M187" t="str">
        <f>_xlfn.XLOOKUP(D:D,Inventario_Libros!A:A,Inventario_Libros!G:G,"No Existe",0)</f>
        <v>B-2</v>
      </c>
      <c r="N187" t="str">
        <f>IFERROR(VLOOKUP(Prestamos[[#This Row],[ID Libro]],Inventario_Libros!A:H,8,0),"Libro No Existe")</f>
        <v>Retirado</v>
      </c>
    </row>
    <row r="188" spans="1:14" x14ac:dyDescent="0.3">
      <c r="A188" s="5" t="s">
        <v>715</v>
      </c>
      <c r="B188" s="1">
        <v>45964</v>
      </c>
      <c r="C188" s="1">
        <v>45965</v>
      </c>
      <c r="D188" s="4" t="s">
        <v>448</v>
      </c>
      <c r="E188" s="2" t="s">
        <v>251</v>
      </c>
      <c r="F188" s="2" t="s">
        <v>258</v>
      </c>
      <c r="G188" s="2" t="s">
        <v>253</v>
      </c>
      <c r="H188" s="3" t="s">
        <v>280</v>
      </c>
      <c r="I188" t="str">
        <f>IFERROR(VLOOKUP(Prestamos[[#This Row],[ID Libro]],Inventario_Libros!A:B,2,0),"Libro No Existe")</f>
        <v>Ficciones</v>
      </c>
      <c r="J188" t="str">
        <f>IFERROR(VLOOKUP(Prestamos[[#This Row],[ID Libro]],Inventario_Libros!A:C,3,0),"Libro No Existe")</f>
        <v>Jorge Luis Borges</v>
      </c>
      <c r="K188" t="str">
        <f>IFERROR(VLOOKUP(Prestamos[[#This Row],[ID Libro]],Inventario_Libros!A:D,4,0),"Libro No Existe")</f>
        <v>Cuentos / Fantasía Metafísica</v>
      </c>
      <c r="L188">
        <f>IFERROR(VLOOKUP(Prestamos[[#This Row],[ID Libro]],Inventario_Libros!A:E,5,0),"Libro No Existe")</f>
        <v>1969</v>
      </c>
      <c r="M188" t="str">
        <f>_xlfn.XLOOKUP(D:D,Inventario_Libros!A:A,Inventario_Libros!G:G,"No Existe",0)</f>
        <v>No Asignado</v>
      </c>
      <c r="N188" t="str">
        <f>IFERROR(VLOOKUP(Prestamos[[#This Row],[ID Libro]],Inventario_Libros!A:H,8,0),"Libro No Existe")</f>
        <v>Activo</v>
      </c>
    </row>
    <row r="189" spans="1:14" x14ac:dyDescent="0.3">
      <c r="A189" s="5" t="s">
        <v>716</v>
      </c>
      <c r="B189" s="1">
        <v>45957</v>
      </c>
      <c r="C189" s="1">
        <v>45975</v>
      </c>
      <c r="D189" s="4" t="s">
        <v>449</v>
      </c>
      <c r="E189" s="2" t="s">
        <v>254</v>
      </c>
      <c r="F189" s="2" t="s">
        <v>255</v>
      </c>
      <c r="G189" s="2" t="s">
        <v>257</v>
      </c>
      <c r="H189" s="3">
        <v>3</v>
      </c>
      <c r="I189" t="str">
        <f>IFERROR(VLOOKUP(Prestamos[[#This Row],[ID Libro]],Inventario_Libros!A:B,2,0),"Libro No Existe")</f>
        <v>Rebelión En La Granja</v>
      </c>
      <c r="J189" t="str">
        <f>IFERROR(VLOOKUP(Prestamos[[#This Row],[ID Libro]],Inventario_Libros!A:C,3,0),"Libro No Existe")</f>
        <v>George Orwell</v>
      </c>
      <c r="K189" t="str">
        <f>IFERROR(VLOOKUP(Prestamos[[#This Row],[ID Libro]],Inventario_Libros!A:D,4,0),"Libro No Existe")</f>
        <v>Ciencia Ficción</v>
      </c>
      <c r="L189">
        <f>IFERROR(VLOOKUP(Prestamos[[#This Row],[ID Libro]],Inventario_Libros!A:E,5,0),"Libro No Existe")</f>
        <v>1886</v>
      </c>
      <c r="M189" t="str">
        <f>_xlfn.XLOOKUP(D:D,Inventario_Libros!A:A,Inventario_Libros!G:G,"No Existe",0)</f>
        <v>Est-1</v>
      </c>
      <c r="N189" t="str">
        <f>IFERROR(VLOOKUP(Prestamos[[#This Row],[ID Libro]],Inventario_Libros!A:H,8,0),"Libro No Existe")</f>
        <v>Retirado</v>
      </c>
    </row>
    <row r="190" spans="1:14" x14ac:dyDescent="0.3">
      <c r="A190" s="5" t="s">
        <v>717</v>
      </c>
      <c r="B190" s="1">
        <v>45931</v>
      </c>
      <c r="C190" s="1">
        <v>45956</v>
      </c>
      <c r="D190" s="4" t="s">
        <v>450</v>
      </c>
      <c r="E190" s="2" t="s">
        <v>259</v>
      </c>
      <c r="F190" s="2" t="s">
        <v>255</v>
      </c>
      <c r="G190" s="2" t="s">
        <v>257</v>
      </c>
      <c r="H190" s="3">
        <v>10</v>
      </c>
      <c r="I190" t="str">
        <f>IFERROR(VLOOKUP(Prestamos[[#This Row],[ID Libro]],Inventario_Libros!A:B,2,0),"Libro No Existe")</f>
        <v>El Código Da Vinci</v>
      </c>
      <c r="J190" t="str">
        <f>IFERROR(VLOOKUP(Prestamos[[#This Row],[ID Libro]],Inventario_Libros!A:C,3,0),"Libro No Existe")</f>
        <v>Dan Brown</v>
      </c>
      <c r="K190" t="str">
        <f>IFERROR(VLOOKUP(Prestamos[[#This Row],[ID Libro]],Inventario_Libros!A:D,4,0),"Libro No Existe")</f>
        <v>Misterio</v>
      </c>
      <c r="L190">
        <f>IFERROR(VLOOKUP(Prestamos[[#This Row],[ID Libro]],Inventario_Libros!A:E,5,0),"Libro No Existe")</f>
        <v>2008</v>
      </c>
      <c r="M190" t="str">
        <f>_xlfn.XLOOKUP(D:D,Inventario_Libros!A:A,Inventario_Libros!G:G,"No Existe",0)</f>
        <v>C-3</v>
      </c>
      <c r="N190" t="str">
        <f>IFERROR(VLOOKUP(Prestamos[[#This Row],[ID Libro]],Inventario_Libros!A:H,8,0),"Libro No Existe")</f>
        <v>Retirado</v>
      </c>
    </row>
    <row r="191" spans="1:14" x14ac:dyDescent="0.3">
      <c r="A191" s="5" t="s">
        <v>718</v>
      </c>
      <c r="B191" s="1">
        <v>45768</v>
      </c>
      <c r="C191" s="1">
        <v>45769</v>
      </c>
      <c r="D191" s="4" t="s">
        <v>372</v>
      </c>
      <c r="E191" s="2" t="s">
        <v>273</v>
      </c>
      <c r="F191" s="2" t="s">
        <v>255</v>
      </c>
      <c r="G191" s="2" t="s">
        <v>279</v>
      </c>
      <c r="H191" s="3" t="s">
        <v>289</v>
      </c>
      <c r="I191" t="str">
        <f>IFERROR(VLOOKUP(Prestamos[[#This Row],[ID Libro]],Inventario_Libros!A:B,2,0),"Libro No Existe")</f>
        <v>Don Quijote De La Mancha</v>
      </c>
      <c r="J191" t="str">
        <f>IFERROR(VLOOKUP(Prestamos[[#This Row],[ID Libro]],Inventario_Libros!A:C,3,0),"Libro No Existe")</f>
        <v>Miguel De Cervantes</v>
      </c>
      <c r="K191" t="str">
        <f>IFERROR(VLOOKUP(Prestamos[[#This Row],[ID Libro]],Inventario_Libros!A:D,4,0),"Libro No Existe")</f>
        <v>Novela</v>
      </c>
      <c r="L191">
        <f>IFERROR(VLOOKUP(Prestamos[[#This Row],[ID Libro]],Inventario_Libros!A:E,5,0),"Libro No Existe")</f>
        <v>1944</v>
      </c>
      <c r="M191" t="str">
        <f>_xlfn.XLOOKUP(D:D,Inventario_Libros!A:A,Inventario_Libros!G:G,"No Existe",0)</f>
        <v>B-2</v>
      </c>
      <c r="N191" t="str">
        <f>IFERROR(VLOOKUP(Prestamos[[#This Row],[ID Libro]],Inventario_Libros!A:H,8,0),"Libro No Existe")</f>
        <v>Activo</v>
      </c>
    </row>
    <row r="192" spans="1:14" x14ac:dyDescent="0.3">
      <c r="A192" s="5" t="s">
        <v>719</v>
      </c>
      <c r="B192" s="1">
        <v>45748</v>
      </c>
      <c r="C192" s="1">
        <v>45768</v>
      </c>
      <c r="D192" s="4" t="s">
        <v>451</v>
      </c>
      <c r="E192" s="2" t="s">
        <v>265</v>
      </c>
      <c r="F192" s="2" t="s">
        <v>263</v>
      </c>
      <c r="G192" s="2" t="s">
        <v>257</v>
      </c>
      <c r="H192" s="3">
        <v>5</v>
      </c>
      <c r="I192" t="str">
        <f>IFERROR(VLOOKUP(Prestamos[[#This Row],[ID Libro]],Inventario_Libros!A:B,2,0),"Libro No Existe")</f>
        <v>Pedro Páramo</v>
      </c>
      <c r="J192" t="str">
        <f>IFERROR(VLOOKUP(Prestamos[[#This Row],[ID Libro]],Inventario_Libros!A:C,3,0),"Libro No Existe")</f>
        <v>Juan Rulfo</v>
      </c>
      <c r="K192" t="str">
        <f>IFERROR(VLOOKUP(Prestamos[[#This Row],[ID Libro]],Inventario_Libros!A:D,4,0),"Libro No Existe")</f>
        <v>Novela</v>
      </c>
      <c r="L192">
        <f>IFERROR(VLOOKUP(Prestamos[[#This Row],[ID Libro]],Inventario_Libros!A:E,5,0),"Libro No Existe")</f>
        <v>1986</v>
      </c>
      <c r="M192" t="str">
        <f>_xlfn.XLOOKUP(D:D,Inventario_Libros!A:A,Inventario_Libros!G:G,"No Existe",0)</f>
        <v>B-2</v>
      </c>
      <c r="N192" t="str">
        <f>IFERROR(VLOOKUP(Prestamos[[#This Row],[ID Libro]],Inventario_Libros!A:H,8,0),"Libro No Existe")</f>
        <v>Activo</v>
      </c>
    </row>
    <row r="193" spans="1:14" x14ac:dyDescent="0.3">
      <c r="A193" s="5" t="s">
        <v>720</v>
      </c>
      <c r="B193" s="1">
        <v>45985</v>
      </c>
      <c r="C193" s="1">
        <v>46001</v>
      </c>
      <c r="D193" s="4" t="s">
        <v>452</v>
      </c>
      <c r="E193" s="2" t="s">
        <v>277</v>
      </c>
      <c r="F193" s="2" t="s">
        <v>252</v>
      </c>
      <c r="G193" s="2" t="s">
        <v>257</v>
      </c>
      <c r="H193" s="3">
        <v>1</v>
      </c>
      <c r="I193" t="str">
        <f>IFERROR(VLOOKUP(Prestamos[[#This Row],[ID Libro]],Inventario_Libros!A:B,2,0),"Libro No Existe")</f>
        <v>La Sombra Del Viento</v>
      </c>
      <c r="J193" t="str">
        <f>IFERROR(VLOOKUP(Prestamos[[#This Row],[ID Libro]],Inventario_Libros!A:C,3,0),"Libro No Existe")</f>
        <v>Carlos Ruiz Zafón</v>
      </c>
      <c r="K193" t="str">
        <f>IFERROR(VLOOKUP(Prestamos[[#This Row],[ID Libro]],Inventario_Libros!A:D,4,0),"Libro No Existe")</f>
        <v>Misterio</v>
      </c>
      <c r="L193">
        <f>IFERROR(VLOOKUP(Prestamos[[#This Row],[ID Libro]],Inventario_Libros!A:E,5,0),"Libro No Existe")</f>
        <v>1906</v>
      </c>
      <c r="M193" t="str">
        <f>_xlfn.XLOOKUP(D:D,Inventario_Libros!A:A,Inventario_Libros!G:G,"No Existe",0)</f>
        <v>A-1</v>
      </c>
      <c r="N193" t="str">
        <f>IFERROR(VLOOKUP(Prestamos[[#This Row],[ID Libro]],Inventario_Libros!A:H,8,0),"Libro No Existe")</f>
        <v>Retirado</v>
      </c>
    </row>
    <row r="194" spans="1:14" x14ac:dyDescent="0.3">
      <c r="A194" s="5" t="s">
        <v>721</v>
      </c>
      <c r="B194" s="1">
        <v>45818</v>
      </c>
      <c r="C194" s="1">
        <v>45819</v>
      </c>
      <c r="D194" s="4" t="s">
        <v>372</v>
      </c>
      <c r="E194" s="2" t="s">
        <v>265</v>
      </c>
      <c r="F194" s="2" t="s">
        <v>263</v>
      </c>
      <c r="G194" s="2" t="s">
        <v>279</v>
      </c>
      <c r="H194" s="3" t="s">
        <v>289</v>
      </c>
      <c r="I194" t="str">
        <f>IFERROR(VLOOKUP(Prestamos[[#This Row],[ID Libro]],Inventario_Libros!A:B,2,0),"Libro No Existe")</f>
        <v>Don Quijote De La Mancha</v>
      </c>
      <c r="J194" t="str">
        <f>IFERROR(VLOOKUP(Prestamos[[#This Row],[ID Libro]],Inventario_Libros!A:C,3,0),"Libro No Existe")</f>
        <v>Miguel De Cervantes</v>
      </c>
      <c r="K194" t="str">
        <f>IFERROR(VLOOKUP(Prestamos[[#This Row],[ID Libro]],Inventario_Libros!A:D,4,0),"Libro No Existe")</f>
        <v>Novela</v>
      </c>
      <c r="L194">
        <f>IFERROR(VLOOKUP(Prestamos[[#This Row],[ID Libro]],Inventario_Libros!A:E,5,0),"Libro No Existe")</f>
        <v>1944</v>
      </c>
      <c r="M194" t="str">
        <f>_xlfn.XLOOKUP(D:D,Inventario_Libros!A:A,Inventario_Libros!G:G,"No Existe",0)</f>
        <v>B-2</v>
      </c>
      <c r="N194" t="str">
        <f>IFERROR(VLOOKUP(Prestamos[[#This Row],[ID Libro]],Inventario_Libros!A:H,8,0),"Libro No Existe")</f>
        <v>Activo</v>
      </c>
    </row>
    <row r="195" spans="1:14" x14ac:dyDescent="0.3">
      <c r="A195" s="5" t="s">
        <v>722</v>
      </c>
      <c r="B195" s="1">
        <v>45665</v>
      </c>
      <c r="C195" s="1">
        <v>45666</v>
      </c>
      <c r="D195" s="4" t="s">
        <v>424</v>
      </c>
      <c r="E195" s="2" t="s">
        <v>272</v>
      </c>
      <c r="F195" s="2" t="s">
        <v>275</v>
      </c>
      <c r="G195" s="2" t="s">
        <v>253</v>
      </c>
      <c r="H195" s="3" t="s">
        <v>280</v>
      </c>
      <c r="I195" t="str">
        <f>IFERROR(VLOOKUP(Prestamos[[#This Row],[ID Libro]],Inventario_Libros!A:B,2,0),"Libro No Existe")</f>
        <v>La Iliada</v>
      </c>
      <c r="J195" t="str">
        <f>IFERROR(VLOOKUP(Prestamos[[#This Row],[ID Libro]],Inventario_Libros!A:C,3,0),"Libro No Existe")</f>
        <v>Homero</v>
      </c>
      <c r="K195" t="str">
        <f>IFERROR(VLOOKUP(Prestamos[[#This Row],[ID Libro]],Inventario_Libros!A:D,4,0),"Libro No Existe")</f>
        <v>Clásicos</v>
      </c>
      <c r="L195">
        <f>IFERROR(VLOOKUP(Prestamos[[#This Row],[ID Libro]],Inventario_Libros!A:E,5,0),"Libro No Existe")</f>
        <v>1947</v>
      </c>
      <c r="M195" t="str">
        <f>_xlfn.XLOOKUP(D:D,Inventario_Libros!A:A,Inventario_Libros!G:G,"No Existe",0)</f>
        <v>A-1</v>
      </c>
      <c r="N195" t="str">
        <f>IFERROR(VLOOKUP(Prestamos[[#This Row],[ID Libro]],Inventario_Libros!A:H,8,0),"Libro No Existe")</f>
        <v>Activo</v>
      </c>
    </row>
    <row r="196" spans="1:14" x14ac:dyDescent="0.3">
      <c r="A196" s="5" t="s">
        <v>723</v>
      </c>
      <c r="B196" s="1">
        <v>45958</v>
      </c>
      <c r="C196" s="1">
        <v>45974</v>
      </c>
      <c r="D196" s="4" t="s">
        <v>444</v>
      </c>
      <c r="E196" s="2" t="s">
        <v>260</v>
      </c>
      <c r="F196" s="2" t="s">
        <v>263</v>
      </c>
      <c r="G196" s="2" t="s">
        <v>257</v>
      </c>
      <c r="H196" s="3">
        <v>1</v>
      </c>
      <c r="I196" t="str">
        <f>IFERROR(VLOOKUP(Prestamos[[#This Row],[ID Libro]],Inventario_Libros!A:B,2,0),"Libro No Existe")</f>
        <v>El Amor En Los Tiempos Del Cólera</v>
      </c>
      <c r="J196" t="str">
        <f>IFERROR(VLOOKUP(Prestamos[[#This Row],[ID Libro]],Inventario_Libros!A:C,3,0),"Libro No Existe")</f>
        <v>Gabriel García Márquez</v>
      </c>
      <c r="K196" t="str">
        <f>IFERROR(VLOOKUP(Prestamos[[#This Row],[ID Libro]],Inventario_Libros!A:D,4,0),"Libro No Existe")</f>
        <v>Novela</v>
      </c>
      <c r="L196">
        <f>IFERROR(VLOOKUP(Prestamos[[#This Row],[ID Libro]],Inventario_Libros!A:E,5,0),"Libro No Existe")</f>
        <v>1979</v>
      </c>
      <c r="M196" t="str">
        <f>_xlfn.XLOOKUP(D:D,Inventario_Libros!A:A,Inventario_Libros!G:G,"No Existe",0)</f>
        <v>B-2</v>
      </c>
      <c r="N196" t="str">
        <f>IFERROR(VLOOKUP(Prestamos[[#This Row],[ID Libro]],Inventario_Libros!A:H,8,0),"Libro No Existe")</f>
        <v>Activo</v>
      </c>
    </row>
    <row r="197" spans="1:14" x14ac:dyDescent="0.3">
      <c r="A197" s="5" t="s">
        <v>724</v>
      </c>
      <c r="B197" s="1">
        <v>45962</v>
      </c>
      <c r="C197" s="1">
        <v>45964</v>
      </c>
      <c r="D197" s="4" t="s">
        <v>453</v>
      </c>
      <c r="E197" s="2" t="s">
        <v>260</v>
      </c>
      <c r="F197" s="2" t="s">
        <v>255</v>
      </c>
      <c r="G197" s="2" t="s">
        <v>279</v>
      </c>
      <c r="H197" s="3" t="s">
        <v>289</v>
      </c>
      <c r="I197" t="str">
        <f>IFERROR(VLOOKUP(Prestamos[[#This Row],[ID Libro]],Inventario_Libros!A:B,2,0),"Libro No Existe")</f>
        <v>Crónica De Una Muerte Anunciada</v>
      </c>
      <c r="J197" t="str">
        <f>IFERROR(VLOOKUP(Prestamos[[#This Row],[ID Libro]],Inventario_Libros!A:C,3,0),"Libro No Existe")</f>
        <v>Gabriel García Márquez</v>
      </c>
      <c r="K197" t="str">
        <f>IFERROR(VLOOKUP(Prestamos[[#This Row],[ID Libro]],Inventario_Libros!A:D,4,0),"Libro No Existe")</f>
        <v>Novela</v>
      </c>
      <c r="L197">
        <f>IFERROR(VLOOKUP(Prestamos[[#This Row],[ID Libro]],Inventario_Libros!A:E,5,0),"Libro No Existe")</f>
        <v>1884</v>
      </c>
      <c r="M197" t="str">
        <f>_xlfn.XLOOKUP(D:D,Inventario_Libros!A:A,Inventario_Libros!G:G,"No Existe",0)</f>
        <v>B-2</v>
      </c>
      <c r="N197" t="str">
        <f>IFERROR(VLOOKUP(Prestamos[[#This Row],[ID Libro]],Inventario_Libros!A:H,8,0),"Libro No Existe")</f>
        <v>Retirado</v>
      </c>
    </row>
    <row r="198" spans="1:14" x14ac:dyDescent="0.3">
      <c r="A198" s="5" t="s">
        <v>725</v>
      </c>
      <c r="B198" s="1">
        <v>45718</v>
      </c>
      <c r="C198" s="1">
        <v>45720</v>
      </c>
      <c r="D198" s="4" t="s">
        <v>412</v>
      </c>
      <c r="E198" s="2" t="s">
        <v>266</v>
      </c>
      <c r="F198" s="2" t="s">
        <v>263</v>
      </c>
      <c r="G198" s="2" t="s">
        <v>253</v>
      </c>
      <c r="H198" s="3">
        <v>0</v>
      </c>
      <c r="I198" t="str">
        <f>IFERROR(VLOOKUP(Prestamos[[#This Row],[ID Libro]],Inventario_Libros!A:B,2,0),"Libro No Existe")</f>
        <v>El Aleph</v>
      </c>
      <c r="J198" t="str">
        <f>IFERROR(VLOOKUP(Prestamos[[#This Row],[ID Libro]],Inventario_Libros!A:C,3,0),"Libro No Existe")</f>
        <v>Jorge Luis Borges</v>
      </c>
      <c r="K198" t="str">
        <f>IFERROR(VLOOKUP(Prestamos[[#This Row],[ID Libro]],Inventario_Libros!A:D,4,0),"Libro No Existe")</f>
        <v>Cuentos / Fantasía Metafísica</v>
      </c>
      <c r="L198">
        <f>IFERROR(VLOOKUP(Prestamos[[#This Row],[ID Libro]],Inventario_Libros!A:E,5,0),"Libro No Existe")</f>
        <v>1903</v>
      </c>
      <c r="M198" t="str">
        <f>_xlfn.XLOOKUP(D:D,Inventario_Libros!A:A,Inventario_Libros!G:G,"No Existe",0)</f>
        <v>A-1</v>
      </c>
      <c r="N198" t="str">
        <f>IFERROR(VLOOKUP(Prestamos[[#This Row],[ID Libro]],Inventario_Libros!A:H,8,0),"Libro No Existe")</f>
        <v>Retirado</v>
      </c>
    </row>
    <row r="199" spans="1:14" x14ac:dyDescent="0.3">
      <c r="A199" s="5" t="s">
        <v>726</v>
      </c>
      <c r="B199" s="1">
        <v>45874</v>
      </c>
      <c r="C199" s="1">
        <v>45891</v>
      </c>
      <c r="D199" s="4" t="s">
        <v>454</v>
      </c>
      <c r="E199" s="2" t="s">
        <v>265</v>
      </c>
      <c r="F199" s="2" t="s">
        <v>263</v>
      </c>
      <c r="G199" s="2" t="s">
        <v>257</v>
      </c>
      <c r="H199" s="3">
        <v>2</v>
      </c>
      <c r="I199" t="str">
        <f>IFERROR(VLOOKUP(Prestamos[[#This Row],[ID Libro]],Inventario_Libros!A:B,2,0),"Libro No Existe")</f>
        <v>Libro No Existe</v>
      </c>
      <c r="J199" t="str">
        <f>IFERROR(VLOOKUP(Prestamos[[#This Row],[ID Libro]],Inventario_Libros!A:C,3,0),"Libro No Existe")</f>
        <v>Libro No Existe</v>
      </c>
      <c r="K199" t="str">
        <f>IFERROR(VLOOKUP(Prestamos[[#This Row],[ID Libro]],Inventario_Libros!A:D,4,0),"Libro No Existe")</f>
        <v>Libro No Existe</v>
      </c>
      <c r="L199" t="str">
        <f>IFERROR(VLOOKUP(Prestamos[[#This Row],[ID Libro]],Inventario_Libros!A:E,5,0),"Libro No Existe")</f>
        <v>Libro No Existe</v>
      </c>
      <c r="M199" t="str">
        <f>_xlfn.XLOOKUP(D:D,Inventario_Libros!A:A,Inventario_Libros!G:G,"No Existe",0)</f>
        <v>No Existe</v>
      </c>
      <c r="N199" t="str">
        <f>IFERROR(VLOOKUP(Prestamos[[#This Row],[ID Libro]],Inventario_Libros!A:H,8,0),"Libro No Existe")</f>
        <v>Libro No Existe</v>
      </c>
    </row>
    <row r="200" spans="1:14" x14ac:dyDescent="0.3">
      <c r="A200" s="5" t="s">
        <v>727</v>
      </c>
      <c r="B200" s="1">
        <v>45960</v>
      </c>
      <c r="C200" s="1">
        <v>45962</v>
      </c>
      <c r="D200" s="4" t="s">
        <v>455</v>
      </c>
      <c r="E200" s="2" t="s">
        <v>256</v>
      </c>
      <c r="F200" s="2" t="s">
        <v>263</v>
      </c>
      <c r="G200" s="2" t="s">
        <v>279</v>
      </c>
      <c r="H200" s="3" t="s">
        <v>289</v>
      </c>
      <c r="I200" t="str">
        <f>IFERROR(VLOOKUP(Prestamos[[#This Row],[ID Libro]],Inventario_Libros!A:B,2,0),"Libro No Existe")</f>
        <v>Orgullo Y Prejuicio</v>
      </c>
      <c r="J200" t="str">
        <f>IFERROR(VLOOKUP(Prestamos[[#This Row],[ID Libro]],Inventario_Libros!A:C,3,0),"Libro No Existe")</f>
        <v>Jane Austen</v>
      </c>
      <c r="K200" t="str">
        <f>IFERROR(VLOOKUP(Prestamos[[#This Row],[ID Libro]],Inventario_Libros!A:D,4,0),"Libro No Existe")</f>
        <v>Novela</v>
      </c>
      <c r="L200">
        <f>IFERROR(VLOOKUP(Prestamos[[#This Row],[ID Libro]],Inventario_Libros!A:E,5,0),"Libro No Existe")</f>
        <v>1951</v>
      </c>
      <c r="M200" t="str">
        <f>_xlfn.XLOOKUP(D:D,Inventario_Libros!A:A,Inventario_Libros!G:G,"No Existe",0)</f>
        <v>Est-1</v>
      </c>
      <c r="N200" t="str">
        <f>IFERROR(VLOOKUP(Prestamos[[#This Row],[ID Libro]],Inventario_Libros!A:H,8,0),"Libro No Existe")</f>
        <v>Retirado</v>
      </c>
    </row>
    <row r="201" spans="1:14" x14ac:dyDescent="0.3">
      <c r="A201" s="5" t="s">
        <v>728</v>
      </c>
      <c r="B201" s="1">
        <v>45667</v>
      </c>
      <c r="C201" s="1">
        <v>45669</v>
      </c>
      <c r="D201" s="4" t="s">
        <v>354</v>
      </c>
      <c r="E201" s="2" t="s">
        <v>271</v>
      </c>
      <c r="F201" s="2" t="s">
        <v>263</v>
      </c>
      <c r="G201" s="2" t="s">
        <v>253</v>
      </c>
      <c r="H201" s="3">
        <v>0</v>
      </c>
      <c r="I201" t="str">
        <f>IFERROR(VLOOKUP(Prestamos[[#This Row],[ID Libro]],Inventario_Libros!A:B,2,0),"Libro No Existe")</f>
        <v>La Sombra Del Viento</v>
      </c>
      <c r="J201" t="str">
        <f>IFERROR(VLOOKUP(Prestamos[[#This Row],[ID Libro]],Inventario_Libros!A:C,3,0),"Libro No Existe")</f>
        <v>Carlos Ruiz Zafón</v>
      </c>
      <c r="K201" t="str">
        <f>IFERROR(VLOOKUP(Prestamos[[#This Row],[ID Libro]],Inventario_Libros!A:D,4,0),"Libro No Existe")</f>
        <v>Misterio</v>
      </c>
      <c r="L201">
        <f>IFERROR(VLOOKUP(Prestamos[[#This Row],[ID Libro]],Inventario_Libros!A:E,5,0),"Libro No Existe")</f>
        <v>2022</v>
      </c>
      <c r="M201" t="str">
        <f>_xlfn.XLOOKUP(D:D,Inventario_Libros!A:A,Inventario_Libros!G:G,"No Existe",0)</f>
        <v>Est-1</v>
      </c>
      <c r="N201" t="str">
        <f>IFERROR(VLOOKUP(Prestamos[[#This Row],[ID Libro]],Inventario_Libros!A:H,8,0),"Libro No Existe")</f>
        <v>Activo</v>
      </c>
    </row>
    <row r="202" spans="1:14" x14ac:dyDescent="0.3">
      <c r="A202" s="5" t="s">
        <v>729</v>
      </c>
      <c r="B202" s="1">
        <v>45689</v>
      </c>
      <c r="C202" s="1">
        <v>45709</v>
      </c>
      <c r="D202" s="4" t="s">
        <v>320</v>
      </c>
      <c r="E202" s="2" t="s">
        <v>278</v>
      </c>
      <c r="F202" s="2" t="s">
        <v>258</v>
      </c>
      <c r="G202" s="2" t="s">
        <v>257</v>
      </c>
      <c r="H202" s="3">
        <v>5</v>
      </c>
      <c r="I202" t="str">
        <f>IFERROR(VLOOKUP(Prestamos[[#This Row],[ID Libro]],Inventario_Libros!A:B,2,0),"Libro No Existe")</f>
        <v>Matadero Cinco</v>
      </c>
      <c r="J202" t="str">
        <f>IFERROR(VLOOKUP(Prestamos[[#This Row],[ID Libro]],Inventario_Libros!A:C,3,0),"Libro No Existe")</f>
        <v>Kurt Vonnegut</v>
      </c>
      <c r="K202" t="str">
        <f>IFERROR(VLOOKUP(Prestamos[[#This Row],[ID Libro]],Inventario_Libros!A:D,4,0),"Libro No Existe")</f>
        <v>Ciencia Ficción</v>
      </c>
      <c r="L202">
        <f>IFERROR(VLOOKUP(Prestamos[[#This Row],[ID Libro]],Inventario_Libros!A:E,5,0),"Libro No Existe")</f>
        <v>1984</v>
      </c>
      <c r="M202" t="str">
        <f>_xlfn.XLOOKUP(D:D,Inventario_Libros!A:A,Inventario_Libros!G:G,"No Existe",0)</f>
        <v>A-1</v>
      </c>
      <c r="N202" t="str">
        <f>IFERROR(VLOOKUP(Prestamos[[#This Row],[ID Libro]],Inventario_Libros!A:H,8,0),"Libro No Existe")</f>
        <v>Retirado</v>
      </c>
    </row>
    <row r="203" spans="1:14" x14ac:dyDescent="0.3">
      <c r="A203" s="5" t="s">
        <v>730</v>
      </c>
      <c r="B203" s="1">
        <v>45931</v>
      </c>
      <c r="C203" s="1">
        <v>45951</v>
      </c>
      <c r="D203" s="4" t="s">
        <v>456</v>
      </c>
      <c r="E203" s="2" t="s">
        <v>273</v>
      </c>
      <c r="F203" s="2" t="s">
        <v>275</v>
      </c>
      <c r="G203" s="2" t="s">
        <v>257</v>
      </c>
      <c r="H203" s="3">
        <v>5</v>
      </c>
      <c r="I203" t="str">
        <f>IFERROR(VLOOKUP(Prestamos[[#This Row],[ID Libro]],Inventario_Libros!A:B,2,0),"Libro No Existe")</f>
        <v>Libro No Existe</v>
      </c>
      <c r="J203" t="str">
        <f>IFERROR(VLOOKUP(Prestamos[[#This Row],[ID Libro]],Inventario_Libros!A:C,3,0),"Libro No Existe")</f>
        <v>Libro No Existe</v>
      </c>
      <c r="K203" t="str">
        <f>IFERROR(VLOOKUP(Prestamos[[#This Row],[ID Libro]],Inventario_Libros!A:D,4,0),"Libro No Existe")</f>
        <v>Libro No Existe</v>
      </c>
      <c r="L203" t="str">
        <f>IFERROR(VLOOKUP(Prestamos[[#This Row],[ID Libro]],Inventario_Libros!A:E,5,0),"Libro No Existe")</f>
        <v>Libro No Existe</v>
      </c>
      <c r="M203" t="str">
        <f>_xlfn.XLOOKUP(D:D,Inventario_Libros!A:A,Inventario_Libros!G:G,"No Existe",0)</f>
        <v>No Existe</v>
      </c>
      <c r="N203" t="str">
        <f>IFERROR(VLOOKUP(Prestamos[[#This Row],[ID Libro]],Inventario_Libros!A:H,8,0),"Libro No Existe")</f>
        <v>Libro No Existe</v>
      </c>
    </row>
    <row r="204" spans="1:14" x14ac:dyDescent="0.3">
      <c r="A204" s="5" t="s">
        <v>731</v>
      </c>
      <c r="B204" s="1">
        <v>45835</v>
      </c>
      <c r="C204" s="1">
        <v>45837</v>
      </c>
      <c r="D204" s="4" t="s">
        <v>420</v>
      </c>
      <c r="E204" s="2" t="s">
        <v>278</v>
      </c>
      <c r="F204" s="2" t="s">
        <v>263</v>
      </c>
      <c r="G204" s="2" t="s">
        <v>253</v>
      </c>
      <c r="H204" s="3" t="s">
        <v>280</v>
      </c>
      <c r="I204" t="str">
        <f>IFERROR(VLOOKUP(Prestamos[[#This Row],[ID Libro]],Inventario_Libros!A:B,2,0),"Libro No Existe")</f>
        <v>La Ciudad Y Los Perros</v>
      </c>
      <c r="J204" t="str">
        <f>IFERROR(VLOOKUP(Prestamos[[#This Row],[ID Libro]],Inventario_Libros!A:C,3,0),"Libro No Existe")</f>
        <v>Mario Vargas Llosa</v>
      </c>
      <c r="K204" t="str">
        <f>IFERROR(VLOOKUP(Prestamos[[#This Row],[ID Libro]],Inventario_Libros!A:D,4,0),"Libro No Existe")</f>
        <v>Novela</v>
      </c>
      <c r="L204">
        <f>IFERROR(VLOOKUP(Prestamos[[#This Row],[ID Libro]],Inventario_Libros!A:E,5,0),"Libro No Existe")</f>
        <v>1896</v>
      </c>
      <c r="M204" t="str">
        <f>_xlfn.XLOOKUP(D:D,Inventario_Libros!A:A,Inventario_Libros!G:G,"No Existe",0)</f>
        <v>Est-1</v>
      </c>
      <c r="N204" t="str">
        <f>IFERROR(VLOOKUP(Prestamos[[#This Row],[ID Libro]],Inventario_Libros!A:H,8,0),"Libro No Existe")</f>
        <v>Activo</v>
      </c>
    </row>
    <row r="205" spans="1:14" x14ac:dyDescent="0.3">
      <c r="A205" s="5" t="s">
        <v>732</v>
      </c>
      <c r="B205" s="1">
        <v>45794</v>
      </c>
      <c r="C205" s="1">
        <v>45814</v>
      </c>
      <c r="D205" s="4" t="s">
        <v>457</v>
      </c>
      <c r="E205" s="2" t="s">
        <v>259</v>
      </c>
      <c r="F205" s="2" t="s">
        <v>255</v>
      </c>
      <c r="G205" s="2" t="s">
        <v>257</v>
      </c>
      <c r="H205" s="3">
        <v>5</v>
      </c>
      <c r="I205" t="str">
        <f>IFERROR(VLOOKUP(Prestamos[[#This Row],[ID Libro]],Inventario_Libros!A:B,2,0),"Libro No Existe")</f>
        <v>Sobre La Felicidad</v>
      </c>
      <c r="J205" t="str">
        <f>IFERROR(VLOOKUP(Prestamos[[#This Row],[ID Libro]],Inventario_Libros!A:C,3,0),"Libro No Existe")</f>
        <v>Lucio Anneo Séneca</v>
      </c>
      <c r="K205" t="str">
        <f>IFERROR(VLOOKUP(Prestamos[[#This Row],[ID Libro]],Inventario_Libros!A:D,4,0),"Libro No Existe")</f>
        <v>Filosofía Y Pensamiento</v>
      </c>
      <c r="L205">
        <f>IFERROR(VLOOKUP(Prestamos[[#This Row],[ID Libro]],Inventario_Libros!A:E,5,0),"Libro No Existe")</f>
        <v>1895</v>
      </c>
      <c r="M205" t="str">
        <f>_xlfn.XLOOKUP(D:D,Inventario_Libros!A:A,Inventario_Libros!G:G,"No Existe",0)</f>
        <v>A-1</v>
      </c>
      <c r="N205" t="str">
        <f>IFERROR(VLOOKUP(Prestamos[[#This Row],[ID Libro]],Inventario_Libros!A:H,8,0),"Libro No Existe")</f>
        <v>Retirado</v>
      </c>
    </row>
    <row r="206" spans="1:14" x14ac:dyDescent="0.3">
      <c r="A206" s="5" t="s">
        <v>733</v>
      </c>
      <c r="B206" s="1">
        <v>45679</v>
      </c>
      <c r="C206" s="1">
        <v>45681</v>
      </c>
      <c r="D206" s="4" t="s">
        <v>328</v>
      </c>
      <c r="E206" s="2" t="s">
        <v>261</v>
      </c>
      <c r="F206" s="2" t="s">
        <v>258</v>
      </c>
      <c r="G206" s="2" t="s">
        <v>279</v>
      </c>
      <c r="H206" s="3" t="s">
        <v>289</v>
      </c>
      <c r="I206" t="str">
        <f>IFERROR(VLOOKUP(Prestamos[[#This Row],[ID Libro]],Inventario_Libros!A:B,2,0),"Libro No Existe")</f>
        <v>Rebelión En La Granja</v>
      </c>
      <c r="J206" t="str">
        <f>IFERROR(VLOOKUP(Prestamos[[#This Row],[ID Libro]],Inventario_Libros!A:C,3,0),"Libro No Existe")</f>
        <v>George Orwell</v>
      </c>
      <c r="K206" t="str">
        <f>IFERROR(VLOOKUP(Prestamos[[#This Row],[ID Libro]],Inventario_Libros!A:D,4,0),"Libro No Existe")</f>
        <v>Ciencia Ficción</v>
      </c>
      <c r="L206">
        <f>IFERROR(VLOOKUP(Prestamos[[#This Row],[ID Libro]],Inventario_Libros!A:E,5,0),"Libro No Existe")</f>
        <v>1996</v>
      </c>
      <c r="M206" t="str">
        <f>_xlfn.XLOOKUP(D:D,Inventario_Libros!A:A,Inventario_Libros!G:G,"No Existe",0)</f>
        <v>C-3</v>
      </c>
      <c r="N206" t="str">
        <f>IFERROR(VLOOKUP(Prestamos[[#This Row],[ID Libro]],Inventario_Libros!A:H,8,0),"Libro No Existe")</f>
        <v>Retirado</v>
      </c>
    </row>
    <row r="207" spans="1:14" x14ac:dyDescent="0.3">
      <c r="A207" s="5" t="s">
        <v>734</v>
      </c>
      <c r="B207" s="1">
        <v>45925</v>
      </c>
      <c r="C207" s="1">
        <v>45927</v>
      </c>
      <c r="D207" s="4" t="s">
        <v>458</v>
      </c>
      <c r="E207" s="2" t="s">
        <v>262</v>
      </c>
      <c r="F207" s="2" t="s">
        <v>252</v>
      </c>
      <c r="G207" s="2" t="s">
        <v>253</v>
      </c>
      <c r="H207" s="3">
        <v>0</v>
      </c>
      <c r="I207" t="str">
        <f>IFERROR(VLOOKUP(Prestamos[[#This Row],[ID Libro]],Inventario_Libros!A:B,2,0),"Libro No Existe")</f>
        <v>Don Quijote De La Mancha</v>
      </c>
      <c r="J207" t="str">
        <f>IFERROR(VLOOKUP(Prestamos[[#This Row],[ID Libro]],Inventario_Libros!A:C,3,0),"Libro No Existe")</f>
        <v>Miguel De Cervantes</v>
      </c>
      <c r="K207" t="str">
        <f>IFERROR(VLOOKUP(Prestamos[[#This Row],[ID Libro]],Inventario_Libros!A:D,4,0),"Libro No Existe")</f>
        <v>Novela</v>
      </c>
      <c r="L207">
        <f>IFERROR(VLOOKUP(Prestamos[[#This Row],[ID Libro]],Inventario_Libros!A:E,5,0),"Libro No Existe")</f>
        <v>1933</v>
      </c>
      <c r="M207" t="str">
        <f>_xlfn.XLOOKUP(D:D,Inventario_Libros!A:A,Inventario_Libros!G:G,"No Existe",0)</f>
        <v>B-2</v>
      </c>
      <c r="N207" t="str">
        <f>IFERROR(VLOOKUP(Prestamos[[#This Row],[ID Libro]],Inventario_Libros!A:H,8,0),"Libro No Existe")</f>
        <v>Retirado</v>
      </c>
    </row>
    <row r="208" spans="1:14" x14ac:dyDescent="0.3">
      <c r="A208" s="5" t="s">
        <v>735</v>
      </c>
      <c r="B208" s="1">
        <v>45905</v>
      </c>
      <c r="C208" s="1">
        <v>45930</v>
      </c>
      <c r="D208" s="4" t="s">
        <v>326</v>
      </c>
      <c r="E208" s="2" t="s">
        <v>277</v>
      </c>
      <c r="F208" s="2" t="s">
        <v>258</v>
      </c>
      <c r="G208" s="2" t="s">
        <v>257</v>
      </c>
      <c r="H208" s="3">
        <v>10</v>
      </c>
      <c r="I208" t="str">
        <f>IFERROR(VLOOKUP(Prestamos[[#This Row],[ID Libro]],Inventario_Libros!A:B,2,0),"Libro No Existe")</f>
        <v>Orgullo Y Prejuicio</v>
      </c>
      <c r="J208" t="str">
        <f>IFERROR(VLOOKUP(Prestamos[[#This Row],[ID Libro]],Inventario_Libros!A:C,3,0),"Libro No Existe")</f>
        <v>Jane Austen</v>
      </c>
      <c r="K208" t="str">
        <f>IFERROR(VLOOKUP(Prestamos[[#This Row],[ID Libro]],Inventario_Libros!A:D,4,0),"Libro No Existe")</f>
        <v>Novela</v>
      </c>
      <c r="L208">
        <f>IFERROR(VLOOKUP(Prestamos[[#This Row],[ID Libro]],Inventario_Libros!A:E,5,0),"Libro No Existe")</f>
        <v>2013</v>
      </c>
      <c r="M208" t="str">
        <f>_xlfn.XLOOKUP(D:D,Inventario_Libros!A:A,Inventario_Libros!G:G,"No Existe",0)</f>
        <v>Est-1</v>
      </c>
      <c r="N208" t="str">
        <f>IFERROR(VLOOKUP(Prestamos[[#This Row],[ID Libro]],Inventario_Libros!A:H,8,0),"Libro No Existe")</f>
        <v>Activo</v>
      </c>
    </row>
    <row r="209" spans="1:14" x14ac:dyDescent="0.3">
      <c r="A209" s="5" t="s">
        <v>736</v>
      </c>
      <c r="B209" s="1">
        <v>45798</v>
      </c>
      <c r="C209" s="1">
        <v>45801</v>
      </c>
      <c r="D209" s="4" t="s">
        <v>459</v>
      </c>
      <c r="E209" s="2" t="s">
        <v>251</v>
      </c>
      <c r="F209" s="2" t="s">
        <v>255</v>
      </c>
      <c r="G209" s="2" t="s">
        <v>253</v>
      </c>
      <c r="H209" s="3">
        <v>0</v>
      </c>
      <c r="I209" t="str">
        <f>IFERROR(VLOOKUP(Prestamos[[#This Row],[ID Libro]],Inventario_Libros!A:B,2,0),"Libro No Existe")</f>
        <v>Sobre La Felicidad</v>
      </c>
      <c r="J209" t="str">
        <f>IFERROR(VLOOKUP(Prestamos[[#This Row],[ID Libro]],Inventario_Libros!A:C,3,0),"Libro No Existe")</f>
        <v>Lucio Anneo Séneca</v>
      </c>
      <c r="K209" t="str">
        <f>IFERROR(VLOOKUP(Prestamos[[#This Row],[ID Libro]],Inventario_Libros!A:D,4,0),"Libro No Existe")</f>
        <v>Filosofía Y Pensamiento</v>
      </c>
      <c r="L209">
        <f>IFERROR(VLOOKUP(Prestamos[[#This Row],[ID Libro]],Inventario_Libros!A:E,5,0),"Libro No Existe")</f>
        <v>1919</v>
      </c>
      <c r="M209" t="str">
        <f>_xlfn.XLOOKUP(D:D,Inventario_Libros!A:A,Inventario_Libros!G:G,"No Existe",0)</f>
        <v>A-1</v>
      </c>
      <c r="N209" t="str">
        <f>IFERROR(VLOOKUP(Prestamos[[#This Row],[ID Libro]],Inventario_Libros!A:H,8,0),"Libro No Existe")</f>
        <v>Retirado</v>
      </c>
    </row>
    <row r="210" spans="1:14" x14ac:dyDescent="0.3">
      <c r="A210" s="5" t="s">
        <v>737</v>
      </c>
      <c r="B210" s="1">
        <v>45713</v>
      </c>
      <c r="C210" s="1">
        <v>45716</v>
      </c>
      <c r="D210" s="4" t="s">
        <v>396</v>
      </c>
      <c r="E210" s="2" t="s">
        <v>266</v>
      </c>
      <c r="F210" s="2" t="s">
        <v>275</v>
      </c>
      <c r="G210" s="2" t="s">
        <v>253</v>
      </c>
      <c r="H210" s="3" t="s">
        <v>280</v>
      </c>
      <c r="I210" t="str">
        <f>IFERROR(VLOOKUP(Prestamos[[#This Row],[ID Libro]],Inventario_Libros!A:B,2,0),"Libro No Existe")</f>
        <v>Breve Historia Del Tiempo</v>
      </c>
      <c r="J210" t="str">
        <f>IFERROR(VLOOKUP(Prestamos[[#This Row],[ID Libro]],Inventario_Libros!A:C,3,0),"Libro No Existe")</f>
        <v>Stephen Hawking</v>
      </c>
      <c r="K210" t="str">
        <f>IFERROR(VLOOKUP(Prestamos[[#This Row],[ID Libro]],Inventario_Libros!A:D,4,0),"Libro No Existe")</f>
        <v>Divulgación Científica / Cosmología</v>
      </c>
      <c r="L210">
        <f>IFERROR(VLOOKUP(Prestamos[[#This Row],[ID Libro]],Inventario_Libros!A:E,5,0),"Libro No Existe")</f>
        <v>1909</v>
      </c>
      <c r="M210" t="str">
        <f>_xlfn.XLOOKUP(D:D,Inventario_Libros!A:A,Inventario_Libros!G:G,"No Existe",0)</f>
        <v>A-1</v>
      </c>
      <c r="N210" t="str">
        <f>IFERROR(VLOOKUP(Prestamos[[#This Row],[ID Libro]],Inventario_Libros!A:H,8,0),"Libro No Existe")</f>
        <v>Activo</v>
      </c>
    </row>
    <row r="211" spans="1:14" x14ac:dyDescent="0.3">
      <c r="A211" s="5" t="s">
        <v>738</v>
      </c>
      <c r="B211" s="1">
        <v>45752</v>
      </c>
      <c r="C211" s="1">
        <v>45755</v>
      </c>
      <c r="D211" s="4" t="s">
        <v>380</v>
      </c>
      <c r="E211" s="2" t="s">
        <v>251</v>
      </c>
      <c r="F211" s="2" t="s">
        <v>275</v>
      </c>
      <c r="G211" s="2" t="s">
        <v>253</v>
      </c>
      <c r="H211" s="3">
        <v>0</v>
      </c>
      <c r="I211" t="str">
        <f>IFERROR(VLOOKUP(Prestamos[[#This Row],[ID Libro]],Inventario_Libros!A:B,2,0),"Libro No Existe")</f>
        <v>El Amor En Los Tiempos Del Cólera</v>
      </c>
      <c r="J211" t="str">
        <f>IFERROR(VLOOKUP(Prestamos[[#This Row],[ID Libro]],Inventario_Libros!A:C,3,0),"Libro No Existe")</f>
        <v>Gabriel García Márquez</v>
      </c>
      <c r="K211" t="str">
        <f>IFERROR(VLOOKUP(Prestamos[[#This Row],[ID Libro]],Inventario_Libros!A:D,4,0),"Libro No Existe")</f>
        <v>Novela</v>
      </c>
      <c r="L211">
        <f>IFERROR(VLOOKUP(Prestamos[[#This Row],[ID Libro]],Inventario_Libros!A:E,5,0),"Libro No Existe")</f>
        <v>1991</v>
      </c>
      <c r="M211" t="str">
        <f>_xlfn.XLOOKUP(D:D,Inventario_Libros!A:A,Inventario_Libros!G:G,"No Existe",0)</f>
        <v>C-3</v>
      </c>
      <c r="N211" t="str">
        <f>IFERROR(VLOOKUP(Prestamos[[#This Row],[ID Libro]],Inventario_Libros!A:H,8,0),"Libro No Existe")</f>
        <v>Activo</v>
      </c>
    </row>
    <row r="212" spans="1:14" x14ac:dyDescent="0.3">
      <c r="A212" s="5" t="s">
        <v>739</v>
      </c>
      <c r="B212" s="1">
        <v>45714</v>
      </c>
      <c r="C212" s="1">
        <v>45717</v>
      </c>
      <c r="D212" s="4" t="s">
        <v>359</v>
      </c>
      <c r="E212" s="2" t="s">
        <v>266</v>
      </c>
      <c r="F212" s="2" t="s">
        <v>252</v>
      </c>
      <c r="G212" s="2" t="s">
        <v>279</v>
      </c>
      <c r="H212" s="3" t="s">
        <v>289</v>
      </c>
      <c r="I212" t="str">
        <f>IFERROR(VLOOKUP(Prestamos[[#This Row],[ID Libro]],Inventario_Libros!A:B,2,0),"Libro No Existe")</f>
        <v>Pedro Páramo</v>
      </c>
      <c r="J212" t="str">
        <f>IFERROR(VLOOKUP(Prestamos[[#This Row],[ID Libro]],Inventario_Libros!A:C,3,0),"Libro No Existe")</f>
        <v>Juan Rulfo</v>
      </c>
      <c r="K212" t="str">
        <f>IFERROR(VLOOKUP(Prestamos[[#This Row],[ID Libro]],Inventario_Libros!A:D,4,0),"Libro No Existe")</f>
        <v>Novela</v>
      </c>
      <c r="L212">
        <f>IFERROR(VLOOKUP(Prestamos[[#This Row],[ID Libro]],Inventario_Libros!A:E,5,0),"Libro No Existe")</f>
        <v>1920</v>
      </c>
      <c r="M212" t="str">
        <f>_xlfn.XLOOKUP(D:D,Inventario_Libros!A:A,Inventario_Libros!G:G,"No Existe",0)</f>
        <v>No Asignado</v>
      </c>
      <c r="N212" t="str">
        <f>IFERROR(VLOOKUP(Prestamos[[#This Row],[ID Libro]],Inventario_Libros!A:H,8,0),"Libro No Existe")</f>
        <v>Retirado</v>
      </c>
    </row>
    <row r="213" spans="1:14" x14ac:dyDescent="0.3">
      <c r="A213" s="5" t="s">
        <v>740</v>
      </c>
      <c r="B213" s="1">
        <v>45711</v>
      </c>
      <c r="C213" s="1">
        <v>45714</v>
      </c>
      <c r="D213" s="4" t="s">
        <v>460</v>
      </c>
      <c r="E213" s="2" t="s">
        <v>278</v>
      </c>
      <c r="F213" s="2" t="s">
        <v>252</v>
      </c>
      <c r="G213" s="2" t="s">
        <v>253</v>
      </c>
      <c r="H213" s="3">
        <v>1</v>
      </c>
      <c r="I213" t="str">
        <f>IFERROR(VLOOKUP(Prestamos[[#This Row],[ID Libro]],Inventario_Libros!A:B,2,0),"Libro No Existe")</f>
        <v>El Código Da Vinci</v>
      </c>
      <c r="J213" t="str">
        <f>IFERROR(VLOOKUP(Prestamos[[#This Row],[ID Libro]],Inventario_Libros!A:C,3,0),"Libro No Existe")</f>
        <v>Dan Brown</v>
      </c>
      <c r="K213" t="str">
        <f>IFERROR(VLOOKUP(Prestamos[[#This Row],[ID Libro]],Inventario_Libros!A:D,4,0),"Libro No Existe")</f>
        <v>Misterio</v>
      </c>
      <c r="L213">
        <f>IFERROR(VLOOKUP(Prestamos[[#This Row],[ID Libro]],Inventario_Libros!A:E,5,0),"Libro No Existe")</f>
        <v>1882</v>
      </c>
      <c r="M213" t="str">
        <f>_xlfn.XLOOKUP(D:D,Inventario_Libros!A:A,Inventario_Libros!G:G,"No Existe",0)</f>
        <v>Est-1</v>
      </c>
      <c r="N213" t="str">
        <f>IFERROR(VLOOKUP(Prestamos[[#This Row],[ID Libro]],Inventario_Libros!A:H,8,0),"Libro No Existe")</f>
        <v>Activo</v>
      </c>
    </row>
    <row r="214" spans="1:14" x14ac:dyDescent="0.3">
      <c r="A214" s="5" t="s">
        <v>741</v>
      </c>
      <c r="B214" s="1">
        <v>45800</v>
      </c>
      <c r="C214" s="1">
        <v>45803</v>
      </c>
      <c r="D214" s="4" t="s">
        <v>461</v>
      </c>
      <c r="E214" s="2" t="s">
        <v>251</v>
      </c>
      <c r="F214" s="2" t="s">
        <v>263</v>
      </c>
      <c r="G214" s="2" t="s">
        <v>279</v>
      </c>
      <c r="H214" s="3" t="s">
        <v>289</v>
      </c>
      <c r="I214" t="str">
        <f>IFERROR(VLOOKUP(Prestamos[[#This Row],[ID Libro]],Inventario_Libros!A:B,2,0),"Libro No Existe")</f>
        <v>La Ciudad Y Los Perros</v>
      </c>
      <c r="J214" t="str">
        <f>IFERROR(VLOOKUP(Prestamos[[#This Row],[ID Libro]],Inventario_Libros!A:C,3,0),"Libro No Existe")</f>
        <v>Mario Vargas Llosa</v>
      </c>
      <c r="K214" t="str">
        <f>IFERROR(VLOOKUP(Prestamos[[#This Row],[ID Libro]],Inventario_Libros!A:D,4,0),"Libro No Existe")</f>
        <v>Novela</v>
      </c>
      <c r="L214">
        <f>IFERROR(VLOOKUP(Prestamos[[#This Row],[ID Libro]],Inventario_Libros!A:E,5,0),"Libro No Existe")</f>
        <v>2009</v>
      </c>
      <c r="M214" t="str">
        <f>_xlfn.XLOOKUP(D:D,Inventario_Libros!A:A,Inventario_Libros!G:G,"No Existe",0)</f>
        <v>Est-1</v>
      </c>
      <c r="N214" t="str">
        <f>IFERROR(VLOOKUP(Prestamos[[#This Row],[ID Libro]],Inventario_Libros!A:H,8,0),"Libro No Existe")</f>
        <v>Retirado</v>
      </c>
    </row>
    <row r="215" spans="1:14" x14ac:dyDescent="0.3">
      <c r="A215" s="5" t="s">
        <v>742</v>
      </c>
      <c r="B215" s="1">
        <v>45729</v>
      </c>
      <c r="C215" s="1">
        <v>45754</v>
      </c>
      <c r="D215" s="4" t="s">
        <v>462</v>
      </c>
      <c r="E215" s="2" t="s">
        <v>266</v>
      </c>
      <c r="F215" s="2" t="s">
        <v>263</v>
      </c>
      <c r="G215" s="2" t="s">
        <v>257</v>
      </c>
      <c r="H215" s="3">
        <v>10</v>
      </c>
      <c r="I215" t="str">
        <f>IFERROR(VLOOKUP(Prestamos[[#This Row],[ID Libro]],Inventario_Libros!A:B,2,0),"Libro No Existe")</f>
        <v>Macbeth</v>
      </c>
      <c r="J215" t="str">
        <f>IFERROR(VLOOKUP(Prestamos[[#This Row],[ID Libro]],Inventario_Libros!A:C,3,0),"Libro No Existe")</f>
        <v>William Shakespeare</v>
      </c>
      <c r="K215" t="str">
        <f>IFERROR(VLOOKUP(Prestamos[[#This Row],[ID Libro]],Inventario_Libros!A:D,4,0),"Libro No Existe")</f>
        <v>Clásicos</v>
      </c>
      <c r="L215">
        <f>IFERROR(VLOOKUP(Prestamos[[#This Row],[ID Libro]],Inventario_Libros!A:E,5,0),"Libro No Existe")</f>
        <v>1955</v>
      </c>
      <c r="M215" t="str">
        <f>_xlfn.XLOOKUP(D:D,Inventario_Libros!A:A,Inventario_Libros!G:G,"No Existe",0)</f>
        <v>Est-1</v>
      </c>
      <c r="N215" t="str">
        <f>IFERROR(VLOOKUP(Prestamos[[#This Row],[ID Libro]],Inventario_Libros!A:H,8,0),"Libro No Existe")</f>
        <v>Activo</v>
      </c>
    </row>
    <row r="216" spans="1:14" x14ac:dyDescent="0.3">
      <c r="A216" s="5" t="s">
        <v>743</v>
      </c>
      <c r="B216" s="1">
        <v>45974</v>
      </c>
      <c r="C216" s="1">
        <v>45978</v>
      </c>
      <c r="D216" s="4" t="s">
        <v>414</v>
      </c>
      <c r="E216" s="2" t="s">
        <v>266</v>
      </c>
      <c r="F216" s="2" t="s">
        <v>252</v>
      </c>
      <c r="G216" s="2" t="s">
        <v>279</v>
      </c>
      <c r="H216" s="3" t="s">
        <v>289</v>
      </c>
      <c r="I216" t="str">
        <f>IFERROR(VLOOKUP(Prestamos[[#This Row],[ID Libro]],Inventario_Libros!A:B,2,0),"Libro No Existe")</f>
        <v>1984</v>
      </c>
      <c r="J216" t="str">
        <f>IFERROR(VLOOKUP(Prestamos[[#This Row],[ID Libro]],Inventario_Libros!A:C,3,0),"Libro No Existe")</f>
        <v>George Orwell</v>
      </c>
      <c r="K216" t="str">
        <f>IFERROR(VLOOKUP(Prestamos[[#This Row],[ID Libro]],Inventario_Libros!A:D,4,0),"Libro No Existe")</f>
        <v>Ciencia Ficción</v>
      </c>
      <c r="L216">
        <f>IFERROR(VLOOKUP(Prestamos[[#This Row],[ID Libro]],Inventario_Libros!A:E,5,0),"Libro No Existe")</f>
        <v>1898</v>
      </c>
      <c r="M216" t="str">
        <f>_xlfn.XLOOKUP(D:D,Inventario_Libros!A:A,Inventario_Libros!G:G,"No Existe",0)</f>
        <v>B-2</v>
      </c>
      <c r="N216" t="str">
        <f>IFERROR(VLOOKUP(Prestamos[[#This Row],[ID Libro]],Inventario_Libros!A:H,8,0),"Libro No Existe")</f>
        <v>Retirado</v>
      </c>
    </row>
    <row r="217" spans="1:14" x14ac:dyDescent="0.3">
      <c r="A217" s="5" t="s">
        <v>744</v>
      </c>
      <c r="B217" s="1">
        <v>45808</v>
      </c>
      <c r="C217" s="1">
        <v>45824</v>
      </c>
      <c r="D217" s="4" t="s">
        <v>463</v>
      </c>
      <c r="E217" s="2" t="s">
        <v>254</v>
      </c>
      <c r="F217" s="2" t="s">
        <v>275</v>
      </c>
      <c r="G217" s="2" t="s">
        <v>257</v>
      </c>
      <c r="H217" s="3">
        <v>1</v>
      </c>
      <c r="I217" t="str">
        <f>IFERROR(VLOOKUP(Prestamos[[#This Row],[ID Libro]],Inventario_Libros!A:B,2,0),"Libro No Existe")</f>
        <v>La Casa De Los Espíritus</v>
      </c>
      <c r="J217" t="str">
        <f>IFERROR(VLOOKUP(Prestamos[[#This Row],[ID Libro]],Inventario_Libros!A:C,3,0),"Libro No Existe")</f>
        <v>Isabel Allende</v>
      </c>
      <c r="K217" t="str">
        <f>IFERROR(VLOOKUP(Prestamos[[#This Row],[ID Libro]],Inventario_Libros!A:D,4,0),"Libro No Existe")</f>
        <v>Novela</v>
      </c>
      <c r="L217">
        <f>IFERROR(VLOOKUP(Prestamos[[#This Row],[ID Libro]],Inventario_Libros!A:E,5,0),"Libro No Existe")</f>
        <v>1995</v>
      </c>
      <c r="M217" t="str">
        <f>_xlfn.XLOOKUP(D:D,Inventario_Libros!A:A,Inventario_Libros!G:G,"No Existe",0)</f>
        <v>B-2</v>
      </c>
      <c r="N217" t="str">
        <f>IFERROR(VLOOKUP(Prestamos[[#This Row],[ID Libro]],Inventario_Libros!A:H,8,0),"Libro No Existe")</f>
        <v>Retirado</v>
      </c>
    </row>
    <row r="218" spans="1:14" x14ac:dyDescent="0.3">
      <c r="A218" s="5" t="s">
        <v>745</v>
      </c>
      <c r="B218" s="1">
        <v>45917</v>
      </c>
      <c r="C218" s="1">
        <v>45921</v>
      </c>
      <c r="D218" s="4" t="s">
        <v>464</v>
      </c>
      <c r="E218" s="2" t="s">
        <v>265</v>
      </c>
      <c r="F218" s="2" t="s">
        <v>275</v>
      </c>
      <c r="G218" s="2" t="s">
        <v>279</v>
      </c>
      <c r="H218" s="3" t="s">
        <v>289</v>
      </c>
      <c r="I218" t="str">
        <f>IFERROR(VLOOKUP(Prestamos[[#This Row],[ID Libro]],Inventario_Libros!A:B,2,0),"Libro No Existe")</f>
        <v>El Túnel</v>
      </c>
      <c r="J218" t="str">
        <f>IFERROR(VLOOKUP(Prestamos[[#This Row],[ID Libro]],Inventario_Libros!A:C,3,0),"Libro No Existe")</f>
        <v>Ernesto Sabato</v>
      </c>
      <c r="K218" t="str">
        <f>IFERROR(VLOOKUP(Prestamos[[#This Row],[ID Libro]],Inventario_Libros!A:D,4,0),"Libro No Existe")</f>
        <v>Novela</v>
      </c>
      <c r="L218">
        <f>IFERROR(VLOOKUP(Prestamos[[#This Row],[ID Libro]],Inventario_Libros!A:E,5,0),"Libro No Existe")</f>
        <v>1924</v>
      </c>
      <c r="M218" t="str">
        <f>_xlfn.XLOOKUP(D:D,Inventario_Libros!A:A,Inventario_Libros!G:G,"No Existe",0)</f>
        <v>Est-1</v>
      </c>
      <c r="N218" t="str">
        <f>IFERROR(VLOOKUP(Prestamos[[#This Row],[ID Libro]],Inventario_Libros!A:H,8,0),"Libro No Existe")</f>
        <v>Activo</v>
      </c>
    </row>
    <row r="219" spans="1:14" x14ac:dyDescent="0.3">
      <c r="A219" s="5" t="s">
        <v>746</v>
      </c>
      <c r="B219" s="1">
        <v>45725</v>
      </c>
      <c r="C219" s="1">
        <v>45743</v>
      </c>
      <c r="D219" s="4" t="s">
        <v>465</v>
      </c>
      <c r="E219" s="2" t="s">
        <v>260</v>
      </c>
      <c r="F219" s="2" t="s">
        <v>255</v>
      </c>
      <c r="G219" s="2" t="s">
        <v>257</v>
      </c>
      <c r="H219" s="3">
        <v>3</v>
      </c>
      <c r="I219" t="str">
        <f>IFERROR(VLOOKUP(Prestamos[[#This Row],[ID Libro]],Inventario_Libros!A:B,2,0),"Libro No Existe")</f>
        <v>1984</v>
      </c>
      <c r="J219" t="str">
        <f>IFERROR(VLOOKUP(Prestamos[[#This Row],[ID Libro]],Inventario_Libros!A:C,3,0),"Libro No Existe")</f>
        <v>George Orwell</v>
      </c>
      <c r="K219" t="str">
        <f>IFERROR(VLOOKUP(Prestamos[[#This Row],[ID Libro]],Inventario_Libros!A:D,4,0),"Libro No Existe")</f>
        <v>Ciencia Ficción</v>
      </c>
      <c r="L219">
        <f>IFERROR(VLOOKUP(Prestamos[[#This Row],[ID Libro]],Inventario_Libros!A:E,5,0),"Libro No Existe")</f>
        <v>2018</v>
      </c>
      <c r="M219" t="str">
        <f>_xlfn.XLOOKUP(D:D,Inventario_Libros!A:A,Inventario_Libros!G:G,"No Existe",0)</f>
        <v>A-1</v>
      </c>
      <c r="N219" t="str">
        <f>IFERROR(VLOOKUP(Prestamos[[#This Row],[ID Libro]],Inventario_Libros!A:H,8,0),"Libro No Existe")</f>
        <v>Activo</v>
      </c>
    </row>
    <row r="220" spans="1:14" x14ac:dyDescent="0.3">
      <c r="A220" s="5" t="s">
        <v>747</v>
      </c>
      <c r="B220" s="1">
        <v>45715</v>
      </c>
      <c r="C220" s="1">
        <v>45720</v>
      </c>
      <c r="D220" s="4" t="s">
        <v>437</v>
      </c>
      <c r="E220" s="2" t="s">
        <v>272</v>
      </c>
      <c r="F220" s="2" t="s">
        <v>258</v>
      </c>
      <c r="G220" s="2" t="s">
        <v>279</v>
      </c>
      <c r="H220" s="3" t="s">
        <v>289</v>
      </c>
      <c r="I220" t="str">
        <f>IFERROR(VLOOKUP(Prestamos[[#This Row],[ID Libro]],Inventario_Libros!A:B,2,0),"Libro No Existe")</f>
        <v>El Código Da Vinci</v>
      </c>
      <c r="J220" t="str">
        <f>IFERROR(VLOOKUP(Prestamos[[#This Row],[ID Libro]],Inventario_Libros!A:C,3,0),"Libro No Existe")</f>
        <v>Dan Brown</v>
      </c>
      <c r="K220" t="str">
        <f>IFERROR(VLOOKUP(Prestamos[[#This Row],[ID Libro]],Inventario_Libros!A:D,4,0),"Libro No Existe")</f>
        <v>Misterio</v>
      </c>
      <c r="L220">
        <f>IFERROR(VLOOKUP(Prestamos[[#This Row],[ID Libro]],Inventario_Libros!A:E,5,0),"Libro No Existe")</f>
        <v>1935</v>
      </c>
      <c r="M220" t="str">
        <f>_xlfn.XLOOKUP(D:D,Inventario_Libros!A:A,Inventario_Libros!G:G,"No Existe",0)</f>
        <v>B-2</v>
      </c>
      <c r="N220" t="str">
        <f>IFERROR(VLOOKUP(Prestamos[[#This Row],[ID Libro]],Inventario_Libros!A:H,8,0),"Libro No Existe")</f>
        <v>Retirado</v>
      </c>
    </row>
    <row r="221" spans="1:14" x14ac:dyDescent="0.3">
      <c r="A221" s="5" t="s">
        <v>748</v>
      </c>
      <c r="B221" s="1">
        <v>45746</v>
      </c>
      <c r="C221" s="1">
        <v>45766</v>
      </c>
      <c r="D221" s="4" t="s">
        <v>325</v>
      </c>
      <c r="E221" s="2" t="s">
        <v>271</v>
      </c>
      <c r="F221" s="2" t="s">
        <v>258</v>
      </c>
      <c r="G221" s="2" t="s">
        <v>257</v>
      </c>
      <c r="H221" s="3">
        <v>5</v>
      </c>
      <c r="I221" t="str">
        <f>IFERROR(VLOOKUP(Prestamos[[#This Row],[ID Libro]],Inventario_Libros!A:B,2,0),"Libro No Existe")</f>
        <v>La Iliada</v>
      </c>
      <c r="J221" t="str">
        <f>IFERROR(VLOOKUP(Prestamos[[#This Row],[ID Libro]],Inventario_Libros!A:C,3,0),"Libro No Existe")</f>
        <v>Homero</v>
      </c>
      <c r="K221" t="str">
        <f>IFERROR(VLOOKUP(Prestamos[[#This Row],[ID Libro]],Inventario_Libros!A:D,4,0),"Libro No Existe")</f>
        <v>Clásicos</v>
      </c>
      <c r="L221">
        <f>IFERROR(VLOOKUP(Prestamos[[#This Row],[ID Libro]],Inventario_Libros!A:E,5,0),"Libro No Existe")</f>
        <v>1993</v>
      </c>
      <c r="M221" t="str">
        <f>_xlfn.XLOOKUP(D:D,Inventario_Libros!A:A,Inventario_Libros!G:G,"No Existe",0)</f>
        <v>A-1</v>
      </c>
      <c r="N221" t="str">
        <f>IFERROR(VLOOKUP(Prestamos[[#This Row],[ID Libro]],Inventario_Libros!A:H,8,0),"Libro No Existe")</f>
        <v>Retirado</v>
      </c>
    </row>
    <row r="222" spans="1:14" x14ac:dyDescent="0.3">
      <c r="A222" s="5" t="s">
        <v>749</v>
      </c>
      <c r="B222" s="1">
        <v>45932</v>
      </c>
      <c r="C222" s="1">
        <v>45952</v>
      </c>
      <c r="D222" s="4" t="s">
        <v>450</v>
      </c>
      <c r="E222" s="2" t="s">
        <v>278</v>
      </c>
      <c r="F222" s="2" t="s">
        <v>258</v>
      </c>
      <c r="G222" s="2" t="s">
        <v>257</v>
      </c>
      <c r="H222" s="3">
        <v>5</v>
      </c>
      <c r="I222" t="str">
        <f>IFERROR(VLOOKUP(Prestamos[[#This Row],[ID Libro]],Inventario_Libros!A:B,2,0),"Libro No Existe")</f>
        <v>El Código Da Vinci</v>
      </c>
      <c r="J222" t="str">
        <f>IFERROR(VLOOKUP(Prestamos[[#This Row],[ID Libro]],Inventario_Libros!A:C,3,0),"Libro No Existe")</f>
        <v>Dan Brown</v>
      </c>
      <c r="K222" t="str">
        <f>IFERROR(VLOOKUP(Prestamos[[#This Row],[ID Libro]],Inventario_Libros!A:D,4,0),"Libro No Existe")</f>
        <v>Misterio</v>
      </c>
      <c r="L222">
        <f>IFERROR(VLOOKUP(Prestamos[[#This Row],[ID Libro]],Inventario_Libros!A:E,5,0),"Libro No Existe")</f>
        <v>2008</v>
      </c>
      <c r="M222" t="str">
        <f>_xlfn.XLOOKUP(D:D,Inventario_Libros!A:A,Inventario_Libros!G:G,"No Existe",0)</f>
        <v>C-3</v>
      </c>
      <c r="N222" t="str">
        <f>IFERROR(VLOOKUP(Prestamos[[#This Row],[ID Libro]],Inventario_Libros!A:H,8,0),"Libro No Existe")</f>
        <v>Retirado</v>
      </c>
    </row>
    <row r="223" spans="1:14" x14ac:dyDescent="0.3">
      <c r="A223" s="5" t="s">
        <v>750</v>
      </c>
      <c r="B223" s="1">
        <v>45790</v>
      </c>
      <c r="C223" s="1">
        <v>45795</v>
      </c>
      <c r="D223" s="4" t="s">
        <v>466</v>
      </c>
      <c r="E223" s="2" t="s">
        <v>266</v>
      </c>
      <c r="F223" s="2" t="s">
        <v>255</v>
      </c>
      <c r="G223" s="2" t="s">
        <v>253</v>
      </c>
      <c r="H223" s="3">
        <v>3</v>
      </c>
      <c r="I223" t="str">
        <f>IFERROR(VLOOKUP(Prestamos[[#This Row],[ID Libro]],Inventario_Libros!A:B,2,0),"Libro No Existe")</f>
        <v>Rayuela</v>
      </c>
      <c r="J223" t="str">
        <f>IFERROR(VLOOKUP(Prestamos[[#This Row],[ID Libro]],Inventario_Libros!A:C,3,0),"Libro No Existe")</f>
        <v>Julio Cortázar</v>
      </c>
      <c r="K223" t="str">
        <f>IFERROR(VLOOKUP(Prestamos[[#This Row],[ID Libro]],Inventario_Libros!A:D,4,0),"Libro No Existe")</f>
        <v>Novela</v>
      </c>
      <c r="L223">
        <f>IFERROR(VLOOKUP(Prestamos[[#This Row],[ID Libro]],Inventario_Libros!A:E,5,0),"Libro No Existe")</f>
        <v>1892</v>
      </c>
      <c r="M223" t="str">
        <f>_xlfn.XLOOKUP(D:D,Inventario_Libros!A:A,Inventario_Libros!G:G,"No Existe",0)</f>
        <v>Est-1</v>
      </c>
      <c r="N223" t="str">
        <f>IFERROR(VLOOKUP(Prestamos[[#This Row],[ID Libro]],Inventario_Libros!A:H,8,0),"Libro No Existe")</f>
        <v>Retirado</v>
      </c>
    </row>
    <row r="224" spans="1:14" x14ac:dyDescent="0.3">
      <c r="A224" s="5" t="s">
        <v>751</v>
      </c>
      <c r="B224" s="1">
        <v>45715</v>
      </c>
      <c r="C224" s="1">
        <v>45720</v>
      </c>
      <c r="D224" s="4" t="s">
        <v>349</v>
      </c>
      <c r="E224" s="2" t="s">
        <v>269</v>
      </c>
      <c r="F224" s="2" t="s">
        <v>252</v>
      </c>
      <c r="G224" s="2" t="s">
        <v>279</v>
      </c>
      <c r="H224" s="3" t="s">
        <v>289</v>
      </c>
      <c r="I224" t="str">
        <f>IFERROR(VLOOKUP(Prestamos[[#This Row],[ID Libro]],Inventario_Libros!A:B,2,0),"Libro No Existe")</f>
        <v>Los Detectives Salvajes</v>
      </c>
      <c r="J224" t="str">
        <f>IFERROR(VLOOKUP(Prestamos[[#This Row],[ID Libro]],Inventario_Libros!A:C,3,0),"Libro No Existe")</f>
        <v>Roberto Bolaño</v>
      </c>
      <c r="K224" t="str">
        <f>IFERROR(VLOOKUP(Prestamos[[#This Row],[ID Libro]],Inventario_Libros!A:D,4,0),"Libro No Existe")</f>
        <v>Novela</v>
      </c>
      <c r="L224">
        <f>IFERROR(VLOOKUP(Prestamos[[#This Row],[ID Libro]],Inventario_Libros!A:E,5,0),"Libro No Existe")</f>
        <v>1914</v>
      </c>
      <c r="M224" t="str">
        <f>_xlfn.XLOOKUP(D:D,Inventario_Libros!A:A,Inventario_Libros!G:G,"No Existe",0)</f>
        <v>C-3</v>
      </c>
      <c r="N224" t="str">
        <f>IFERROR(VLOOKUP(Prestamos[[#This Row],[ID Libro]],Inventario_Libros!A:H,8,0),"Libro No Existe")</f>
        <v>Retirado</v>
      </c>
    </row>
    <row r="225" spans="1:14" x14ac:dyDescent="0.3">
      <c r="A225" s="5" t="s">
        <v>752</v>
      </c>
      <c r="B225" s="1">
        <v>45758</v>
      </c>
      <c r="C225" s="1">
        <v>45763</v>
      </c>
      <c r="D225" s="4" t="s">
        <v>438</v>
      </c>
      <c r="E225" s="2" t="s">
        <v>269</v>
      </c>
      <c r="F225" s="2" t="s">
        <v>258</v>
      </c>
      <c r="G225" s="2" t="s">
        <v>253</v>
      </c>
      <c r="H225" s="3">
        <v>0</v>
      </c>
      <c r="I225" t="str">
        <f>IFERROR(VLOOKUP(Prestamos[[#This Row],[ID Libro]],Inventario_Libros!A:B,2,0),"Libro No Existe")</f>
        <v>Los Detectives Salvajes</v>
      </c>
      <c r="J225" t="str">
        <f>IFERROR(VLOOKUP(Prestamos[[#This Row],[ID Libro]],Inventario_Libros!A:C,3,0),"Libro No Existe")</f>
        <v>Roberto Bolaño</v>
      </c>
      <c r="K225" t="str">
        <f>IFERROR(VLOOKUP(Prestamos[[#This Row],[ID Libro]],Inventario_Libros!A:D,4,0),"Libro No Existe")</f>
        <v>Novela</v>
      </c>
      <c r="L225">
        <f>IFERROR(VLOOKUP(Prestamos[[#This Row],[ID Libro]],Inventario_Libros!A:E,5,0),"Libro No Existe")</f>
        <v>2015</v>
      </c>
      <c r="M225" t="str">
        <f>_xlfn.XLOOKUP(D:D,Inventario_Libros!A:A,Inventario_Libros!G:G,"No Existe",0)</f>
        <v>Est-1</v>
      </c>
      <c r="N225" t="str">
        <f>IFERROR(VLOOKUP(Prestamos[[#This Row],[ID Libro]],Inventario_Libros!A:H,8,0),"Libro No Existe")</f>
        <v>Activo</v>
      </c>
    </row>
    <row r="226" spans="1:14" x14ac:dyDescent="0.3">
      <c r="A226" s="5" t="s">
        <v>753</v>
      </c>
      <c r="B226" s="1">
        <v>45833</v>
      </c>
      <c r="C226" s="1">
        <v>45838</v>
      </c>
      <c r="D226" s="4" t="s">
        <v>434</v>
      </c>
      <c r="E226" s="2" t="s">
        <v>277</v>
      </c>
      <c r="F226" s="2" t="s">
        <v>275</v>
      </c>
      <c r="G226" s="2" t="s">
        <v>253</v>
      </c>
      <c r="H226" s="3">
        <v>0</v>
      </c>
      <c r="I226" t="str">
        <f>IFERROR(VLOOKUP(Prestamos[[#This Row],[ID Libro]],Inventario_Libros!A:B,2,0),"Libro No Existe")</f>
        <v>Los Detectives Salvajes</v>
      </c>
      <c r="J226" t="str">
        <f>IFERROR(VLOOKUP(Prestamos[[#This Row],[ID Libro]],Inventario_Libros!A:C,3,0),"Libro No Existe")</f>
        <v>Roberto Bolaño</v>
      </c>
      <c r="K226" t="str">
        <f>IFERROR(VLOOKUP(Prestamos[[#This Row],[ID Libro]],Inventario_Libros!A:D,4,0),"Libro No Existe")</f>
        <v>Novela</v>
      </c>
      <c r="L226">
        <f>IFERROR(VLOOKUP(Prestamos[[#This Row],[ID Libro]],Inventario_Libros!A:E,5,0),"Libro No Existe")</f>
        <v>1926</v>
      </c>
      <c r="M226" t="str">
        <f>_xlfn.XLOOKUP(D:D,Inventario_Libros!A:A,Inventario_Libros!G:G,"No Existe",0)</f>
        <v>B-2</v>
      </c>
      <c r="N226" t="str">
        <f>IFERROR(VLOOKUP(Prestamos[[#This Row],[ID Libro]],Inventario_Libros!A:H,8,0),"Libro No Existe")</f>
        <v>Activo</v>
      </c>
    </row>
    <row r="227" spans="1:14" x14ac:dyDescent="0.3">
      <c r="A227" s="5" t="s">
        <v>754</v>
      </c>
      <c r="B227" s="1">
        <v>45930</v>
      </c>
      <c r="C227" s="1">
        <v>45935</v>
      </c>
      <c r="D227" s="4" t="s">
        <v>467</v>
      </c>
      <c r="E227" s="2" t="s">
        <v>260</v>
      </c>
      <c r="F227" s="2" t="s">
        <v>255</v>
      </c>
      <c r="G227" s="2" t="s">
        <v>253</v>
      </c>
      <c r="H227" s="3">
        <v>0</v>
      </c>
      <c r="I227" t="str">
        <f>IFERROR(VLOOKUP(Prestamos[[#This Row],[ID Libro]],Inventario_Libros!A:B,2,0),"Libro No Existe")</f>
        <v>La Iliada</v>
      </c>
      <c r="J227" t="str">
        <f>IFERROR(VLOOKUP(Prestamos[[#This Row],[ID Libro]],Inventario_Libros!A:C,3,0),"Libro No Existe")</f>
        <v>Homero</v>
      </c>
      <c r="K227" t="str">
        <f>IFERROR(VLOOKUP(Prestamos[[#This Row],[ID Libro]],Inventario_Libros!A:D,4,0),"Libro No Existe")</f>
        <v>Clásicos</v>
      </c>
      <c r="L227">
        <f>IFERROR(VLOOKUP(Prestamos[[#This Row],[ID Libro]],Inventario_Libros!A:E,5,0),"Libro No Existe")</f>
        <v>1947</v>
      </c>
      <c r="M227" t="str">
        <f>_xlfn.XLOOKUP(D:D,Inventario_Libros!A:A,Inventario_Libros!G:G,"No Existe",0)</f>
        <v>A-1</v>
      </c>
      <c r="N227" t="str">
        <f>IFERROR(VLOOKUP(Prestamos[[#This Row],[ID Libro]],Inventario_Libros!A:H,8,0),"Libro No Existe")</f>
        <v>Activo</v>
      </c>
    </row>
    <row r="228" spans="1:14" x14ac:dyDescent="0.3">
      <c r="A228" s="5" t="s">
        <v>755</v>
      </c>
      <c r="B228" s="1">
        <v>45732</v>
      </c>
      <c r="C228" s="1">
        <v>45737</v>
      </c>
      <c r="D228" s="4" t="s">
        <v>468</v>
      </c>
      <c r="E228" s="2" t="s">
        <v>271</v>
      </c>
      <c r="F228" s="2" t="s">
        <v>275</v>
      </c>
      <c r="G228" s="2" t="s">
        <v>253</v>
      </c>
      <c r="H228" s="3">
        <v>1</v>
      </c>
      <c r="I228" t="str">
        <f>IFERROR(VLOOKUP(Prestamos[[#This Row],[ID Libro]],Inventario_Libros!A:B,2,0),"Libro No Existe")</f>
        <v>El Amor En Los Tiempos Del Cólera</v>
      </c>
      <c r="J228" t="str">
        <f>IFERROR(VLOOKUP(Prestamos[[#This Row],[ID Libro]],Inventario_Libros!A:C,3,0),"Libro No Existe")</f>
        <v>Gabriel García Márquez</v>
      </c>
      <c r="K228" t="str">
        <f>IFERROR(VLOOKUP(Prestamos[[#This Row],[ID Libro]],Inventario_Libros!A:D,4,0),"Libro No Existe")</f>
        <v>Novela</v>
      </c>
      <c r="L228">
        <f>IFERROR(VLOOKUP(Prestamos[[#This Row],[ID Libro]],Inventario_Libros!A:E,5,0),"Libro No Existe")</f>
        <v>1890</v>
      </c>
      <c r="M228" t="str">
        <f>_xlfn.XLOOKUP(D:D,Inventario_Libros!A:A,Inventario_Libros!G:G,"No Existe",0)</f>
        <v>Est-1</v>
      </c>
      <c r="N228" t="str">
        <f>IFERROR(VLOOKUP(Prestamos[[#This Row],[ID Libro]],Inventario_Libros!A:H,8,0),"Libro No Existe")</f>
        <v>Activo</v>
      </c>
    </row>
    <row r="229" spans="1:14" x14ac:dyDescent="0.3">
      <c r="A229" s="5" t="s">
        <v>756</v>
      </c>
      <c r="B229" s="1">
        <v>45811</v>
      </c>
      <c r="C229" s="1">
        <v>45816</v>
      </c>
      <c r="D229" s="4" t="s">
        <v>469</v>
      </c>
      <c r="E229" s="2" t="s">
        <v>270</v>
      </c>
      <c r="F229" s="2" t="s">
        <v>263</v>
      </c>
      <c r="G229" s="2" t="s">
        <v>279</v>
      </c>
      <c r="H229" s="3" t="s">
        <v>289</v>
      </c>
      <c r="I229" t="str">
        <f>IFERROR(VLOOKUP(Prestamos[[#This Row],[ID Libro]],Inventario_Libros!A:B,2,0),"Libro No Existe")</f>
        <v>El Aleph</v>
      </c>
      <c r="J229" t="str">
        <f>IFERROR(VLOOKUP(Prestamos[[#This Row],[ID Libro]],Inventario_Libros!A:C,3,0),"Libro No Existe")</f>
        <v>Jorge Luis Borges</v>
      </c>
      <c r="K229" t="str">
        <f>IFERROR(VLOOKUP(Prestamos[[#This Row],[ID Libro]],Inventario_Libros!A:D,4,0),"Libro No Existe")</f>
        <v>Cuentos / Fantasía Metafísica</v>
      </c>
      <c r="L229">
        <f>IFERROR(VLOOKUP(Prestamos[[#This Row],[ID Libro]],Inventario_Libros!A:E,5,0),"Libro No Existe")</f>
        <v>1935</v>
      </c>
      <c r="M229" t="str">
        <f>_xlfn.XLOOKUP(D:D,Inventario_Libros!A:A,Inventario_Libros!G:G,"No Existe",0)</f>
        <v>B-2</v>
      </c>
      <c r="N229" t="str">
        <f>IFERROR(VLOOKUP(Prestamos[[#This Row],[ID Libro]],Inventario_Libros!A:H,8,0),"Libro No Existe")</f>
        <v>Activo</v>
      </c>
    </row>
    <row r="230" spans="1:14" x14ac:dyDescent="0.3">
      <c r="A230" s="5" t="s">
        <v>757</v>
      </c>
      <c r="B230" s="1">
        <v>45752</v>
      </c>
      <c r="C230" s="1">
        <v>45769</v>
      </c>
      <c r="D230" s="4" t="s">
        <v>339</v>
      </c>
      <c r="E230" s="2" t="s">
        <v>271</v>
      </c>
      <c r="F230" s="2" t="s">
        <v>263</v>
      </c>
      <c r="G230" s="2" t="s">
        <v>257</v>
      </c>
      <c r="H230" s="3">
        <v>2</v>
      </c>
      <c r="I230" t="str">
        <f>IFERROR(VLOOKUP(Prestamos[[#This Row],[ID Libro]],Inventario_Libros!A:B,2,0),"Libro No Existe")</f>
        <v>La Iliada</v>
      </c>
      <c r="J230" t="str">
        <f>IFERROR(VLOOKUP(Prestamos[[#This Row],[ID Libro]],Inventario_Libros!A:C,3,0),"Libro No Existe")</f>
        <v>Homero</v>
      </c>
      <c r="K230" t="str">
        <f>IFERROR(VLOOKUP(Prestamos[[#This Row],[ID Libro]],Inventario_Libros!A:D,4,0),"Libro No Existe")</f>
        <v>Clásicos</v>
      </c>
      <c r="L230">
        <f>IFERROR(VLOOKUP(Prestamos[[#This Row],[ID Libro]],Inventario_Libros!A:E,5,0),"Libro No Existe")</f>
        <v>1996</v>
      </c>
      <c r="M230" t="str">
        <f>_xlfn.XLOOKUP(D:D,Inventario_Libros!A:A,Inventario_Libros!G:G,"No Existe",0)</f>
        <v>B-2</v>
      </c>
      <c r="N230" t="str">
        <f>IFERROR(VLOOKUP(Prestamos[[#This Row],[ID Libro]],Inventario_Libros!A:H,8,0),"Libro No Existe")</f>
        <v>Activo</v>
      </c>
    </row>
    <row r="231" spans="1:14" x14ac:dyDescent="0.3">
      <c r="A231" s="5" t="s">
        <v>758</v>
      </c>
      <c r="B231" s="1">
        <v>45881</v>
      </c>
      <c r="C231" s="1">
        <v>45886</v>
      </c>
      <c r="D231" s="4" t="s">
        <v>470</v>
      </c>
      <c r="E231" s="2" t="s">
        <v>274</v>
      </c>
      <c r="F231" s="2" t="s">
        <v>263</v>
      </c>
      <c r="G231" s="2" t="s">
        <v>279</v>
      </c>
      <c r="H231" s="3" t="s">
        <v>289</v>
      </c>
      <c r="I231" t="str">
        <f>IFERROR(VLOOKUP(Prestamos[[#This Row],[ID Libro]],Inventario_Libros!A:B,2,0),"Libro No Existe")</f>
        <v>Libro No Existe</v>
      </c>
      <c r="J231" t="str">
        <f>IFERROR(VLOOKUP(Prestamos[[#This Row],[ID Libro]],Inventario_Libros!A:C,3,0),"Libro No Existe")</f>
        <v>Libro No Existe</v>
      </c>
      <c r="K231" t="str">
        <f>IFERROR(VLOOKUP(Prestamos[[#This Row],[ID Libro]],Inventario_Libros!A:D,4,0),"Libro No Existe")</f>
        <v>Libro No Existe</v>
      </c>
      <c r="L231" t="str">
        <f>IFERROR(VLOOKUP(Prestamos[[#This Row],[ID Libro]],Inventario_Libros!A:E,5,0),"Libro No Existe")</f>
        <v>Libro No Existe</v>
      </c>
      <c r="M231" t="str">
        <f>_xlfn.XLOOKUP(D:D,Inventario_Libros!A:A,Inventario_Libros!G:G,"No Existe",0)</f>
        <v>No Existe</v>
      </c>
      <c r="N231" t="str">
        <f>IFERROR(VLOOKUP(Prestamos[[#This Row],[ID Libro]],Inventario_Libros!A:H,8,0),"Libro No Existe")</f>
        <v>Libro No Existe</v>
      </c>
    </row>
    <row r="232" spans="1:14" x14ac:dyDescent="0.3">
      <c r="A232" s="5" t="s">
        <v>759</v>
      </c>
      <c r="B232" s="1">
        <v>45932</v>
      </c>
      <c r="C232" s="1">
        <v>45937</v>
      </c>
      <c r="D232" s="4" t="s">
        <v>471</v>
      </c>
      <c r="E232" s="2" t="s">
        <v>264</v>
      </c>
      <c r="F232" s="2" t="s">
        <v>263</v>
      </c>
      <c r="G232" s="2" t="s">
        <v>253</v>
      </c>
      <c r="H232" s="3">
        <v>0</v>
      </c>
      <c r="I232" t="str">
        <f>IFERROR(VLOOKUP(Prestamos[[#This Row],[ID Libro]],Inventario_Libros!A:B,2,0),"Libro No Existe")</f>
        <v>Breve Historia Del Tiempo</v>
      </c>
      <c r="J232" t="str">
        <f>IFERROR(VLOOKUP(Prestamos[[#This Row],[ID Libro]],Inventario_Libros!A:C,3,0),"Libro No Existe")</f>
        <v>Stephen Hawking</v>
      </c>
      <c r="K232" t="str">
        <f>IFERROR(VLOOKUP(Prestamos[[#This Row],[ID Libro]],Inventario_Libros!A:D,4,0),"Libro No Existe")</f>
        <v>Divulgación Científica / Cosmología</v>
      </c>
      <c r="L232">
        <f>IFERROR(VLOOKUP(Prestamos[[#This Row],[ID Libro]],Inventario_Libros!A:E,5,0),"Libro No Existe")</f>
        <v>1941</v>
      </c>
      <c r="M232" t="str">
        <f>_xlfn.XLOOKUP(D:D,Inventario_Libros!A:A,Inventario_Libros!G:G,"No Existe",0)</f>
        <v>B-2</v>
      </c>
      <c r="N232" t="str">
        <f>IFERROR(VLOOKUP(Prestamos[[#This Row],[ID Libro]],Inventario_Libros!A:H,8,0),"Libro No Existe")</f>
        <v>Retirado</v>
      </c>
    </row>
    <row r="233" spans="1:14" x14ac:dyDescent="0.3">
      <c r="A233" s="5" t="s">
        <v>760</v>
      </c>
      <c r="B233" s="1">
        <v>45975</v>
      </c>
      <c r="C233" s="1">
        <v>45991</v>
      </c>
      <c r="D233" s="4" t="s">
        <v>472</v>
      </c>
      <c r="E233" s="2" t="s">
        <v>270</v>
      </c>
      <c r="F233" s="2" t="s">
        <v>263</v>
      </c>
      <c r="G233" s="2" t="s">
        <v>257</v>
      </c>
      <c r="H233" s="3">
        <v>1</v>
      </c>
      <c r="I233" t="str">
        <f>IFERROR(VLOOKUP(Prestamos[[#This Row],[ID Libro]],Inventario_Libros!A:B,2,0),"Libro No Existe")</f>
        <v>Macbeth</v>
      </c>
      <c r="J233" t="str">
        <f>IFERROR(VLOOKUP(Prestamos[[#This Row],[ID Libro]],Inventario_Libros!A:C,3,0),"Libro No Existe")</f>
        <v>William Shakespeare</v>
      </c>
      <c r="K233" t="str">
        <f>IFERROR(VLOOKUP(Prestamos[[#This Row],[ID Libro]],Inventario_Libros!A:D,4,0),"Libro No Existe")</f>
        <v>Clásicos</v>
      </c>
      <c r="L233">
        <f>IFERROR(VLOOKUP(Prestamos[[#This Row],[ID Libro]],Inventario_Libros!A:E,5,0),"Libro No Existe")</f>
        <v>1985</v>
      </c>
      <c r="M233" t="str">
        <f>_xlfn.XLOOKUP(D:D,Inventario_Libros!A:A,Inventario_Libros!G:G,"No Existe",0)</f>
        <v>A-1</v>
      </c>
      <c r="N233" t="str">
        <f>IFERROR(VLOOKUP(Prestamos[[#This Row],[ID Libro]],Inventario_Libros!A:H,8,0),"Libro No Existe")</f>
        <v>Activo</v>
      </c>
    </row>
    <row r="234" spans="1:14" x14ac:dyDescent="0.3">
      <c r="A234" s="5" t="s">
        <v>761</v>
      </c>
      <c r="B234" s="1">
        <v>45806</v>
      </c>
      <c r="C234" s="1">
        <v>45826</v>
      </c>
      <c r="D234" s="4" t="s">
        <v>370</v>
      </c>
      <c r="E234" s="2" t="s">
        <v>272</v>
      </c>
      <c r="F234" s="2" t="s">
        <v>255</v>
      </c>
      <c r="G234" s="2" t="s">
        <v>257</v>
      </c>
      <c r="H234" s="3">
        <v>5</v>
      </c>
      <c r="I234" t="str">
        <f>IFERROR(VLOOKUP(Prestamos[[#This Row],[ID Libro]],Inventario_Libros!A:B,2,0),"Libro No Existe")</f>
        <v>Breve Historia Del Tiempo</v>
      </c>
      <c r="J234" t="str">
        <f>IFERROR(VLOOKUP(Prestamos[[#This Row],[ID Libro]],Inventario_Libros!A:C,3,0),"Libro No Existe")</f>
        <v>Stephen Hawking</v>
      </c>
      <c r="K234" t="str">
        <f>IFERROR(VLOOKUP(Prestamos[[#This Row],[ID Libro]],Inventario_Libros!A:D,4,0),"Libro No Existe")</f>
        <v>Divulgación Científica / Cosmología</v>
      </c>
      <c r="L234">
        <f>IFERROR(VLOOKUP(Prestamos[[#This Row],[ID Libro]],Inventario_Libros!A:E,5,0),"Libro No Existe")</f>
        <v>2021</v>
      </c>
      <c r="M234" t="str">
        <f>_xlfn.XLOOKUP(D:D,Inventario_Libros!A:A,Inventario_Libros!G:G,"No Existe",0)</f>
        <v>Est-1</v>
      </c>
      <c r="N234" t="str">
        <f>IFERROR(VLOOKUP(Prestamos[[#This Row],[ID Libro]],Inventario_Libros!A:H,8,0),"Libro No Existe")</f>
        <v>Activo</v>
      </c>
    </row>
    <row r="235" spans="1:14" x14ac:dyDescent="0.3">
      <c r="A235" s="5" t="s">
        <v>762</v>
      </c>
      <c r="B235" s="1">
        <v>45726</v>
      </c>
      <c r="C235" s="1" t="s">
        <v>289</v>
      </c>
      <c r="D235" s="4" t="s">
        <v>473</v>
      </c>
      <c r="E235" s="2" t="s">
        <v>259</v>
      </c>
      <c r="F235" s="2" t="s">
        <v>263</v>
      </c>
      <c r="G235" s="2" t="s">
        <v>257</v>
      </c>
      <c r="H235" s="3">
        <v>5</v>
      </c>
      <c r="I235" t="str">
        <f>IFERROR(VLOOKUP(Prestamos[[#This Row],[ID Libro]],Inventario_Libros!A:B,2,0),"Libro No Existe")</f>
        <v>Libro No Existe</v>
      </c>
      <c r="J235" t="str">
        <f>IFERROR(VLOOKUP(Prestamos[[#This Row],[ID Libro]],Inventario_Libros!A:C,3,0),"Libro No Existe")</f>
        <v>Libro No Existe</v>
      </c>
      <c r="K235" t="str">
        <f>IFERROR(VLOOKUP(Prestamos[[#This Row],[ID Libro]],Inventario_Libros!A:D,4,0),"Libro No Existe")</f>
        <v>Libro No Existe</v>
      </c>
      <c r="L235" t="str">
        <f>IFERROR(VLOOKUP(Prestamos[[#This Row],[ID Libro]],Inventario_Libros!A:E,5,0),"Libro No Existe")</f>
        <v>Libro No Existe</v>
      </c>
      <c r="M235" t="str">
        <f>_xlfn.XLOOKUP(D:D,Inventario_Libros!A:A,Inventario_Libros!G:G,"No Existe",0)</f>
        <v>No Existe</v>
      </c>
      <c r="N235" t="str">
        <f>IFERROR(VLOOKUP(Prestamos[[#This Row],[ID Libro]],Inventario_Libros!A:H,8,0),"Libro No Existe")</f>
        <v>Libro No Existe</v>
      </c>
    </row>
    <row r="236" spans="1:14" x14ac:dyDescent="0.3">
      <c r="A236" s="5" t="s">
        <v>763</v>
      </c>
      <c r="B236" s="1">
        <v>45699</v>
      </c>
      <c r="C236" s="1">
        <v>45704</v>
      </c>
      <c r="D236" s="4" t="s">
        <v>474</v>
      </c>
      <c r="E236" s="2" t="s">
        <v>260</v>
      </c>
      <c r="F236" s="2" t="s">
        <v>258</v>
      </c>
      <c r="G236" s="2" t="s">
        <v>279</v>
      </c>
      <c r="H236" s="3" t="s">
        <v>289</v>
      </c>
      <c r="I236" t="str">
        <f>IFERROR(VLOOKUP(Prestamos[[#This Row],[ID Libro]],Inventario_Libros!A:B,2,0),"Libro No Existe")</f>
        <v>Hamlet</v>
      </c>
      <c r="J236" t="str">
        <f>IFERROR(VLOOKUP(Prestamos[[#This Row],[ID Libro]],Inventario_Libros!A:C,3,0),"Libro No Existe")</f>
        <v>William Shakespeare</v>
      </c>
      <c r="K236" t="str">
        <f>IFERROR(VLOOKUP(Prestamos[[#This Row],[ID Libro]],Inventario_Libros!A:D,4,0),"Libro No Existe")</f>
        <v>Clásicos</v>
      </c>
      <c r="L236">
        <f>IFERROR(VLOOKUP(Prestamos[[#This Row],[ID Libro]],Inventario_Libros!A:E,5,0),"Libro No Existe")</f>
        <v>1909</v>
      </c>
      <c r="M236" t="str">
        <f>_xlfn.XLOOKUP(D:D,Inventario_Libros!A:A,Inventario_Libros!G:G,"No Existe",0)</f>
        <v>B-2</v>
      </c>
      <c r="N236" t="str">
        <f>IFERROR(VLOOKUP(Prestamos[[#This Row],[ID Libro]],Inventario_Libros!A:H,8,0),"Libro No Existe")</f>
        <v>Retirado</v>
      </c>
    </row>
    <row r="237" spans="1:14" x14ac:dyDescent="0.3">
      <c r="A237" s="5" t="s">
        <v>764</v>
      </c>
      <c r="B237" s="1">
        <v>45980</v>
      </c>
      <c r="C237" s="1">
        <v>45985</v>
      </c>
      <c r="D237" s="4" t="s">
        <v>475</v>
      </c>
      <c r="E237" s="2" t="s">
        <v>265</v>
      </c>
      <c r="F237" s="2" t="s">
        <v>275</v>
      </c>
      <c r="G237" s="2" t="s">
        <v>253</v>
      </c>
      <c r="H237" s="3">
        <v>0</v>
      </c>
      <c r="I237" t="str">
        <f>IFERROR(VLOOKUP(Prestamos[[#This Row],[ID Libro]],Inventario_Libros!A:B,2,0),"Libro No Existe")</f>
        <v>Libro No Existe</v>
      </c>
      <c r="J237" t="str">
        <f>IFERROR(VLOOKUP(Prestamos[[#This Row],[ID Libro]],Inventario_Libros!A:C,3,0),"Libro No Existe")</f>
        <v>Libro No Existe</v>
      </c>
      <c r="K237" t="str">
        <f>IFERROR(VLOOKUP(Prestamos[[#This Row],[ID Libro]],Inventario_Libros!A:D,4,0),"Libro No Existe")</f>
        <v>Libro No Existe</v>
      </c>
      <c r="L237" t="str">
        <f>IFERROR(VLOOKUP(Prestamos[[#This Row],[ID Libro]],Inventario_Libros!A:E,5,0),"Libro No Existe")</f>
        <v>Libro No Existe</v>
      </c>
      <c r="M237" t="str">
        <f>_xlfn.XLOOKUP(D:D,Inventario_Libros!A:A,Inventario_Libros!G:G,"No Existe",0)</f>
        <v>No Existe</v>
      </c>
      <c r="N237" t="str">
        <f>IFERROR(VLOOKUP(Prestamos[[#This Row],[ID Libro]],Inventario_Libros!A:H,8,0),"Libro No Existe")</f>
        <v>Libro No Existe</v>
      </c>
    </row>
    <row r="238" spans="1:14" x14ac:dyDescent="0.3">
      <c r="A238" s="5" t="s">
        <v>765</v>
      </c>
      <c r="B238" s="1">
        <v>45696</v>
      </c>
      <c r="C238" s="1">
        <v>45702</v>
      </c>
      <c r="D238" s="4" t="s">
        <v>364</v>
      </c>
      <c r="E238" s="2" t="s">
        <v>274</v>
      </c>
      <c r="F238" s="2" t="s">
        <v>258</v>
      </c>
      <c r="G238" s="2" t="s">
        <v>253</v>
      </c>
      <c r="H238" s="3">
        <v>0</v>
      </c>
      <c r="I238" t="str">
        <f>IFERROR(VLOOKUP(Prestamos[[#This Row],[ID Libro]],Inventario_Libros!A:B,2,0),"Libro No Existe")</f>
        <v>El Amor En Los Tiempos Del Cólera</v>
      </c>
      <c r="J238" t="str">
        <f>IFERROR(VLOOKUP(Prestamos[[#This Row],[ID Libro]],Inventario_Libros!A:C,3,0),"Libro No Existe")</f>
        <v>Gabriel García Márquez</v>
      </c>
      <c r="K238" t="str">
        <f>IFERROR(VLOOKUP(Prestamos[[#This Row],[ID Libro]],Inventario_Libros!A:D,4,0),"Libro No Existe")</f>
        <v>Novela</v>
      </c>
      <c r="L238">
        <f>IFERROR(VLOOKUP(Prestamos[[#This Row],[ID Libro]],Inventario_Libros!A:E,5,0),"Libro No Existe")</f>
        <v>1963</v>
      </c>
      <c r="M238" t="str">
        <f>_xlfn.XLOOKUP(D:D,Inventario_Libros!A:A,Inventario_Libros!G:G,"No Existe",0)</f>
        <v>C-3</v>
      </c>
      <c r="N238" t="str">
        <f>IFERROR(VLOOKUP(Prestamos[[#This Row],[ID Libro]],Inventario_Libros!A:H,8,0),"Libro No Existe")</f>
        <v>Retirado</v>
      </c>
    </row>
    <row r="239" spans="1:14" x14ac:dyDescent="0.3">
      <c r="A239" s="5" t="s">
        <v>766</v>
      </c>
      <c r="B239" s="1">
        <v>45671</v>
      </c>
      <c r="C239" s="1">
        <v>45691</v>
      </c>
      <c r="D239" s="4" t="s">
        <v>319</v>
      </c>
      <c r="E239" s="2" t="s">
        <v>259</v>
      </c>
      <c r="F239" s="2" t="s">
        <v>263</v>
      </c>
      <c r="G239" s="2" t="s">
        <v>257</v>
      </c>
      <c r="H239" s="3">
        <v>5</v>
      </c>
      <c r="I239" t="str">
        <f>IFERROR(VLOOKUP(Prestamos[[#This Row],[ID Libro]],Inventario_Libros!A:B,2,0),"Libro No Existe")</f>
        <v>Crónica De Una Muerte Anunciada</v>
      </c>
      <c r="J239" t="str">
        <f>IFERROR(VLOOKUP(Prestamos[[#This Row],[ID Libro]],Inventario_Libros!A:C,3,0),"Libro No Existe")</f>
        <v>Gabriel García Márquez</v>
      </c>
      <c r="K239" t="str">
        <f>IFERROR(VLOOKUP(Prestamos[[#This Row],[ID Libro]],Inventario_Libros!A:D,4,0),"Libro No Existe")</f>
        <v>Novela</v>
      </c>
      <c r="L239">
        <f>IFERROR(VLOOKUP(Prestamos[[#This Row],[ID Libro]],Inventario_Libros!A:E,5,0),"Libro No Existe")</f>
        <v>1929</v>
      </c>
      <c r="M239" t="str">
        <f>_xlfn.XLOOKUP(D:D,Inventario_Libros!A:A,Inventario_Libros!G:G,"No Existe",0)</f>
        <v>Est-1</v>
      </c>
      <c r="N239" t="str">
        <f>IFERROR(VLOOKUP(Prestamos[[#This Row],[ID Libro]],Inventario_Libros!A:H,8,0),"Libro No Existe")</f>
        <v>Activo</v>
      </c>
    </row>
    <row r="240" spans="1:14" x14ac:dyDescent="0.3">
      <c r="A240" s="5" t="s">
        <v>767</v>
      </c>
      <c r="B240" s="1">
        <v>45822</v>
      </c>
      <c r="C240" s="1">
        <v>45828</v>
      </c>
      <c r="D240" s="4" t="s">
        <v>450</v>
      </c>
      <c r="E240" s="2" t="s">
        <v>254</v>
      </c>
      <c r="F240" s="2" t="s">
        <v>263</v>
      </c>
      <c r="G240" s="2" t="s">
        <v>253</v>
      </c>
      <c r="H240" s="3" t="s">
        <v>280</v>
      </c>
      <c r="I240" t="str">
        <f>IFERROR(VLOOKUP(Prestamos[[#This Row],[ID Libro]],Inventario_Libros!A:B,2,0),"Libro No Existe")</f>
        <v>El Código Da Vinci</v>
      </c>
      <c r="J240" t="str">
        <f>IFERROR(VLOOKUP(Prestamos[[#This Row],[ID Libro]],Inventario_Libros!A:C,3,0),"Libro No Existe")</f>
        <v>Dan Brown</v>
      </c>
      <c r="K240" t="str">
        <f>IFERROR(VLOOKUP(Prestamos[[#This Row],[ID Libro]],Inventario_Libros!A:D,4,0),"Libro No Existe")</f>
        <v>Misterio</v>
      </c>
      <c r="L240">
        <f>IFERROR(VLOOKUP(Prestamos[[#This Row],[ID Libro]],Inventario_Libros!A:E,5,0),"Libro No Existe")</f>
        <v>2008</v>
      </c>
      <c r="M240" t="str">
        <f>_xlfn.XLOOKUP(D:D,Inventario_Libros!A:A,Inventario_Libros!G:G,"No Existe",0)</f>
        <v>C-3</v>
      </c>
      <c r="N240" t="str">
        <f>IFERROR(VLOOKUP(Prestamos[[#This Row],[ID Libro]],Inventario_Libros!A:H,8,0),"Libro No Existe")</f>
        <v>Retirado</v>
      </c>
    </row>
    <row r="241" spans="1:14" x14ac:dyDescent="0.3">
      <c r="A241" s="5" t="s">
        <v>768</v>
      </c>
      <c r="B241" s="1">
        <v>45732</v>
      </c>
      <c r="C241" s="1">
        <v>45752</v>
      </c>
      <c r="D241" s="4" t="s">
        <v>336</v>
      </c>
      <c r="E241" s="2" t="s">
        <v>270</v>
      </c>
      <c r="F241" s="2" t="s">
        <v>258</v>
      </c>
      <c r="G241" s="2" t="s">
        <v>257</v>
      </c>
      <c r="H241" s="3">
        <v>5</v>
      </c>
      <c r="I241" t="str">
        <f>IFERROR(VLOOKUP(Prestamos[[#This Row],[ID Libro]],Inventario_Libros!A:B,2,0),"Libro No Existe")</f>
        <v>Cien Años De Soledad</v>
      </c>
      <c r="J241" t="str">
        <f>IFERROR(VLOOKUP(Prestamos[[#This Row],[ID Libro]],Inventario_Libros!A:C,3,0),"Libro No Existe")</f>
        <v>Gabriel García Márquez</v>
      </c>
      <c r="K241" t="str">
        <f>IFERROR(VLOOKUP(Prestamos[[#This Row],[ID Libro]],Inventario_Libros!A:D,4,0),"Libro No Existe")</f>
        <v>Novela</v>
      </c>
      <c r="L241">
        <f>IFERROR(VLOOKUP(Prestamos[[#This Row],[ID Libro]],Inventario_Libros!A:E,5,0),"Libro No Existe")</f>
        <v>2014</v>
      </c>
      <c r="M241" t="str">
        <f>_xlfn.XLOOKUP(D:D,Inventario_Libros!A:A,Inventario_Libros!G:G,"No Existe",0)</f>
        <v>B-2</v>
      </c>
      <c r="N241" t="str">
        <f>IFERROR(VLOOKUP(Prestamos[[#This Row],[ID Libro]],Inventario_Libros!A:H,8,0),"Libro No Existe")</f>
        <v>Activo</v>
      </c>
    </row>
    <row r="242" spans="1:14" x14ac:dyDescent="0.3">
      <c r="A242" s="5" t="s">
        <v>769</v>
      </c>
      <c r="B242" s="1">
        <v>45813</v>
      </c>
      <c r="C242" s="1">
        <v>45819</v>
      </c>
      <c r="D242" s="4" t="s">
        <v>382</v>
      </c>
      <c r="E242" s="2" t="s">
        <v>261</v>
      </c>
      <c r="F242" s="2" t="s">
        <v>263</v>
      </c>
      <c r="G242" s="2" t="s">
        <v>253</v>
      </c>
      <c r="H242" s="3">
        <v>0</v>
      </c>
      <c r="I242" t="str">
        <f>IFERROR(VLOOKUP(Prestamos[[#This Row],[ID Libro]],Inventario_Libros!A:B,2,0),"Libro No Existe")</f>
        <v>Crónica De Una Muerte Anunciada</v>
      </c>
      <c r="J242" t="str">
        <f>IFERROR(VLOOKUP(Prestamos[[#This Row],[ID Libro]],Inventario_Libros!A:C,3,0),"Libro No Existe")</f>
        <v>Gabriel García Márquez</v>
      </c>
      <c r="K242" t="str">
        <f>IFERROR(VLOOKUP(Prestamos[[#This Row],[ID Libro]],Inventario_Libros!A:D,4,0),"Libro No Existe")</f>
        <v>Novela</v>
      </c>
      <c r="L242">
        <f>IFERROR(VLOOKUP(Prestamos[[#This Row],[ID Libro]],Inventario_Libros!A:E,5,0),"Libro No Existe")</f>
        <v>1987</v>
      </c>
      <c r="M242" t="str">
        <f>_xlfn.XLOOKUP(D:D,Inventario_Libros!A:A,Inventario_Libros!G:G,"No Existe",0)</f>
        <v>A-1</v>
      </c>
      <c r="N242" t="str">
        <f>IFERROR(VLOOKUP(Prestamos[[#This Row],[ID Libro]],Inventario_Libros!A:H,8,0),"Libro No Existe")</f>
        <v>Activo</v>
      </c>
    </row>
    <row r="243" spans="1:14" x14ac:dyDescent="0.3">
      <c r="A243" s="5" t="s">
        <v>770</v>
      </c>
      <c r="B243" s="1">
        <v>45841</v>
      </c>
      <c r="C243" s="1">
        <v>45861</v>
      </c>
      <c r="D243" s="4" t="s">
        <v>326</v>
      </c>
      <c r="E243" s="2" t="s">
        <v>262</v>
      </c>
      <c r="F243" s="2" t="s">
        <v>263</v>
      </c>
      <c r="G243" s="2" t="s">
        <v>257</v>
      </c>
      <c r="H243" s="3">
        <v>5</v>
      </c>
      <c r="I243" t="str">
        <f>IFERROR(VLOOKUP(Prestamos[[#This Row],[ID Libro]],Inventario_Libros!A:B,2,0),"Libro No Existe")</f>
        <v>Orgullo Y Prejuicio</v>
      </c>
      <c r="J243" t="str">
        <f>IFERROR(VLOOKUP(Prestamos[[#This Row],[ID Libro]],Inventario_Libros!A:C,3,0),"Libro No Existe")</f>
        <v>Jane Austen</v>
      </c>
      <c r="K243" t="str">
        <f>IFERROR(VLOOKUP(Prestamos[[#This Row],[ID Libro]],Inventario_Libros!A:D,4,0),"Libro No Existe")</f>
        <v>Novela</v>
      </c>
      <c r="L243">
        <f>IFERROR(VLOOKUP(Prestamos[[#This Row],[ID Libro]],Inventario_Libros!A:E,5,0),"Libro No Existe")</f>
        <v>2013</v>
      </c>
      <c r="M243" t="str">
        <f>_xlfn.XLOOKUP(D:D,Inventario_Libros!A:A,Inventario_Libros!G:G,"No Existe",0)</f>
        <v>Est-1</v>
      </c>
      <c r="N243" t="str">
        <f>IFERROR(VLOOKUP(Prestamos[[#This Row],[ID Libro]],Inventario_Libros!A:H,8,0),"Libro No Existe")</f>
        <v>Activo</v>
      </c>
    </row>
    <row r="244" spans="1:14" x14ac:dyDescent="0.3">
      <c r="A244" s="5" t="s">
        <v>771</v>
      </c>
      <c r="B244" s="1">
        <v>45700</v>
      </c>
      <c r="C244" s="1">
        <v>45706</v>
      </c>
      <c r="D244" s="4" t="s">
        <v>476</v>
      </c>
      <c r="E244" s="2" t="s">
        <v>274</v>
      </c>
      <c r="F244" s="2" t="s">
        <v>263</v>
      </c>
      <c r="G244" s="2" t="s">
        <v>279</v>
      </c>
      <c r="H244" s="3" t="s">
        <v>289</v>
      </c>
      <c r="I244" t="str">
        <f>IFERROR(VLOOKUP(Prestamos[[#This Row],[ID Libro]],Inventario_Libros!A:B,2,0),"Libro No Existe")</f>
        <v>Pedro Páramo</v>
      </c>
      <c r="J244" t="str">
        <f>IFERROR(VLOOKUP(Prestamos[[#This Row],[ID Libro]],Inventario_Libros!A:C,3,0),"Libro No Existe")</f>
        <v>Juan Rulfo</v>
      </c>
      <c r="K244" t="str">
        <f>IFERROR(VLOOKUP(Prestamos[[#This Row],[ID Libro]],Inventario_Libros!A:D,4,0),"Libro No Existe")</f>
        <v>Novela</v>
      </c>
      <c r="L244">
        <f>IFERROR(VLOOKUP(Prestamos[[#This Row],[ID Libro]],Inventario_Libros!A:E,5,0),"Libro No Existe")</f>
        <v>1934</v>
      </c>
      <c r="M244" t="str">
        <f>_xlfn.XLOOKUP(D:D,Inventario_Libros!A:A,Inventario_Libros!G:G,"No Existe",0)</f>
        <v>Est-1</v>
      </c>
      <c r="N244" t="str">
        <f>IFERROR(VLOOKUP(Prestamos[[#This Row],[ID Libro]],Inventario_Libros!A:H,8,0),"Libro No Existe")</f>
        <v>Activo</v>
      </c>
    </row>
    <row r="245" spans="1:14" x14ac:dyDescent="0.3">
      <c r="A245" s="5" t="s">
        <v>772</v>
      </c>
      <c r="B245" s="1">
        <v>45909</v>
      </c>
      <c r="C245" s="1">
        <v>45915</v>
      </c>
      <c r="D245" s="4" t="s">
        <v>465</v>
      </c>
      <c r="E245" s="2" t="s">
        <v>260</v>
      </c>
      <c r="F245" s="2" t="s">
        <v>263</v>
      </c>
      <c r="G245" s="2" t="s">
        <v>253</v>
      </c>
      <c r="H245" s="3" t="s">
        <v>280</v>
      </c>
      <c r="I245" t="str">
        <f>IFERROR(VLOOKUP(Prestamos[[#This Row],[ID Libro]],Inventario_Libros!A:B,2,0),"Libro No Existe")</f>
        <v>1984</v>
      </c>
      <c r="J245" t="str">
        <f>IFERROR(VLOOKUP(Prestamos[[#This Row],[ID Libro]],Inventario_Libros!A:C,3,0),"Libro No Existe")</f>
        <v>George Orwell</v>
      </c>
      <c r="K245" t="str">
        <f>IFERROR(VLOOKUP(Prestamos[[#This Row],[ID Libro]],Inventario_Libros!A:D,4,0),"Libro No Existe")</f>
        <v>Ciencia Ficción</v>
      </c>
      <c r="L245">
        <f>IFERROR(VLOOKUP(Prestamos[[#This Row],[ID Libro]],Inventario_Libros!A:E,5,0),"Libro No Existe")</f>
        <v>2018</v>
      </c>
      <c r="M245" t="str">
        <f>_xlfn.XLOOKUP(D:D,Inventario_Libros!A:A,Inventario_Libros!G:G,"No Existe",0)</f>
        <v>A-1</v>
      </c>
      <c r="N245" t="str">
        <f>IFERROR(VLOOKUP(Prestamos[[#This Row],[ID Libro]],Inventario_Libros!A:H,8,0),"Libro No Existe")</f>
        <v>Activo</v>
      </c>
    </row>
    <row r="246" spans="1:14" x14ac:dyDescent="0.3">
      <c r="A246" s="5" t="s">
        <v>773</v>
      </c>
      <c r="B246" s="1">
        <v>45761</v>
      </c>
      <c r="C246" s="1">
        <v>45767</v>
      </c>
      <c r="D246" s="4" t="s">
        <v>353</v>
      </c>
      <c r="E246" s="2" t="s">
        <v>259</v>
      </c>
      <c r="F246" s="2" t="s">
        <v>275</v>
      </c>
      <c r="G246" s="2" t="s">
        <v>253</v>
      </c>
      <c r="H246" s="3">
        <v>0</v>
      </c>
      <c r="I246" t="str">
        <f>IFERROR(VLOOKUP(Prestamos[[#This Row],[ID Libro]],Inventario_Libros!A:B,2,0),"Libro No Existe")</f>
        <v>El Código Da Vinci</v>
      </c>
      <c r="J246" t="str">
        <f>IFERROR(VLOOKUP(Prestamos[[#This Row],[ID Libro]],Inventario_Libros!A:C,3,0),"Libro No Existe")</f>
        <v>Dan Brown</v>
      </c>
      <c r="K246" t="str">
        <f>IFERROR(VLOOKUP(Prestamos[[#This Row],[ID Libro]],Inventario_Libros!A:D,4,0),"Libro No Existe")</f>
        <v>Misterio</v>
      </c>
      <c r="L246">
        <f>IFERROR(VLOOKUP(Prestamos[[#This Row],[ID Libro]],Inventario_Libros!A:E,5,0),"Libro No Existe")</f>
        <v>1937</v>
      </c>
      <c r="M246" t="str">
        <f>_xlfn.XLOOKUP(D:D,Inventario_Libros!A:A,Inventario_Libros!G:G,"No Existe",0)</f>
        <v>A-1</v>
      </c>
      <c r="N246" t="str">
        <f>IFERROR(VLOOKUP(Prestamos[[#This Row],[ID Libro]],Inventario_Libros!A:H,8,0),"Libro No Existe")</f>
        <v>Activo</v>
      </c>
    </row>
    <row r="247" spans="1:14" x14ac:dyDescent="0.3">
      <c r="A247" s="5" t="s">
        <v>774</v>
      </c>
      <c r="B247" s="1">
        <v>45904</v>
      </c>
      <c r="C247" s="1">
        <v>45910</v>
      </c>
      <c r="D247" s="4" t="s">
        <v>477</v>
      </c>
      <c r="E247" s="2" t="s">
        <v>266</v>
      </c>
      <c r="F247" s="2" t="s">
        <v>263</v>
      </c>
      <c r="G247" s="2" t="s">
        <v>253</v>
      </c>
      <c r="H247" s="3">
        <v>1</v>
      </c>
      <c r="I247" t="str">
        <f>IFERROR(VLOOKUP(Prestamos[[#This Row],[ID Libro]],Inventario_Libros!A:B,2,0),"Libro No Existe")</f>
        <v>Don Quijote De La Mancha</v>
      </c>
      <c r="J247" t="str">
        <f>IFERROR(VLOOKUP(Prestamos[[#This Row],[ID Libro]],Inventario_Libros!A:C,3,0),"Libro No Existe")</f>
        <v>Miguel De Cervantes</v>
      </c>
      <c r="K247" t="str">
        <f>IFERROR(VLOOKUP(Prestamos[[#This Row],[ID Libro]],Inventario_Libros!A:D,4,0),"Libro No Existe")</f>
        <v>Novela</v>
      </c>
      <c r="L247">
        <f>IFERROR(VLOOKUP(Prestamos[[#This Row],[ID Libro]],Inventario_Libros!A:E,5,0),"Libro No Existe")</f>
        <v>1970</v>
      </c>
      <c r="M247" t="str">
        <f>_xlfn.XLOOKUP(D:D,Inventario_Libros!A:A,Inventario_Libros!G:G,"No Existe",0)</f>
        <v>Est-1</v>
      </c>
      <c r="N247" t="str">
        <f>IFERROR(VLOOKUP(Prestamos[[#This Row],[ID Libro]],Inventario_Libros!A:H,8,0),"Libro No Existe")</f>
        <v>Retirado</v>
      </c>
    </row>
    <row r="248" spans="1:14" x14ac:dyDescent="0.3">
      <c r="A248" s="5" t="s">
        <v>775</v>
      </c>
      <c r="B248" s="1">
        <v>45945</v>
      </c>
      <c r="C248" s="1">
        <v>45951</v>
      </c>
      <c r="D248" s="4" t="s">
        <v>404</v>
      </c>
      <c r="E248" s="2" t="s">
        <v>272</v>
      </c>
      <c r="F248" s="2" t="s">
        <v>263</v>
      </c>
      <c r="G248" s="2" t="s">
        <v>253</v>
      </c>
      <c r="H248" s="3">
        <v>0</v>
      </c>
      <c r="I248" t="str">
        <f>IFERROR(VLOOKUP(Prestamos[[#This Row],[ID Libro]],Inventario_Libros!A:B,2,0),"Libro No Existe")</f>
        <v>Rebelión En La Granja</v>
      </c>
      <c r="J248" t="str">
        <f>IFERROR(VLOOKUP(Prestamos[[#This Row],[ID Libro]],Inventario_Libros!A:C,3,0),"Libro No Existe")</f>
        <v>George Orwell</v>
      </c>
      <c r="K248" t="str">
        <f>IFERROR(VLOOKUP(Prestamos[[#This Row],[ID Libro]],Inventario_Libros!A:D,4,0),"Libro No Existe")</f>
        <v>Ciencia Ficción</v>
      </c>
      <c r="L248">
        <f>IFERROR(VLOOKUP(Prestamos[[#This Row],[ID Libro]],Inventario_Libros!A:E,5,0),"Libro No Existe")</f>
        <v>1897</v>
      </c>
      <c r="M248" t="str">
        <f>_xlfn.XLOOKUP(D:D,Inventario_Libros!A:A,Inventario_Libros!G:G,"No Existe",0)</f>
        <v>C-3</v>
      </c>
      <c r="N248" t="str">
        <f>IFERROR(VLOOKUP(Prestamos[[#This Row],[ID Libro]],Inventario_Libros!A:H,8,0),"Libro No Existe")</f>
        <v>Activo</v>
      </c>
    </row>
    <row r="249" spans="1:14" x14ac:dyDescent="0.3">
      <c r="A249" s="5" t="s">
        <v>776</v>
      </c>
      <c r="B249" s="1">
        <v>45883</v>
      </c>
      <c r="C249" s="1">
        <v>45901</v>
      </c>
      <c r="D249" s="4" t="s">
        <v>404</v>
      </c>
      <c r="E249" s="2" t="s">
        <v>278</v>
      </c>
      <c r="F249" s="2" t="s">
        <v>255</v>
      </c>
      <c r="G249" s="2" t="s">
        <v>257</v>
      </c>
      <c r="H249" s="3">
        <v>3</v>
      </c>
      <c r="I249" t="str">
        <f>IFERROR(VLOOKUP(Prestamos[[#This Row],[ID Libro]],Inventario_Libros!A:B,2,0),"Libro No Existe")</f>
        <v>Rebelión En La Granja</v>
      </c>
      <c r="J249" t="str">
        <f>IFERROR(VLOOKUP(Prestamos[[#This Row],[ID Libro]],Inventario_Libros!A:C,3,0),"Libro No Existe")</f>
        <v>George Orwell</v>
      </c>
      <c r="K249" t="str">
        <f>IFERROR(VLOOKUP(Prestamos[[#This Row],[ID Libro]],Inventario_Libros!A:D,4,0),"Libro No Existe")</f>
        <v>Ciencia Ficción</v>
      </c>
      <c r="L249">
        <f>IFERROR(VLOOKUP(Prestamos[[#This Row],[ID Libro]],Inventario_Libros!A:E,5,0),"Libro No Existe")</f>
        <v>1897</v>
      </c>
      <c r="M249" t="str">
        <f>_xlfn.XLOOKUP(D:D,Inventario_Libros!A:A,Inventario_Libros!G:G,"No Existe",0)</f>
        <v>C-3</v>
      </c>
      <c r="N249" t="str">
        <f>IFERROR(VLOOKUP(Prestamos[[#This Row],[ID Libro]],Inventario_Libros!A:H,8,0),"Libro No Existe")</f>
        <v>Activo</v>
      </c>
    </row>
    <row r="250" spans="1:14" x14ac:dyDescent="0.3">
      <c r="A250" s="5" t="s">
        <v>777</v>
      </c>
      <c r="B250" s="1">
        <v>45794</v>
      </c>
      <c r="C250" s="1">
        <v>45801</v>
      </c>
      <c r="D250" s="4" t="s">
        <v>342</v>
      </c>
      <c r="E250" s="2" t="s">
        <v>254</v>
      </c>
      <c r="F250" s="2" t="s">
        <v>258</v>
      </c>
      <c r="G250" s="2" t="s">
        <v>279</v>
      </c>
      <c r="H250" s="3" t="s">
        <v>289</v>
      </c>
      <c r="I250" t="str">
        <f>IFERROR(VLOOKUP(Prestamos[[#This Row],[ID Libro]],Inventario_Libros!A:B,2,0),"Libro No Existe")</f>
        <v>Crónica De Una Muerte Anunciada</v>
      </c>
      <c r="J250" t="str">
        <f>IFERROR(VLOOKUP(Prestamos[[#This Row],[ID Libro]],Inventario_Libros!A:C,3,0),"Libro No Existe")</f>
        <v>Gabriel García Márquez</v>
      </c>
      <c r="K250" t="str">
        <f>IFERROR(VLOOKUP(Prestamos[[#This Row],[ID Libro]],Inventario_Libros!A:D,4,0),"Libro No Existe")</f>
        <v>Novela</v>
      </c>
      <c r="L250">
        <f>IFERROR(VLOOKUP(Prestamos[[#This Row],[ID Libro]],Inventario_Libros!A:E,5,0),"Libro No Existe")</f>
        <v>1999</v>
      </c>
      <c r="M250" t="str">
        <f>_xlfn.XLOOKUP(D:D,Inventario_Libros!A:A,Inventario_Libros!G:G,"No Existe",0)</f>
        <v>A-1</v>
      </c>
      <c r="N250" t="str">
        <f>IFERROR(VLOOKUP(Prestamos[[#This Row],[ID Libro]],Inventario_Libros!A:H,8,0),"Libro No Existe")</f>
        <v>Activo</v>
      </c>
    </row>
    <row r="251" spans="1:14" x14ac:dyDescent="0.3">
      <c r="A251" s="5" t="s">
        <v>778</v>
      </c>
      <c r="B251" s="1">
        <v>45980</v>
      </c>
      <c r="C251" s="1">
        <v>45998</v>
      </c>
      <c r="D251" s="4" t="s">
        <v>407</v>
      </c>
      <c r="E251" s="2" t="s">
        <v>267</v>
      </c>
      <c r="F251" s="2" t="s">
        <v>275</v>
      </c>
      <c r="G251" s="2" t="s">
        <v>257</v>
      </c>
      <c r="H251" s="3">
        <v>3</v>
      </c>
      <c r="I251" t="str">
        <f>IFERROR(VLOOKUP(Prestamos[[#This Row],[ID Libro]],Inventario_Libros!A:B,2,0),"Libro No Existe")</f>
        <v>Crónica De Una Muerte Anunciada</v>
      </c>
      <c r="J251" t="str">
        <f>IFERROR(VLOOKUP(Prestamos[[#This Row],[ID Libro]],Inventario_Libros!A:C,3,0),"Libro No Existe")</f>
        <v>Gabriel García Márquez</v>
      </c>
      <c r="K251" t="str">
        <f>IFERROR(VLOOKUP(Prestamos[[#This Row],[ID Libro]],Inventario_Libros!A:D,4,0),"Libro No Existe")</f>
        <v>Novela</v>
      </c>
      <c r="L251">
        <f>IFERROR(VLOOKUP(Prestamos[[#This Row],[ID Libro]],Inventario_Libros!A:E,5,0),"Libro No Existe")</f>
        <v>1934</v>
      </c>
      <c r="M251" t="str">
        <f>_xlfn.XLOOKUP(D:D,Inventario_Libros!A:A,Inventario_Libros!G:G,"No Existe",0)</f>
        <v>C-3</v>
      </c>
      <c r="N251" t="str">
        <f>IFERROR(VLOOKUP(Prestamos[[#This Row],[ID Libro]],Inventario_Libros!A:H,8,0),"Libro No Existe")</f>
        <v>Retirado</v>
      </c>
    </row>
    <row r="252" spans="1:14" x14ac:dyDescent="0.3">
      <c r="A252" s="5" t="s">
        <v>779</v>
      </c>
      <c r="B252" s="1">
        <v>45929</v>
      </c>
      <c r="C252" s="1">
        <v>45936</v>
      </c>
      <c r="D252" s="4" t="s">
        <v>339</v>
      </c>
      <c r="E252" s="2" t="s">
        <v>266</v>
      </c>
      <c r="F252" s="2" t="s">
        <v>258</v>
      </c>
      <c r="G252" s="2" t="s">
        <v>253</v>
      </c>
      <c r="H252" s="3">
        <v>0</v>
      </c>
      <c r="I252" t="str">
        <f>IFERROR(VLOOKUP(Prestamos[[#This Row],[ID Libro]],Inventario_Libros!A:B,2,0),"Libro No Existe")</f>
        <v>La Iliada</v>
      </c>
      <c r="J252" t="str">
        <f>IFERROR(VLOOKUP(Prestamos[[#This Row],[ID Libro]],Inventario_Libros!A:C,3,0),"Libro No Existe")</f>
        <v>Homero</v>
      </c>
      <c r="K252" t="str">
        <f>IFERROR(VLOOKUP(Prestamos[[#This Row],[ID Libro]],Inventario_Libros!A:D,4,0),"Libro No Existe")</f>
        <v>Clásicos</v>
      </c>
      <c r="L252">
        <f>IFERROR(VLOOKUP(Prestamos[[#This Row],[ID Libro]],Inventario_Libros!A:E,5,0),"Libro No Existe")</f>
        <v>1996</v>
      </c>
      <c r="M252" t="str">
        <f>_xlfn.XLOOKUP(D:D,Inventario_Libros!A:A,Inventario_Libros!G:G,"No Existe",0)</f>
        <v>B-2</v>
      </c>
      <c r="N252" t="str">
        <f>IFERROR(VLOOKUP(Prestamos[[#This Row],[ID Libro]],Inventario_Libros!A:H,8,0),"Libro No Existe")</f>
        <v>Activo</v>
      </c>
    </row>
    <row r="253" spans="1:14" x14ac:dyDescent="0.3">
      <c r="A253" s="5" t="s">
        <v>780</v>
      </c>
      <c r="B253" s="1">
        <v>45959</v>
      </c>
      <c r="C253" s="1" t="s">
        <v>289</v>
      </c>
      <c r="D253" s="4" t="s">
        <v>359</v>
      </c>
      <c r="E253" s="2" t="s">
        <v>259</v>
      </c>
      <c r="F253" s="2" t="s">
        <v>258</v>
      </c>
      <c r="G253" s="2" t="s">
        <v>257</v>
      </c>
      <c r="H253" s="3">
        <v>5</v>
      </c>
      <c r="I253" t="str">
        <f>IFERROR(VLOOKUP(Prestamos[[#This Row],[ID Libro]],Inventario_Libros!A:B,2,0),"Libro No Existe")</f>
        <v>Pedro Páramo</v>
      </c>
      <c r="J253" t="str">
        <f>IFERROR(VLOOKUP(Prestamos[[#This Row],[ID Libro]],Inventario_Libros!A:C,3,0),"Libro No Existe")</f>
        <v>Juan Rulfo</v>
      </c>
      <c r="K253" t="str">
        <f>IFERROR(VLOOKUP(Prestamos[[#This Row],[ID Libro]],Inventario_Libros!A:D,4,0),"Libro No Existe")</f>
        <v>Novela</v>
      </c>
      <c r="L253">
        <f>IFERROR(VLOOKUP(Prestamos[[#This Row],[ID Libro]],Inventario_Libros!A:E,5,0),"Libro No Existe")</f>
        <v>1920</v>
      </c>
      <c r="M253" t="str">
        <f>_xlfn.XLOOKUP(D:D,Inventario_Libros!A:A,Inventario_Libros!G:G,"No Existe",0)</f>
        <v>No Asignado</v>
      </c>
      <c r="N253" t="str">
        <f>IFERROR(VLOOKUP(Prestamos[[#This Row],[ID Libro]],Inventario_Libros!A:H,8,0),"Libro No Existe")</f>
        <v>Retirado</v>
      </c>
    </row>
    <row r="254" spans="1:14" x14ac:dyDescent="0.3">
      <c r="A254" s="5" t="s">
        <v>781</v>
      </c>
      <c r="B254" s="1">
        <v>45970</v>
      </c>
      <c r="C254" s="1">
        <v>45977</v>
      </c>
      <c r="D254" s="4" t="s">
        <v>478</v>
      </c>
      <c r="E254" s="2" t="s">
        <v>262</v>
      </c>
      <c r="F254" s="2" t="s">
        <v>263</v>
      </c>
      <c r="G254" s="2" t="s">
        <v>279</v>
      </c>
      <c r="H254" s="3" t="s">
        <v>289</v>
      </c>
      <c r="I254" t="str">
        <f>IFERROR(VLOOKUP(Prestamos[[#This Row],[ID Libro]],Inventario_Libros!A:B,2,0),"Libro No Existe")</f>
        <v>Libro No Existe</v>
      </c>
      <c r="J254" t="str">
        <f>IFERROR(VLOOKUP(Prestamos[[#This Row],[ID Libro]],Inventario_Libros!A:C,3,0),"Libro No Existe")</f>
        <v>Libro No Existe</v>
      </c>
      <c r="K254" t="str">
        <f>IFERROR(VLOOKUP(Prestamos[[#This Row],[ID Libro]],Inventario_Libros!A:D,4,0),"Libro No Existe")</f>
        <v>Libro No Existe</v>
      </c>
      <c r="L254" t="str">
        <f>IFERROR(VLOOKUP(Prestamos[[#This Row],[ID Libro]],Inventario_Libros!A:E,5,0),"Libro No Existe")</f>
        <v>Libro No Existe</v>
      </c>
      <c r="M254" t="str">
        <f>_xlfn.XLOOKUP(D:D,Inventario_Libros!A:A,Inventario_Libros!G:G,"No Existe",0)</f>
        <v>No Existe</v>
      </c>
      <c r="N254" t="str">
        <f>IFERROR(VLOOKUP(Prestamos[[#This Row],[ID Libro]],Inventario_Libros!A:H,8,0),"Libro No Existe")</f>
        <v>Libro No Existe</v>
      </c>
    </row>
    <row r="255" spans="1:14" x14ac:dyDescent="0.3">
      <c r="A255" s="5" t="s">
        <v>782</v>
      </c>
      <c r="B255" s="1">
        <v>45868</v>
      </c>
      <c r="C255" s="1">
        <v>45875</v>
      </c>
      <c r="D255" s="4" t="s">
        <v>469</v>
      </c>
      <c r="E255" s="2" t="s">
        <v>256</v>
      </c>
      <c r="F255" s="2" t="s">
        <v>263</v>
      </c>
      <c r="G255" s="2" t="s">
        <v>253</v>
      </c>
      <c r="H255" s="3">
        <v>3</v>
      </c>
      <c r="I255" t="str">
        <f>IFERROR(VLOOKUP(Prestamos[[#This Row],[ID Libro]],Inventario_Libros!A:B,2,0),"Libro No Existe")</f>
        <v>El Aleph</v>
      </c>
      <c r="J255" t="str">
        <f>IFERROR(VLOOKUP(Prestamos[[#This Row],[ID Libro]],Inventario_Libros!A:C,3,0),"Libro No Existe")</f>
        <v>Jorge Luis Borges</v>
      </c>
      <c r="K255" t="str">
        <f>IFERROR(VLOOKUP(Prestamos[[#This Row],[ID Libro]],Inventario_Libros!A:D,4,0),"Libro No Existe")</f>
        <v>Cuentos / Fantasía Metafísica</v>
      </c>
      <c r="L255">
        <f>IFERROR(VLOOKUP(Prestamos[[#This Row],[ID Libro]],Inventario_Libros!A:E,5,0),"Libro No Existe")</f>
        <v>1935</v>
      </c>
      <c r="M255" t="str">
        <f>_xlfn.XLOOKUP(D:D,Inventario_Libros!A:A,Inventario_Libros!G:G,"No Existe",0)</f>
        <v>B-2</v>
      </c>
      <c r="N255" t="str">
        <f>IFERROR(VLOOKUP(Prestamos[[#This Row],[ID Libro]],Inventario_Libros!A:H,8,0),"Libro No Existe")</f>
        <v>Activo</v>
      </c>
    </row>
    <row r="256" spans="1:14" x14ac:dyDescent="0.3">
      <c r="A256" s="5" t="s">
        <v>783</v>
      </c>
      <c r="B256" s="1">
        <v>45901</v>
      </c>
      <c r="C256" s="1">
        <v>45908</v>
      </c>
      <c r="D256" s="4" t="s">
        <v>479</v>
      </c>
      <c r="E256" s="2" t="s">
        <v>265</v>
      </c>
      <c r="F256" s="2" t="s">
        <v>275</v>
      </c>
      <c r="G256" s="2" t="s">
        <v>253</v>
      </c>
      <c r="H256" s="3">
        <v>0</v>
      </c>
      <c r="I256" t="str">
        <f>IFERROR(VLOOKUP(Prestamos[[#This Row],[ID Libro]],Inventario_Libros!A:B,2,0),"Libro No Existe")</f>
        <v>La Casa De Los Espíritus</v>
      </c>
      <c r="J256" t="str">
        <f>IFERROR(VLOOKUP(Prestamos[[#This Row],[ID Libro]],Inventario_Libros!A:C,3,0),"Libro No Existe")</f>
        <v>Isabel Allende</v>
      </c>
      <c r="K256" t="str">
        <f>IFERROR(VLOOKUP(Prestamos[[#This Row],[ID Libro]],Inventario_Libros!A:D,4,0),"Libro No Existe")</f>
        <v>Novela</v>
      </c>
      <c r="L256">
        <f>IFERROR(VLOOKUP(Prestamos[[#This Row],[ID Libro]],Inventario_Libros!A:E,5,0),"Libro No Existe")</f>
        <v>1899</v>
      </c>
      <c r="M256" t="str">
        <f>_xlfn.XLOOKUP(D:D,Inventario_Libros!A:A,Inventario_Libros!G:G,"No Existe",0)</f>
        <v>A-1</v>
      </c>
      <c r="N256" t="str">
        <f>IFERROR(VLOOKUP(Prestamos[[#This Row],[ID Libro]],Inventario_Libros!A:H,8,0),"Libro No Existe")</f>
        <v>Retirado</v>
      </c>
    </row>
    <row r="257" spans="1:14" x14ac:dyDescent="0.3">
      <c r="A257" s="5" t="s">
        <v>784</v>
      </c>
      <c r="B257" s="1">
        <v>45692</v>
      </c>
      <c r="C257" s="1">
        <v>45700</v>
      </c>
      <c r="D257" s="4" t="s">
        <v>480</v>
      </c>
      <c r="E257" s="2" t="s">
        <v>277</v>
      </c>
      <c r="F257" s="2" t="s">
        <v>252</v>
      </c>
      <c r="G257" s="2" t="s">
        <v>279</v>
      </c>
      <c r="H257" s="3" t="s">
        <v>289</v>
      </c>
      <c r="I257" t="str">
        <f>IFERROR(VLOOKUP(Prestamos[[#This Row],[ID Libro]],Inventario_Libros!A:B,2,0),"Libro No Existe")</f>
        <v>Pedro Páramo</v>
      </c>
      <c r="J257" t="str">
        <f>IFERROR(VLOOKUP(Prestamos[[#This Row],[ID Libro]],Inventario_Libros!A:C,3,0),"Libro No Existe")</f>
        <v>Juan Rulfo</v>
      </c>
      <c r="K257" t="str">
        <f>IFERROR(VLOOKUP(Prestamos[[#This Row],[ID Libro]],Inventario_Libros!A:D,4,0),"Libro No Existe")</f>
        <v>Novela</v>
      </c>
      <c r="L257">
        <f>IFERROR(VLOOKUP(Prestamos[[#This Row],[ID Libro]],Inventario_Libros!A:E,5,0),"Libro No Existe")</f>
        <v>2014</v>
      </c>
      <c r="M257" t="str">
        <f>_xlfn.XLOOKUP(D:D,Inventario_Libros!A:A,Inventario_Libros!G:G,"No Existe",0)</f>
        <v>C-3</v>
      </c>
      <c r="N257" t="str">
        <f>IFERROR(VLOOKUP(Prestamos[[#This Row],[ID Libro]],Inventario_Libros!A:H,8,0),"Libro No Existe")</f>
        <v>Activo</v>
      </c>
    </row>
    <row r="258" spans="1:14" x14ac:dyDescent="0.3">
      <c r="A258" s="5" t="s">
        <v>785</v>
      </c>
      <c r="B258" s="1">
        <v>45733</v>
      </c>
      <c r="C258" s="1">
        <v>45751</v>
      </c>
      <c r="D258" s="4" t="s">
        <v>434</v>
      </c>
      <c r="E258" s="2" t="s">
        <v>270</v>
      </c>
      <c r="F258" s="2" t="s">
        <v>258</v>
      </c>
      <c r="G258" s="2" t="s">
        <v>257</v>
      </c>
      <c r="H258" s="3">
        <v>3</v>
      </c>
      <c r="I258" t="str">
        <f>IFERROR(VLOOKUP(Prestamos[[#This Row],[ID Libro]],Inventario_Libros!A:B,2,0),"Libro No Existe")</f>
        <v>Los Detectives Salvajes</v>
      </c>
      <c r="J258" t="str">
        <f>IFERROR(VLOOKUP(Prestamos[[#This Row],[ID Libro]],Inventario_Libros!A:C,3,0),"Libro No Existe")</f>
        <v>Roberto Bolaño</v>
      </c>
      <c r="K258" t="str">
        <f>IFERROR(VLOOKUP(Prestamos[[#This Row],[ID Libro]],Inventario_Libros!A:D,4,0),"Libro No Existe")</f>
        <v>Novela</v>
      </c>
      <c r="L258">
        <f>IFERROR(VLOOKUP(Prestamos[[#This Row],[ID Libro]],Inventario_Libros!A:E,5,0),"Libro No Existe")</f>
        <v>1926</v>
      </c>
      <c r="M258" t="str">
        <f>_xlfn.XLOOKUP(D:D,Inventario_Libros!A:A,Inventario_Libros!G:G,"No Existe",0)</f>
        <v>B-2</v>
      </c>
      <c r="N258" t="str">
        <f>IFERROR(VLOOKUP(Prestamos[[#This Row],[ID Libro]],Inventario_Libros!A:H,8,0),"Libro No Existe")</f>
        <v>Activo</v>
      </c>
    </row>
    <row r="259" spans="1:14" x14ac:dyDescent="0.3">
      <c r="A259" s="5" t="s">
        <v>786</v>
      </c>
      <c r="B259" s="1">
        <v>45977</v>
      </c>
      <c r="C259" s="1">
        <v>46002</v>
      </c>
      <c r="D259" s="4" t="s">
        <v>430</v>
      </c>
      <c r="E259" s="2" t="s">
        <v>256</v>
      </c>
      <c r="F259" s="2" t="s">
        <v>275</v>
      </c>
      <c r="G259" s="2" t="s">
        <v>257</v>
      </c>
      <c r="H259" s="3">
        <v>10</v>
      </c>
      <c r="I259" t="str">
        <f>IFERROR(VLOOKUP(Prestamos[[#This Row],[ID Libro]],Inventario_Libros!A:B,2,0),"Libro No Existe")</f>
        <v>La Ciudad Y Los Perros</v>
      </c>
      <c r="J259" t="str">
        <f>IFERROR(VLOOKUP(Prestamos[[#This Row],[ID Libro]],Inventario_Libros!A:C,3,0),"Libro No Existe")</f>
        <v>Mario Vargas Llosa</v>
      </c>
      <c r="K259" t="str">
        <f>IFERROR(VLOOKUP(Prestamos[[#This Row],[ID Libro]],Inventario_Libros!A:D,4,0),"Libro No Existe")</f>
        <v>Novela</v>
      </c>
      <c r="L259">
        <f>IFERROR(VLOOKUP(Prestamos[[#This Row],[ID Libro]],Inventario_Libros!A:E,5,0),"Libro No Existe")</f>
        <v>1947</v>
      </c>
      <c r="M259" t="str">
        <f>_xlfn.XLOOKUP(D:D,Inventario_Libros!A:A,Inventario_Libros!G:G,"No Existe",0)</f>
        <v>Est-1</v>
      </c>
      <c r="N259" t="str">
        <f>IFERROR(VLOOKUP(Prestamos[[#This Row],[ID Libro]],Inventario_Libros!A:H,8,0),"Libro No Existe")</f>
        <v>Activo</v>
      </c>
    </row>
    <row r="260" spans="1:14" x14ac:dyDescent="0.3">
      <c r="A260" s="5" t="s">
        <v>787</v>
      </c>
      <c r="B260" s="1">
        <v>45753</v>
      </c>
      <c r="C260" s="1">
        <v>45770</v>
      </c>
      <c r="D260" s="4" t="s">
        <v>433</v>
      </c>
      <c r="E260" s="2" t="s">
        <v>261</v>
      </c>
      <c r="F260" s="2" t="s">
        <v>255</v>
      </c>
      <c r="G260" s="2" t="s">
        <v>257</v>
      </c>
      <c r="H260" s="3">
        <v>2</v>
      </c>
      <c r="I260" t="str">
        <f>IFERROR(VLOOKUP(Prestamos[[#This Row],[ID Libro]],Inventario_Libros!A:B,2,0),"Libro No Existe")</f>
        <v>Don Quijote De La Mancha</v>
      </c>
      <c r="J260" t="str">
        <f>IFERROR(VLOOKUP(Prestamos[[#This Row],[ID Libro]],Inventario_Libros!A:C,3,0),"Libro No Existe")</f>
        <v>Miguel De Cervantes</v>
      </c>
      <c r="K260" t="str">
        <f>IFERROR(VLOOKUP(Prestamos[[#This Row],[ID Libro]],Inventario_Libros!A:D,4,0),"Libro No Existe")</f>
        <v>Novela</v>
      </c>
      <c r="L260">
        <f>IFERROR(VLOOKUP(Prestamos[[#This Row],[ID Libro]],Inventario_Libros!A:E,5,0),"Libro No Existe")</f>
        <v>1889</v>
      </c>
      <c r="M260" t="str">
        <f>_xlfn.XLOOKUP(D:D,Inventario_Libros!A:A,Inventario_Libros!G:G,"No Existe",0)</f>
        <v>B-2</v>
      </c>
      <c r="N260" t="str">
        <f>IFERROR(VLOOKUP(Prestamos[[#This Row],[ID Libro]],Inventario_Libros!A:H,8,0),"Libro No Existe")</f>
        <v>Activo</v>
      </c>
    </row>
    <row r="261" spans="1:14" x14ac:dyDescent="0.3">
      <c r="A261" s="5" t="s">
        <v>788</v>
      </c>
      <c r="B261" s="1">
        <v>45677</v>
      </c>
      <c r="C261" s="1">
        <v>45702</v>
      </c>
      <c r="D261" s="4" t="s">
        <v>357</v>
      </c>
      <c r="E261" s="2" t="s">
        <v>270</v>
      </c>
      <c r="F261" s="2" t="s">
        <v>263</v>
      </c>
      <c r="G261" s="2" t="s">
        <v>257</v>
      </c>
      <c r="H261" s="3">
        <v>10</v>
      </c>
      <c r="I261" t="str">
        <f>IFERROR(VLOOKUP(Prestamos[[#This Row],[ID Libro]],Inventario_Libros!A:B,2,0),"Libro No Existe")</f>
        <v>Matadero Cinco</v>
      </c>
      <c r="J261" t="str">
        <f>IFERROR(VLOOKUP(Prestamos[[#This Row],[ID Libro]],Inventario_Libros!A:C,3,0),"Libro No Existe")</f>
        <v>Kurt Vonnegut</v>
      </c>
      <c r="K261" t="str">
        <f>IFERROR(VLOOKUP(Prestamos[[#This Row],[ID Libro]],Inventario_Libros!A:D,4,0),"Libro No Existe")</f>
        <v>Ciencia Ficción</v>
      </c>
      <c r="L261">
        <f>IFERROR(VLOOKUP(Prestamos[[#This Row],[ID Libro]],Inventario_Libros!A:E,5,0),"Libro No Existe")</f>
        <v>1993</v>
      </c>
      <c r="M261" t="str">
        <f>_xlfn.XLOOKUP(D:D,Inventario_Libros!A:A,Inventario_Libros!G:G,"No Existe",0)</f>
        <v>B-2</v>
      </c>
      <c r="N261" t="str">
        <f>IFERROR(VLOOKUP(Prestamos[[#This Row],[ID Libro]],Inventario_Libros!A:H,8,0),"Libro No Existe")</f>
        <v>Activo</v>
      </c>
    </row>
    <row r="262" spans="1:14" x14ac:dyDescent="0.3">
      <c r="A262" s="5" t="s">
        <v>789</v>
      </c>
      <c r="B262" s="1">
        <v>45769</v>
      </c>
      <c r="C262" s="1">
        <v>45789</v>
      </c>
      <c r="D262" s="4" t="s">
        <v>419</v>
      </c>
      <c r="E262" s="2" t="s">
        <v>259</v>
      </c>
      <c r="F262" s="2" t="s">
        <v>258</v>
      </c>
      <c r="G262" s="2" t="s">
        <v>257</v>
      </c>
      <c r="H262" s="3">
        <v>5</v>
      </c>
      <c r="I262" t="str">
        <f>IFERROR(VLOOKUP(Prestamos[[#This Row],[ID Libro]],Inventario_Libros!A:B,2,0),"Libro No Existe")</f>
        <v>Matar A Un Ruiseñor</v>
      </c>
      <c r="J262" t="str">
        <f>IFERROR(VLOOKUP(Prestamos[[#This Row],[ID Libro]],Inventario_Libros!A:C,3,0),"Libro No Existe")</f>
        <v>Harper Lee</v>
      </c>
      <c r="K262" t="str">
        <f>IFERROR(VLOOKUP(Prestamos[[#This Row],[ID Libro]],Inventario_Libros!A:D,4,0),"Libro No Existe")</f>
        <v>Novela</v>
      </c>
      <c r="L262">
        <f>IFERROR(VLOOKUP(Prestamos[[#This Row],[ID Libro]],Inventario_Libros!A:E,5,0),"Libro No Existe")</f>
        <v>1939</v>
      </c>
      <c r="M262" t="str">
        <f>_xlfn.XLOOKUP(D:D,Inventario_Libros!A:A,Inventario_Libros!G:G,"No Existe",0)</f>
        <v>No Asignado</v>
      </c>
      <c r="N262" t="str">
        <f>IFERROR(VLOOKUP(Prestamos[[#This Row],[ID Libro]],Inventario_Libros!A:H,8,0),"Libro No Existe")</f>
        <v>Retirado</v>
      </c>
    </row>
    <row r="263" spans="1:14" x14ac:dyDescent="0.3">
      <c r="A263" s="5" t="s">
        <v>790</v>
      </c>
      <c r="B263" s="1">
        <v>45812</v>
      </c>
      <c r="C263" s="1">
        <v>45820</v>
      </c>
      <c r="D263" s="4" t="s">
        <v>431</v>
      </c>
      <c r="E263" s="2" t="s">
        <v>265</v>
      </c>
      <c r="F263" s="2" t="s">
        <v>275</v>
      </c>
      <c r="G263" s="2" t="s">
        <v>279</v>
      </c>
      <c r="H263" s="3" t="s">
        <v>289</v>
      </c>
      <c r="I263" t="str">
        <f>IFERROR(VLOOKUP(Prestamos[[#This Row],[ID Libro]],Inventario_Libros!A:B,2,0),"Libro No Existe")</f>
        <v>Los Detectives Salvajes</v>
      </c>
      <c r="J263" t="str">
        <f>IFERROR(VLOOKUP(Prestamos[[#This Row],[ID Libro]],Inventario_Libros!A:C,3,0),"Libro No Existe")</f>
        <v>Roberto Bolaño</v>
      </c>
      <c r="K263" t="str">
        <f>IFERROR(VLOOKUP(Prestamos[[#This Row],[ID Libro]],Inventario_Libros!A:D,4,0),"Libro No Existe")</f>
        <v>Novela</v>
      </c>
      <c r="L263">
        <f>IFERROR(VLOOKUP(Prestamos[[#This Row],[ID Libro]],Inventario_Libros!A:E,5,0),"Libro No Existe")</f>
        <v>1956</v>
      </c>
      <c r="M263" t="str">
        <f>_xlfn.XLOOKUP(D:D,Inventario_Libros!A:A,Inventario_Libros!G:G,"No Existe",0)</f>
        <v>B-2</v>
      </c>
      <c r="N263" t="str">
        <f>IFERROR(VLOOKUP(Prestamos[[#This Row],[ID Libro]],Inventario_Libros!A:H,8,0),"Libro No Existe")</f>
        <v>Activo</v>
      </c>
    </row>
    <row r="264" spans="1:14" x14ac:dyDescent="0.3">
      <c r="A264" s="5" t="s">
        <v>791</v>
      </c>
      <c r="B264" s="1">
        <v>45882</v>
      </c>
      <c r="C264" s="1">
        <v>45900</v>
      </c>
      <c r="D264" s="4" t="s">
        <v>481</v>
      </c>
      <c r="E264" s="2" t="s">
        <v>256</v>
      </c>
      <c r="F264" s="2" t="s">
        <v>258</v>
      </c>
      <c r="G264" s="2" t="s">
        <v>257</v>
      </c>
      <c r="H264" s="3">
        <v>3</v>
      </c>
      <c r="I264" t="str">
        <f>IFERROR(VLOOKUP(Prestamos[[#This Row],[ID Libro]],Inventario_Libros!A:B,2,0),"Libro No Existe")</f>
        <v>El Principito</v>
      </c>
      <c r="J264" t="str">
        <f>IFERROR(VLOOKUP(Prestamos[[#This Row],[ID Libro]],Inventario_Libros!A:C,3,0),"Libro No Existe")</f>
        <v>Antoine De Saint-Exupéry</v>
      </c>
      <c r="K264" t="str">
        <f>IFERROR(VLOOKUP(Prestamos[[#This Row],[ID Libro]],Inventario_Libros!A:D,4,0),"Libro No Existe")</f>
        <v>Literatura Infantil / Fábula Filosófica</v>
      </c>
      <c r="L264">
        <f>IFERROR(VLOOKUP(Prestamos[[#This Row],[ID Libro]],Inventario_Libros!A:E,5,0),"Libro No Existe")</f>
        <v>1993</v>
      </c>
      <c r="M264" t="str">
        <f>_xlfn.XLOOKUP(D:D,Inventario_Libros!A:A,Inventario_Libros!G:G,"No Existe",0)</f>
        <v>C-3</v>
      </c>
      <c r="N264" t="str">
        <f>IFERROR(VLOOKUP(Prestamos[[#This Row],[ID Libro]],Inventario_Libros!A:H,8,0),"Libro No Existe")</f>
        <v>Activo</v>
      </c>
    </row>
    <row r="265" spans="1:14" x14ac:dyDescent="0.3">
      <c r="A265" s="5" t="s">
        <v>792</v>
      </c>
      <c r="B265" s="1">
        <v>45671</v>
      </c>
      <c r="C265" s="1" t="s">
        <v>289</v>
      </c>
      <c r="D265" s="4" t="s">
        <v>318</v>
      </c>
      <c r="E265" s="2" t="s">
        <v>277</v>
      </c>
      <c r="F265" s="2" t="s">
        <v>275</v>
      </c>
      <c r="G265" s="2" t="s">
        <v>257</v>
      </c>
      <c r="H265" s="3">
        <v>5</v>
      </c>
      <c r="I265" t="str">
        <f>IFERROR(VLOOKUP(Prestamos[[#This Row],[ID Libro]],Inventario_Libros!A:B,2,0),"Libro No Existe")</f>
        <v>Ficciones</v>
      </c>
      <c r="J265" t="str">
        <f>IFERROR(VLOOKUP(Prestamos[[#This Row],[ID Libro]],Inventario_Libros!A:C,3,0),"Libro No Existe")</f>
        <v>Jorge Luis Borges</v>
      </c>
      <c r="K265" t="str">
        <f>IFERROR(VLOOKUP(Prestamos[[#This Row],[ID Libro]],Inventario_Libros!A:D,4,0),"Libro No Existe")</f>
        <v>Cuentos / Fantasía Metafísica</v>
      </c>
      <c r="L265">
        <f>IFERROR(VLOOKUP(Prestamos[[#This Row],[ID Libro]],Inventario_Libros!A:E,5,0),"Libro No Existe")</f>
        <v>1990</v>
      </c>
      <c r="M265" t="str">
        <f>_xlfn.XLOOKUP(D:D,Inventario_Libros!A:A,Inventario_Libros!G:G,"No Existe",0)</f>
        <v>A-1</v>
      </c>
      <c r="N265" t="str">
        <f>IFERROR(VLOOKUP(Prestamos[[#This Row],[ID Libro]],Inventario_Libros!A:H,8,0),"Libro No Existe")</f>
        <v>Retirado</v>
      </c>
    </row>
    <row r="266" spans="1:14" x14ac:dyDescent="0.3">
      <c r="A266" s="5" t="s">
        <v>793</v>
      </c>
      <c r="B266" s="1">
        <v>45830</v>
      </c>
      <c r="C266" s="1">
        <v>45847</v>
      </c>
      <c r="D266" s="4" t="s">
        <v>471</v>
      </c>
      <c r="E266" s="2" t="s">
        <v>261</v>
      </c>
      <c r="F266" s="2" t="s">
        <v>275</v>
      </c>
      <c r="G266" s="2" t="s">
        <v>257</v>
      </c>
      <c r="H266" s="3">
        <v>2</v>
      </c>
      <c r="I266" t="str">
        <f>IFERROR(VLOOKUP(Prestamos[[#This Row],[ID Libro]],Inventario_Libros!A:B,2,0),"Libro No Existe")</f>
        <v>Breve Historia Del Tiempo</v>
      </c>
      <c r="J266" t="str">
        <f>IFERROR(VLOOKUP(Prestamos[[#This Row],[ID Libro]],Inventario_Libros!A:C,3,0),"Libro No Existe")</f>
        <v>Stephen Hawking</v>
      </c>
      <c r="K266" t="str">
        <f>IFERROR(VLOOKUP(Prestamos[[#This Row],[ID Libro]],Inventario_Libros!A:D,4,0),"Libro No Existe")</f>
        <v>Divulgación Científica / Cosmología</v>
      </c>
      <c r="L266">
        <f>IFERROR(VLOOKUP(Prestamos[[#This Row],[ID Libro]],Inventario_Libros!A:E,5,0),"Libro No Existe")</f>
        <v>1941</v>
      </c>
      <c r="M266" t="str">
        <f>_xlfn.XLOOKUP(D:D,Inventario_Libros!A:A,Inventario_Libros!G:G,"No Existe",0)</f>
        <v>B-2</v>
      </c>
      <c r="N266" t="str">
        <f>IFERROR(VLOOKUP(Prestamos[[#This Row],[ID Libro]],Inventario_Libros!A:H,8,0),"Libro No Existe")</f>
        <v>Retirado</v>
      </c>
    </row>
    <row r="267" spans="1:14" x14ac:dyDescent="0.3">
      <c r="A267" s="5" t="s">
        <v>794</v>
      </c>
      <c r="B267" s="1">
        <v>45813</v>
      </c>
      <c r="C267" s="1">
        <v>45833</v>
      </c>
      <c r="D267" s="4" t="s">
        <v>383</v>
      </c>
      <c r="E267" s="2" t="s">
        <v>271</v>
      </c>
      <c r="F267" s="2" t="s">
        <v>263</v>
      </c>
      <c r="G267" s="2" t="s">
        <v>257</v>
      </c>
      <c r="H267" s="3">
        <v>5</v>
      </c>
      <c r="I267" t="str">
        <f>IFERROR(VLOOKUP(Prestamos[[#This Row],[ID Libro]],Inventario_Libros!A:B,2,0),"Libro No Existe")</f>
        <v>Don Quijote De La Mancha</v>
      </c>
      <c r="J267" t="str">
        <f>IFERROR(VLOOKUP(Prestamos[[#This Row],[ID Libro]],Inventario_Libros!A:C,3,0),"Libro No Existe")</f>
        <v>Miguel De Cervantes</v>
      </c>
      <c r="K267" t="str">
        <f>IFERROR(VLOOKUP(Prestamos[[#This Row],[ID Libro]],Inventario_Libros!A:D,4,0),"Libro No Existe")</f>
        <v>Novela</v>
      </c>
      <c r="L267">
        <f>IFERROR(VLOOKUP(Prestamos[[#This Row],[ID Libro]],Inventario_Libros!A:E,5,0),"Libro No Existe")</f>
        <v>1910</v>
      </c>
      <c r="M267" t="str">
        <f>_xlfn.XLOOKUP(D:D,Inventario_Libros!A:A,Inventario_Libros!G:G,"No Existe",0)</f>
        <v>B-2</v>
      </c>
      <c r="N267" t="str">
        <f>IFERROR(VLOOKUP(Prestamos[[#This Row],[ID Libro]],Inventario_Libros!A:H,8,0),"Libro No Existe")</f>
        <v>Activo</v>
      </c>
    </row>
    <row r="268" spans="1:14" x14ac:dyDescent="0.3">
      <c r="A268" s="5" t="s">
        <v>795</v>
      </c>
      <c r="B268" s="1">
        <v>45758</v>
      </c>
      <c r="C268" s="1">
        <v>45783</v>
      </c>
      <c r="D268" s="4" t="s">
        <v>482</v>
      </c>
      <c r="E268" s="2" t="s">
        <v>274</v>
      </c>
      <c r="F268" s="2" t="s">
        <v>258</v>
      </c>
      <c r="G268" s="2" t="s">
        <v>257</v>
      </c>
      <c r="H268" s="3">
        <v>10</v>
      </c>
      <c r="I268" t="str">
        <f>IFERROR(VLOOKUP(Prestamos[[#This Row],[ID Libro]],Inventario_Libros!A:B,2,0),"Libro No Existe")</f>
        <v>Pedro Páramo</v>
      </c>
      <c r="J268" t="str">
        <f>IFERROR(VLOOKUP(Prestamos[[#This Row],[ID Libro]],Inventario_Libros!A:C,3,0),"Libro No Existe")</f>
        <v>Juan Rulfo</v>
      </c>
      <c r="K268" t="str">
        <f>IFERROR(VLOOKUP(Prestamos[[#This Row],[ID Libro]],Inventario_Libros!A:D,4,0),"Libro No Existe")</f>
        <v>Novela</v>
      </c>
      <c r="L268">
        <f>IFERROR(VLOOKUP(Prestamos[[#This Row],[ID Libro]],Inventario_Libros!A:E,5,0),"Libro No Existe")</f>
        <v>1970</v>
      </c>
      <c r="M268" t="str">
        <f>_xlfn.XLOOKUP(D:D,Inventario_Libros!A:A,Inventario_Libros!G:G,"No Existe",0)</f>
        <v>Est-1</v>
      </c>
      <c r="N268" t="str">
        <f>IFERROR(VLOOKUP(Prestamos[[#This Row],[ID Libro]],Inventario_Libros!A:H,8,0),"Libro No Existe")</f>
        <v>Activo</v>
      </c>
    </row>
    <row r="269" spans="1:14" x14ac:dyDescent="0.3">
      <c r="A269" s="5" t="s">
        <v>796</v>
      </c>
      <c r="B269" s="1">
        <v>45797</v>
      </c>
      <c r="C269" s="1">
        <v>45806</v>
      </c>
      <c r="D269" s="4" t="s">
        <v>403</v>
      </c>
      <c r="E269" s="2" t="s">
        <v>267</v>
      </c>
      <c r="F269" s="2" t="s">
        <v>263</v>
      </c>
      <c r="G269" s="2" t="s">
        <v>253</v>
      </c>
      <c r="H269" s="3">
        <v>0</v>
      </c>
      <c r="I269" t="str">
        <f>IFERROR(VLOOKUP(Prestamos[[#This Row],[ID Libro]],Inventario_Libros!A:B,2,0),"Libro No Existe")</f>
        <v>Sobre La Felicidad</v>
      </c>
      <c r="J269" t="str">
        <f>IFERROR(VLOOKUP(Prestamos[[#This Row],[ID Libro]],Inventario_Libros!A:C,3,0),"Libro No Existe")</f>
        <v>Lucio Anneo Séneca</v>
      </c>
      <c r="K269" t="str">
        <f>IFERROR(VLOOKUP(Prestamos[[#This Row],[ID Libro]],Inventario_Libros!A:D,4,0),"Libro No Existe")</f>
        <v>Filosofía Y Pensamiento</v>
      </c>
      <c r="L269">
        <f>IFERROR(VLOOKUP(Prestamos[[#This Row],[ID Libro]],Inventario_Libros!A:E,5,0),"Libro No Existe")</f>
        <v>1936</v>
      </c>
      <c r="M269" t="str">
        <f>_xlfn.XLOOKUP(D:D,Inventario_Libros!A:A,Inventario_Libros!G:G,"No Existe",0)</f>
        <v>B-2</v>
      </c>
      <c r="N269" t="str">
        <f>IFERROR(VLOOKUP(Prestamos[[#This Row],[ID Libro]],Inventario_Libros!A:H,8,0),"Libro No Existe")</f>
        <v>Retirado</v>
      </c>
    </row>
    <row r="270" spans="1:14" x14ac:dyDescent="0.3">
      <c r="A270" s="5" t="s">
        <v>797</v>
      </c>
      <c r="B270" s="1">
        <v>45939</v>
      </c>
      <c r="C270" s="1">
        <v>45964</v>
      </c>
      <c r="D270" s="4" t="s">
        <v>483</v>
      </c>
      <c r="E270" s="2" t="s">
        <v>278</v>
      </c>
      <c r="F270" s="2" t="s">
        <v>263</v>
      </c>
      <c r="G270" s="2" t="s">
        <v>257</v>
      </c>
      <c r="H270" s="3">
        <v>10</v>
      </c>
      <c r="I270" t="str">
        <f>IFERROR(VLOOKUP(Prestamos[[#This Row],[ID Libro]],Inventario_Libros!A:B,2,0),"Libro No Existe")</f>
        <v>La Casa De Los Espíritus</v>
      </c>
      <c r="J270" t="str">
        <f>IFERROR(VLOOKUP(Prestamos[[#This Row],[ID Libro]],Inventario_Libros!A:C,3,0),"Libro No Existe")</f>
        <v>Isabel Allende</v>
      </c>
      <c r="K270" t="str">
        <f>IFERROR(VLOOKUP(Prestamos[[#This Row],[ID Libro]],Inventario_Libros!A:D,4,0),"Libro No Existe")</f>
        <v>Novela</v>
      </c>
      <c r="L270">
        <f>IFERROR(VLOOKUP(Prestamos[[#This Row],[ID Libro]],Inventario_Libros!A:E,5,0),"Libro No Existe")</f>
        <v>1924</v>
      </c>
      <c r="M270" t="str">
        <f>_xlfn.XLOOKUP(D:D,Inventario_Libros!A:A,Inventario_Libros!G:G,"No Existe",0)</f>
        <v>A-1</v>
      </c>
      <c r="N270" t="str">
        <f>IFERROR(VLOOKUP(Prestamos[[#This Row],[ID Libro]],Inventario_Libros!A:H,8,0),"Libro No Existe")</f>
        <v>Activo</v>
      </c>
    </row>
    <row r="271" spans="1:14" x14ac:dyDescent="0.3">
      <c r="A271" s="5" t="s">
        <v>798</v>
      </c>
      <c r="B271" s="1">
        <v>45833</v>
      </c>
      <c r="C271" s="1">
        <v>45842</v>
      </c>
      <c r="D271" s="4" t="s">
        <v>484</v>
      </c>
      <c r="E271" s="2" t="s">
        <v>269</v>
      </c>
      <c r="F271" s="2" t="s">
        <v>263</v>
      </c>
      <c r="G271" s="2" t="s">
        <v>253</v>
      </c>
      <c r="H271" s="3">
        <v>0</v>
      </c>
      <c r="I271" t="str">
        <f>IFERROR(VLOOKUP(Prestamos[[#This Row],[ID Libro]],Inventario_Libros!A:B,2,0),"Libro No Existe")</f>
        <v>La Casa De Los Espíritus</v>
      </c>
      <c r="J271" t="str">
        <f>IFERROR(VLOOKUP(Prestamos[[#This Row],[ID Libro]],Inventario_Libros!A:C,3,0),"Libro No Existe")</f>
        <v>Isabel Allende</v>
      </c>
      <c r="K271" t="str">
        <f>IFERROR(VLOOKUP(Prestamos[[#This Row],[ID Libro]],Inventario_Libros!A:D,4,0),"Libro No Existe")</f>
        <v>Novela</v>
      </c>
      <c r="L271">
        <f>IFERROR(VLOOKUP(Prestamos[[#This Row],[ID Libro]],Inventario_Libros!A:E,5,0),"Libro No Existe")</f>
        <v>1887</v>
      </c>
      <c r="M271" t="str">
        <f>_xlfn.XLOOKUP(D:D,Inventario_Libros!A:A,Inventario_Libros!G:G,"No Existe",0)</f>
        <v>Est-1</v>
      </c>
      <c r="N271" t="str">
        <f>IFERROR(VLOOKUP(Prestamos[[#This Row],[ID Libro]],Inventario_Libros!A:H,8,0),"Libro No Existe")</f>
        <v>Retirado</v>
      </c>
    </row>
    <row r="272" spans="1:14" x14ac:dyDescent="0.3">
      <c r="A272" s="5" t="s">
        <v>799</v>
      </c>
      <c r="B272" s="1">
        <v>45673</v>
      </c>
      <c r="C272" s="1">
        <v>45682</v>
      </c>
      <c r="D272" s="4" t="s">
        <v>367</v>
      </c>
      <c r="E272" s="2" t="s">
        <v>266</v>
      </c>
      <c r="F272" s="2" t="s">
        <v>263</v>
      </c>
      <c r="G272" s="2" t="s">
        <v>279</v>
      </c>
      <c r="H272" s="3" t="s">
        <v>289</v>
      </c>
      <c r="I272" t="str">
        <f>IFERROR(VLOOKUP(Prestamos[[#This Row],[ID Libro]],Inventario_Libros!A:B,2,0),"Libro No Existe")</f>
        <v>1984</v>
      </c>
      <c r="J272" t="str">
        <f>IFERROR(VLOOKUP(Prestamos[[#This Row],[ID Libro]],Inventario_Libros!A:C,3,0),"Libro No Existe")</f>
        <v>George Orwell</v>
      </c>
      <c r="K272" t="str">
        <f>IFERROR(VLOOKUP(Prestamos[[#This Row],[ID Libro]],Inventario_Libros!A:D,4,0),"Libro No Existe")</f>
        <v>Ciencia Ficción</v>
      </c>
      <c r="L272">
        <f>IFERROR(VLOOKUP(Prestamos[[#This Row],[ID Libro]],Inventario_Libros!A:E,5,0),"Libro No Existe")</f>
        <v>1920</v>
      </c>
      <c r="M272" t="str">
        <f>_xlfn.XLOOKUP(D:D,Inventario_Libros!A:A,Inventario_Libros!G:G,"No Existe",0)</f>
        <v>C-3</v>
      </c>
      <c r="N272" t="str">
        <f>IFERROR(VLOOKUP(Prestamos[[#This Row],[ID Libro]],Inventario_Libros!A:H,8,0),"Libro No Existe")</f>
        <v>Activo</v>
      </c>
    </row>
    <row r="273" spans="1:14" x14ac:dyDescent="0.3">
      <c r="A273" s="5" t="s">
        <v>800</v>
      </c>
      <c r="B273" s="1">
        <v>45957</v>
      </c>
      <c r="C273" s="1">
        <v>45973</v>
      </c>
      <c r="D273" s="4" t="s">
        <v>408</v>
      </c>
      <c r="E273" s="2" t="s">
        <v>264</v>
      </c>
      <c r="F273" s="2" t="s">
        <v>252</v>
      </c>
      <c r="G273" s="2" t="s">
        <v>257</v>
      </c>
      <c r="H273" s="3">
        <v>1</v>
      </c>
      <c r="I273" t="str">
        <f>IFERROR(VLOOKUP(Prestamos[[#This Row],[ID Libro]],Inventario_Libros!A:B,2,0),"Libro No Existe")</f>
        <v>La Casa De Los Espíritus</v>
      </c>
      <c r="J273" t="str">
        <f>IFERROR(VLOOKUP(Prestamos[[#This Row],[ID Libro]],Inventario_Libros!A:C,3,0),"Libro No Existe")</f>
        <v>Isabel Allende</v>
      </c>
      <c r="K273" t="str">
        <f>IFERROR(VLOOKUP(Prestamos[[#This Row],[ID Libro]],Inventario_Libros!A:D,4,0),"Libro No Existe")</f>
        <v>Novela</v>
      </c>
      <c r="L273">
        <f>IFERROR(VLOOKUP(Prestamos[[#This Row],[ID Libro]],Inventario_Libros!A:E,5,0),"Libro No Existe")</f>
        <v>1907</v>
      </c>
      <c r="M273" t="str">
        <f>_xlfn.XLOOKUP(D:D,Inventario_Libros!A:A,Inventario_Libros!G:G,"No Existe",0)</f>
        <v>B-2</v>
      </c>
      <c r="N273" t="str">
        <f>IFERROR(VLOOKUP(Prestamos[[#This Row],[ID Libro]],Inventario_Libros!A:H,8,0),"Libro No Existe")</f>
        <v>Activo</v>
      </c>
    </row>
    <row r="274" spans="1:14" x14ac:dyDescent="0.3">
      <c r="A274" s="5" t="s">
        <v>801</v>
      </c>
      <c r="B274" s="1">
        <v>45805</v>
      </c>
      <c r="C274" s="1">
        <v>45814</v>
      </c>
      <c r="D274" s="4" t="s">
        <v>382</v>
      </c>
      <c r="E274" s="2" t="s">
        <v>267</v>
      </c>
      <c r="F274" s="2" t="s">
        <v>258</v>
      </c>
      <c r="G274" s="2" t="s">
        <v>279</v>
      </c>
      <c r="H274" s="3" t="s">
        <v>289</v>
      </c>
      <c r="I274" t="str">
        <f>IFERROR(VLOOKUP(Prestamos[[#This Row],[ID Libro]],Inventario_Libros!A:B,2,0),"Libro No Existe")</f>
        <v>Crónica De Una Muerte Anunciada</v>
      </c>
      <c r="J274" t="str">
        <f>IFERROR(VLOOKUP(Prestamos[[#This Row],[ID Libro]],Inventario_Libros!A:C,3,0),"Libro No Existe")</f>
        <v>Gabriel García Márquez</v>
      </c>
      <c r="K274" t="str">
        <f>IFERROR(VLOOKUP(Prestamos[[#This Row],[ID Libro]],Inventario_Libros!A:D,4,0),"Libro No Existe")</f>
        <v>Novela</v>
      </c>
      <c r="L274">
        <f>IFERROR(VLOOKUP(Prestamos[[#This Row],[ID Libro]],Inventario_Libros!A:E,5,0),"Libro No Existe")</f>
        <v>1987</v>
      </c>
      <c r="M274" t="str">
        <f>_xlfn.XLOOKUP(D:D,Inventario_Libros!A:A,Inventario_Libros!G:G,"No Existe",0)</f>
        <v>A-1</v>
      </c>
      <c r="N274" t="str">
        <f>IFERROR(VLOOKUP(Prestamos[[#This Row],[ID Libro]],Inventario_Libros!A:H,8,0),"Libro No Existe")</f>
        <v>Activo</v>
      </c>
    </row>
    <row r="275" spans="1:14" x14ac:dyDescent="0.3">
      <c r="A275" s="5" t="s">
        <v>802</v>
      </c>
      <c r="B275" s="1">
        <v>45977</v>
      </c>
      <c r="C275" s="1">
        <v>45993</v>
      </c>
      <c r="D275" s="4" t="s">
        <v>485</v>
      </c>
      <c r="E275" s="2" t="s">
        <v>271</v>
      </c>
      <c r="F275" s="2" t="s">
        <v>263</v>
      </c>
      <c r="G275" s="2" t="s">
        <v>257</v>
      </c>
      <c r="H275" s="3">
        <v>1</v>
      </c>
      <c r="I275" t="str">
        <f>IFERROR(VLOOKUP(Prestamos[[#This Row],[ID Libro]],Inventario_Libros!A:B,2,0),"Libro No Existe")</f>
        <v>La Casa De Los Espíritus</v>
      </c>
      <c r="J275" t="str">
        <f>IFERROR(VLOOKUP(Prestamos[[#This Row],[ID Libro]],Inventario_Libros!A:C,3,0),"Libro No Existe")</f>
        <v>Isabel Allende</v>
      </c>
      <c r="K275" t="str">
        <f>IFERROR(VLOOKUP(Prestamos[[#This Row],[ID Libro]],Inventario_Libros!A:D,4,0),"Libro No Existe")</f>
        <v>Novela</v>
      </c>
      <c r="L275">
        <f>IFERROR(VLOOKUP(Prestamos[[#This Row],[ID Libro]],Inventario_Libros!A:E,5,0),"Libro No Existe")</f>
        <v>1999</v>
      </c>
      <c r="M275" t="str">
        <f>_xlfn.XLOOKUP(D:D,Inventario_Libros!A:A,Inventario_Libros!G:G,"No Existe",0)</f>
        <v>B-2</v>
      </c>
      <c r="N275" t="str">
        <f>IFERROR(VLOOKUP(Prestamos[[#This Row],[ID Libro]],Inventario_Libros!A:H,8,0),"Libro No Existe")</f>
        <v>Activo</v>
      </c>
    </row>
    <row r="276" spans="1:14" x14ac:dyDescent="0.3">
      <c r="A276" s="5" t="s">
        <v>803</v>
      </c>
      <c r="B276" s="1">
        <v>45942</v>
      </c>
      <c r="C276" s="1">
        <v>45962</v>
      </c>
      <c r="D276" s="4" t="s">
        <v>348</v>
      </c>
      <c r="E276" s="2" t="s">
        <v>251</v>
      </c>
      <c r="F276" s="2" t="s">
        <v>263</v>
      </c>
      <c r="G276" s="2" t="s">
        <v>257</v>
      </c>
      <c r="H276" s="3">
        <v>5</v>
      </c>
      <c r="I276" t="str">
        <f>IFERROR(VLOOKUP(Prestamos[[#This Row],[ID Libro]],Inventario_Libros!A:B,2,0),"Libro No Existe")</f>
        <v>Hamlet</v>
      </c>
      <c r="J276" t="str">
        <f>IFERROR(VLOOKUP(Prestamos[[#This Row],[ID Libro]],Inventario_Libros!A:C,3,0),"Libro No Existe")</f>
        <v>William Shakespeare</v>
      </c>
      <c r="K276" t="str">
        <f>IFERROR(VLOOKUP(Prestamos[[#This Row],[ID Libro]],Inventario_Libros!A:D,4,0),"Libro No Existe")</f>
        <v>Clásicos</v>
      </c>
      <c r="L276">
        <f>IFERROR(VLOOKUP(Prestamos[[#This Row],[ID Libro]],Inventario_Libros!A:E,5,0),"Libro No Existe")</f>
        <v>2017</v>
      </c>
      <c r="M276" t="str">
        <f>_xlfn.XLOOKUP(D:D,Inventario_Libros!A:A,Inventario_Libros!G:G,"No Existe",0)</f>
        <v>A-1</v>
      </c>
      <c r="N276" t="str">
        <f>IFERROR(VLOOKUP(Prestamos[[#This Row],[ID Libro]],Inventario_Libros!A:H,8,0),"Libro No Existe")</f>
        <v>Activo</v>
      </c>
    </row>
    <row r="277" spans="1:14" x14ac:dyDescent="0.3">
      <c r="A277" s="5" t="s">
        <v>804</v>
      </c>
      <c r="B277" s="1">
        <v>45687</v>
      </c>
      <c r="C277" s="1">
        <v>45705</v>
      </c>
      <c r="D277" s="4" t="s">
        <v>451</v>
      </c>
      <c r="E277" s="2" t="s">
        <v>254</v>
      </c>
      <c r="F277" s="2" t="s">
        <v>263</v>
      </c>
      <c r="G277" s="2" t="s">
        <v>257</v>
      </c>
      <c r="H277" s="3">
        <v>3</v>
      </c>
      <c r="I277" t="str">
        <f>IFERROR(VLOOKUP(Prestamos[[#This Row],[ID Libro]],Inventario_Libros!A:B,2,0),"Libro No Existe")</f>
        <v>Pedro Páramo</v>
      </c>
      <c r="J277" t="str">
        <f>IFERROR(VLOOKUP(Prestamos[[#This Row],[ID Libro]],Inventario_Libros!A:C,3,0),"Libro No Existe")</f>
        <v>Juan Rulfo</v>
      </c>
      <c r="K277" t="str">
        <f>IFERROR(VLOOKUP(Prestamos[[#This Row],[ID Libro]],Inventario_Libros!A:D,4,0),"Libro No Existe")</f>
        <v>Novela</v>
      </c>
      <c r="L277">
        <f>IFERROR(VLOOKUP(Prestamos[[#This Row],[ID Libro]],Inventario_Libros!A:E,5,0),"Libro No Existe")</f>
        <v>1986</v>
      </c>
      <c r="M277" t="str">
        <f>_xlfn.XLOOKUP(D:D,Inventario_Libros!A:A,Inventario_Libros!G:G,"No Existe",0)</f>
        <v>B-2</v>
      </c>
      <c r="N277" t="str">
        <f>IFERROR(VLOOKUP(Prestamos[[#This Row],[ID Libro]],Inventario_Libros!A:H,8,0),"Libro No Existe")</f>
        <v>Activo</v>
      </c>
    </row>
    <row r="278" spans="1:14" x14ac:dyDescent="0.3">
      <c r="A278" s="5" t="s">
        <v>805</v>
      </c>
      <c r="B278" s="1">
        <v>45704</v>
      </c>
      <c r="C278" s="1">
        <v>45724</v>
      </c>
      <c r="D278" s="4" t="s">
        <v>390</v>
      </c>
      <c r="E278" s="2" t="s">
        <v>269</v>
      </c>
      <c r="F278" s="2" t="s">
        <v>275</v>
      </c>
      <c r="G278" s="2" t="s">
        <v>257</v>
      </c>
      <c r="H278" s="3">
        <v>5</v>
      </c>
      <c r="I278" t="str">
        <f>IFERROR(VLOOKUP(Prestamos[[#This Row],[ID Libro]],Inventario_Libros!A:B,2,0),"Libro No Existe")</f>
        <v>El Túnel</v>
      </c>
      <c r="J278" t="str">
        <f>IFERROR(VLOOKUP(Prestamos[[#This Row],[ID Libro]],Inventario_Libros!A:C,3,0),"Libro No Existe")</f>
        <v>Ernesto Sabato</v>
      </c>
      <c r="K278" t="str">
        <f>IFERROR(VLOOKUP(Prestamos[[#This Row],[ID Libro]],Inventario_Libros!A:D,4,0),"Libro No Existe")</f>
        <v>Novela</v>
      </c>
      <c r="L278">
        <f>IFERROR(VLOOKUP(Prestamos[[#This Row],[ID Libro]],Inventario_Libros!A:E,5,0),"Libro No Existe")</f>
        <v>1936</v>
      </c>
      <c r="M278" t="str">
        <f>_xlfn.XLOOKUP(D:D,Inventario_Libros!A:A,Inventario_Libros!G:G,"No Existe",0)</f>
        <v>A-1</v>
      </c>
      <c r="N278" t="str">
        <f>IFERROR(VLOOKUP(Prestamos[[#This Row],[ID Libro]],Inventario_Libros!A:H,8,0),"Libro No Existe")</f>
        <v>Retirado</v>
      </c>
    </row>
    <row r="279" spans="1:14" x14ac:dyDescent="0.3">
      <c r="A279" s="5" t="s">
        <v>806</v>
      </c>
      <c r="B279" s="1">
        <v>45986</v>
      </c>
      <c r="C279" s="1">
        <v>45995</v>
      </c>
      <c r="D279" s="4" t="s">
        <v>443</v>
      </c>
      <c r="E279" s="2" t="s">
        <v>251</v>
      </c>
      <c r="F279" s="2" t="s">
        <v>258</v>
      </c>
      <c r="G279" s="2" t="s">
        <v>253</v>
      </c>
      <c r="H279" s="3" t="s">
        <v>280</v>
      </c>
      <c r="I279" t="str">
        <f>IFERROR(VLOOKUP(Prestamos[[#This Row],[ID Libro]],Inventario_Libros!A:B,2,0),"Libro No Existe")</f>
        <v>El Código Da Vinci</v>
      </c>
      <c r="J279" t="str">
        <f>IFERROR(VLOOKUP(Prestamos[[#This Row],[ID Libro]],Inventario_Libros!A:C,3,0),"Libro No Existe")</f>
        <v>Dan Brown</v>
      </c>
      <c r="K279" t="str">
        <f>IFERROR(VLOOKUP(Prestamos[[#This Row],[ID Libro]],Inventario_Libros!A:D,4,0),"Libro No Existe")</f>
        <v>Misterio</v>
      </c>
      <c r="L279">
        <f>IFERROR(VLOOKUP(Prestamos[[#This Row],[ID Libro]],Inventario_Libros!A:E,5,0),"Libro No Existe")</f>
        <v>1943</v>
      </c>
      <c r="M279" t="str">
        <f>_xlfn.XLOOKUP(D:D,Inventario_Libros!A:A,Inventario_Libros!G:G,"No Existe",0)</f>
        <v>B-2</v>
      </c>
      <c r="N279" t="str">
        <f>IFERROR(VLOOKUP(Prestamos[[#This Row],[ID Libro]],Inventario_Libros!A:H,8,0),"Libro No Existe")</f>
        <v>Retirado</v>
      </c>
    </row>
    <row r="280" spans="1:14" x14ac:dyDescent="0.3">
      <c r="A280" s="5" t="s">
        <v>807</v>
      </c>
      <c r="B280" s="1">
        <v>45916</v>
      </c>
      <c r="C280" s="1">
        <v>45925</v>
      </c>
      <c r="D280" s="4" t="s">
        <v>369</v>
      </c>
      <c r="E280" s="2" t="s">
        <v>269</v>
      </c>
      <c r="F280" s="2" t="s">
        <v>255</v>
      </c>
      <c r="G280" s="2" t="s">
        <v>253</v>
      </c>
      <c r="H280" s="3">
        <v>3</v>
      </c>
      <c r="I280" t="str">
        <f>IFERROR(VLOOKUP(Prestamos[[#This Row],[ID Libro]],Inventario_Libros!A:B,2,0),"Libro No Existe")</f>
        <v>El Código Da Vinci</v>
      </c>
      <c r="J280" t="str">
        <f>IFERROR(VLOOKUP(Prestamos[[#This Row],[ID Libro]],Inventario_Libros!A:C,3,0),"Libro No Existe")</f>
        <v>Dan Brown</v>
      </c>
      <c r="K280" t="str">
        <f>IFERROR(VLOOKUP(Prestamos[[#This Row],[ID Libro]],Inventario_Libros!A:D,4,0),"Libro No Existe")</f>
        <v>Misterio</v>
      </c>
      <c r="L280">
        <f>IFERROR(VLOOKUP(Prestamos[[#This Row],[ID Libro]],Inventario_Libros!A:E,5,0),"Libro No Existe")</f>
        <v>1944</v>
      </c>
      <c r="M280" t="str">
        <f>_xlfn.XLOOKUP(D:D,Inventario_Libros!A:A,Inventario_Libros!G:G,"No Existe",0)</f>
        <v>A-1</v>
      </c>
      <c r="N280" t="str">
        <f>IFERROR(VLOOKUP(Prestamos[[#This Row],[ID Libro]],Inventario_Libros!A:H,8,0),"Libro No Existe")</f>
        <v>Activo</v>
      </c>
    </row>
    <row r="281" spans="1:14" x14ac:dyDescent="0.3">
      <c r="A281" s="5" t="s">
        <v>808</v>
      </c>
      <c r="B281" s="1">
        <v>45691</v>
      </c>
      <c r="C281" s="1">
        <v>45700</v>
      </c>
      <c r="D281" s="4" t="s">
        <v>486</v>
      </c>
      <c r="E281" s="2" t="s">
        <v>259</v>
      </c>
      <c r="F281" s="2" t="s">
        <v>258</v>
      </c>
      <c r="G281" s="2" t="s">
        <v>253</v>
      </c>
      <c r="H281" s="3">
        <v>0</v>
      </c>
      <c r="I281" t="str">
        <f>IFERROR(VLOOKUP(Prestamos[[#This Row],[ID Libro]],Inventario_Libros!A:B,2,0),"Libro No Existe")</f>
        <v>Breve Historia Del Tiempo</v>
      </c>
      <c r="J281" t="str">
        <f>IFERROR(VLOOKUP(Prestamos[[#This Row],[ID Libro]],Inventario_Libros!A:C,3,0),"Libro No Existe")</f>
        <v>Stephen Hawking</v>
      </c>
      <c r="K281" t="str">
        <f>IFERROR(VLOOKUP(Prestamos[[#This Row],[ID Libro]],Inventario_Libros!A:D,4,0),"Libro No Existe")</f>
        <v>Divulgación Científica / Cosmología</v>
      </c>
      <c r="L281">
        <f>IFERROR(VLOOKUP(Prestamos[[#This Row],[ID Libro]],Inventario_Libros!A:E,5,0),"Libro No Existe")</f>
        <v>1965</v>
      </c>
      <c r="M281" t="str">
        <f>_xlfn.XLOOKUP(D:D,Inventario_Libros!A:A,Inventario_Libros!G:G,"No Existe",0)</f>
        <v>A-1</v>
      </c>
      <c r="N281" t="str">
        <f>IFERROR(VLOOKUP(Prestamos[[#This Row],[ID Libro]],Inventario_Libros!A:H,8,0),"Libro No Existe")</f>
        <v>Activo</v>
      </c>
    </row>
    <row r="282" spans="1:14" x14ac:dyDescent="0.3">
      <c r="A282" s="5" t="s">
        <v>809</v>
      </c>
      <c r="B282" s="1">
        <v>45798</v>
      </c>
      <c r="C282" s="1" t="s">
        <v>289</v>
      </c>
      <c r="D282" s="4" t="s">
        <v>346</v>
      </c>
      <c r="E282" s="2" t="s">
        <v>285</v>
      </c>
      <c r="F282" s="2" t="s">
        <v>263</v>
      </c>
      <c r="G282" s="2" t="s">
        <v>257</v>
      </c>
      <c r="H282" s="3">
        <v>5</v>
      </c>
      <c r="I282" t="str">
        <f>IFERROR(VLOOKUP(Prestamos[[#This Row],[ID Libro]],Inventario_Libros!A:B,2,0),"Libro No Existe")</f>
        <v>Macbeth</v>
      </c>
      <c r="J282" t="str">
        <f>IFERROR(VLOOKUP(Prestamos[[#This Row],[ID Libro]],Inventario_Libros!A:C,3,0),"Libro No Existe")</f>
        <v>William Shakespeare</v>
      </c>
      <c r="K282" t="str">
        <f>IFERROR(VLOOKUP(Prestamos[[#This Row],[ID Libro]],Inventario_Libros!A:D,4,0),"Libro No Existe")</f>
        <v>Clásicos</v>
      </c>
      <c r="L282">
        <f>IFERROR(VLOOKUP(Prestamos[[#This Row],[ID Libro]],Inventario_Libros!A:E,5,0),"Libro No Existe")</f>
        <v>1891</v>
      </c>
      <c r="M282" t="str">
        <f>_xlfn.XLOOKUP(D:D,Inventario_Libros!A:A,Inventario_Libros!G:G,"No Existe",0)</f>
        <v>B-2</v>
      </c>
      <c r="N282" t="str">
        <f>IFERROR(VLOOKUP(Prestamos[[#This Row],[ID Libro]],Inventario_Libros!A:H,8,0),"Libro No Existe")</f>
        <v>Activo</v>
      </c>
    </row>
    <row r="283" spans="1:14" x14ac:dyDescent="0.3">
      <c r="A283" s="5" t="s">
        <v>810</v>
      </c>
      <c r="B283" s="1">
        <v>45958</v>
      </c>
      <c r="C283" s="1">
        <v>45967</v>
      </c>
      <c r="D283" s="4" t="s">
        <v>327</v>
      </c>
      <c r="E283" s="2" t="s">
        <v>261</v>
      </c>
      <c r="F283" s="2" t="s">
        <v>258</v>
      </c>
      <c r="G283" s="2" t="s">
        <v>253</v>
      </c>
      <c r="H283" s="3">
        <v>0</v>
      </c>
      <c r="I283" t="str">
        <f>IFERROR(VLOOKUP(Prestamos[[#This Row],[ID Libro]],Inventario_Libros!A:B,2,0),"Libro No Existe")</f>
        <v>El Principito</v>
      </c>
      <c r="J283" t="str">
        <f>IFERROR(VLOOKUP(Prestamos[[#This Row],[ID Libro]],Inventario_Libros!A:C,3,0),"Libro No Existe")</f>
        <v>Antoine De Saint-Exupéry</v>
      </c>
      <c r="K283" t="str">
        <f>IFERROR(VLOOKUP(Prestamos[[#This Row],[ID Libro]],Inventario_Libros!A:D,4,0),"Libro No Existe")</f>
        <v>Literatura Infantil / Fábula Filosófica</v>
      </c>
      <c r="L283">
        <f>IFERROR(VLOOKUP(Prestamos[[#This Row],[ID Libro]],Inventario_Libros!A:E,5,0),"Libro No Existe")</f>
        <v>1980</v>
      </c>
      <c r="M283" t="str">
        <f>_xlfn.XLOOKUP(D:D,Inventario_Libros!A:A,Inventario_Libros!G:G,"No Existe",0)</f>
        <v>Est-1</v>
      </c>
      <c r="N283" t="str">
        <f>IFERROR(VLOOKUP(Prestamos[[#This Row],[ID Libro]],Inventario_Libros!A:H,8,0),"Libro No Existe")</f>
        <v>Retirado</v>
      </c>
    </row>
    <row r="284" spans="1:14" x14ac:dyDescent="0.3">
      <c r="A284" s="5" t="s">
        <v>811</v>
      </c>
      <c r="B284" s="1">
        <v>45663</v>
      </c>
      <c r="C284" s="1">
        <v>45680</v>
      </c>
      <c r="D284" s="4" t="s">
        <v>447</v>
      </c>
      <c r="E284" s="2" t="s">
        <v>274</v>
      </c>
      <c r="F284" s="2" t="s">
        <v>252</v>
      </c>
      <c r="G284" s="2" t="s">
        <v>257</v>
      </c>
      <c r="H284" s="3">
        <v>2</v>
      </c>
      <c r="I284" t="str">
        <f>IFERROR(VLOOKUP(Prestamos[[#This Row],[ID Libro]],Inventario_Libros!A:B,2,0),"Libro No Existe")</f>
        <v>La Casa De Los Espíritus</v>
      </c>
      <c r="J284" t="str">
        <f>IFERROR(VLOOKUP(Prestamos[[#This Row],[ID Libro]],Inventario_Libros!A:C,3,0),"Libro No Existe")</f>
        <v>Isabel Allende</v>
      </c>
      <c r="K284" t="str">
        <f>IFERROR(VLOOKUP(Prestamos[[#This Row],[ID Libro]],Inventario_Libros!A:D,4,0),"Libro No Existe")</f>
        <v>Novela</v>
      </c>
      <c r="L284">
        <f>IFERROR(VLOOKUP(Prestamos[[#This Row],[ID Libro]],Inventario_Libros!A:E,5,0),"Libro No Existe")</f>
        <v>2009</v>
      </c>
      <c r="M284" t="str">
        <f>_xlfn.XLOOKUP(D:D,Inventario_Libros!A:A,Inventario_Libros!G:G,"No Existe",0)</f>
        <v>Est-1</v>
      </c>
      <c r="N284" t="str">
        <f>IFERROR(VLOOKUP(Prestamos[[#This Row],[ID Libro]],Inventario_Libros!A:H,8,0),"Libro No Existe")</f>
        <v>Activo</v>
      </c>
    </row>
    <row r="285" spans="1:14" x14ac:dyDescent="0.3">
      <c r="A285" s="5" t="s">
        <v>812</v>
      </c>
      <c r="B285" s="1">
        <v>45681</v>
      </c>
      <c r="C285" s="1">
        <v>45691</v>
      </c>
      <c r="D285" s="4" t="s">
        <v>394</v>
      </c>
      <c r="E285" s="2" t="s">
        <v>273</v>
      </c>
      <c r="F285" s="2" t="s">
        <v>258</v>
      </c>
      <c r="G285" s="2" t="s">
        <v>253</v>
      </c>
      <c r="H285" s="3">
        <v>0</v>
      </c>
      <c r="I285" t="str">
        <f>IFERROR(VLOOKUP(Prestamos[[#This Row],[ID Libro]],Inventario_Libros!A:B,2,0),"Libro No Existe")</f>
        <v>Matadero Cinco</v>
      </c>
      <c r="J285" t="str">
        <f>IFERROR(VLOOKUP(Prestamos[[#This Row],[ID Libro]],Inventario_Libros!A:C,3,0),"Libro No Existe")</f>
        <v>Kurt Vonnegut</v>
      </c>
      <c r="K285" t="str">
        <f>IFERROR(VLOOKUP(Prestamos[[#This Row],[ID Libro]],Inventario_Libros!A:D,4,0),"Libro No Existe")</f>
        <v>Ciencia Ficción</v>
      </c>
      <c r="L285">
        <f>IFERROR(VLOOKUP(Prestamos[[#This Row],[ID Libro]],Inventario_Libros!A:E,5,0),"Libro No Existe")</f>
        <v>1977</v>
      </c>
      <c r="M285" t="str">
        <f>_xlfn.XLOOKUP(D:D,Inventario_Libros!A:A,Inventario_Libros!G:G,"No Existe",0)</f>
        <v>A-1</v>
      </c>
      <c r="N285" t="str">
        <f>IFERROR(VLOOKUP(Prestamos[[#This Row],[ID Libro]],Inventario_Libros!A:H,8,0),"Libro No Existe")</f>
        <v>Activo</v>
      </c>
    </row>
    <row r="286" spans="1:14" x14ac:dyDescent="0.3">
      <c r="A286" s="5" t="s">
        <v>813</v>
      </c>
      <c r="B286" s="1">
        <v>45972</v>
      </c>
      <c r="C286" s="1">
        <v>45988</v>
      </c>
      <c r="D286" s="4" t="s">
        <v>417</v>
      </c>
      <c r="E286" s="2" t="s">
        <v>261</v>
      </c>
      <c r="F286" s="2" t="s">
        <v>258</v>
      </c>
      <c r="G286" s="2" t="s">
        <v>257</v>
      </c>
      <c r="H286" s="3">
        <v>1</v>
      </c>
      <c r="I286" t="str">
        <f>IFERROR(VLOOKUP(Prestamos[[#This Row],[ID Libro]],Inventario_Libros!A:B,2,0),"Libro No Existe")</f>
        <v>El Aleph</v>
      </c>
      <c r="J286" t="str">
        <f>IFERROR(VLOOKUP(Prestamos[[#This Row],[ID Libro]],Inventario_Libros!A:C,3,0),"Libro No Existe")</f>
        <v>Jorge Luis Borges</v>
      </c>
      <c r="K286" t="str">
        <f>IFERROR(VLOOKUP(Prestamos[[#This Row],[ID Libro]],Inventario_Libros!A:D,4,0),"Libro No Existe")</f>
        <v>Cuentos / Fantasía Metafísica</v>
      </c>
      <c r="L286">
        <f>IFERROR(VLOOKUP(Prestamos[[#This Row],[ID Libro]],Inventario_Libros!A:E,5,0),"Libro No Existe")</f>
        <v>1991</v>
      </c>
      <c r="M286" t="str">
        <f>_xlfn.XLOOKUP(D:D,Inventario_Libros!A:A,Inventario_Libros!G:G,"No Existe",0)</f>
        <v>Est-1</v>
      </c>
      <c r="N286" t="str">
        <f>IFERROR(VLOOKUP(Prestamos[[#This Row],[ID Libro]],Inventario_Libros!A:H,8,0),"Libro No Existe")</f>
        <v>Retirado</v>
      </c>
    </row>
    <row r="287" spans="1:14" x14ac:dyDescent="0.3">
      <c r="A287" s="5" t="s">
        <v>814</v>
      </c>
      <c r="B287" s="1">
        <v>45884</v>
      </c>
      <c r="C287" s="1" t="s">
        <v>289</v>
      </c>
      <c r="D287" s="4" t="s">
        <v>487</v>
      </c>
      <c r="E287" s="2" t="s">
        <v>267</v>
      </c>
      <c r="F287" s="2" t="s">
        <v>263</v>
      </c>
      <c r="G287" s="2" t="s">
        <v>257</v>
      </c>
      <c r="H287" s="3">
        <v>5</v>
      </c>
      <c r="I287" t="str">
        <f>IFERROR(VLOOKUP(Prestamos[[#This Row],[ID Libro]],Inventario_Libros!A:B,2,0),"Libro No Existe")</f>
        <v>Libro No Existe</v>
      </c>
      <c r="J287" t="str">
        <f>IFERROR(VLOOKUP(Prestamos[[#This Row],[ID Libro]],Inventario_Libros!A:C,3,0),"Libro No Existe")</f>
        <v>Libro No Existe</v>
      </c>
      <c r="K287" t="str">
        <f>IFERROR(VLOOKUP(Prestamos[[#This Row],[ID Libro]],Inventario_Libros!A:D,4,0),"Libro No Existe")</f>
        <v>Libro No Existe</v>
      </c>
      <c r="L287" t="str">
        <f>IFERROR(VLOOKUP(Prestamos[[#This Row],[ID Libro]],Inventario_Libros!A:E,5,0),"Libro No Existe")</f>
        <v>Libro No Existe</v>
      </c>
      <c r="M287" t="str">
        <f>_xlfn.XLOOKUP(D:D,Inventario_Libros!A:A,Inventario_Libros!G:G,"No Existe",0)</f>
        <v>No Existe</v>
      </c>
      <c r="N287" t="str">
        <f>IFERROR(VLOOKUP(Prestamos[[#This Row],[ID Libro]],Inventario_Libros!A:H,8,0),"Libro No Existe")</f>
        <v>Libro No Existe</v>
      </c>
    </row>
    <row r="288" spans="1:14" x14ac:dyDescent="0.3">
      <c r="A288" s="5" t="s">
        <v>815</v>
      </c>
      <c r="B288" s="1">
        <v>45685</v>
      </c>
      <c r="C288" s="1">
        <v>45705</v>
      </c>
      <c r="D288" s="4" t="s">
        <v>459</v>
      </c>
      <c r="E288" s="2" t="s">
        <v>264</v>
      </c>
      <c r="F288" s="2" t="s">
        <v>263</v>
      </c>
      <c r="G288" s="2" t="s">
        <v>257</v>
      </c>
      <c r="H288" s="3">
        <v>5</v>
      </c>
      <c r="I288" t="str">
        <f>IFERROR(VLOOKUP(Prestamos[[#This Row],[ID Libro]],Inventario_Libros!A:B,2,0),"Libro No Existe")</f>
        <v>Sobre La Felicidad</v>
      </c>
      <c r="J288" t="str">
        <f>IFERROR(VLOOKUP(Prestamos[[#This Row],[ID Libro]],Inventario_Libros!A:C,3,0),"Libro No Existe")</f>
        <v>Lucio Anneo Séneca</v>
      </c>
      <c r="K288" t="str">
        <f>IFERROR(VLOOKUP(Prestamos[[#This Row],[ID Libro]],Inventario_Libros!A:D,4,0),"Libro No Existe")</f>
        <v>Filosofía Y Pensamiento</v>
      </c>
      <c r="L288">
        <f>IFERROR(VLOOKUP(Prestamos[[#This Row],[ID Libro]],Inventario_Libros!A:E,5,0),"Libro No Existe")</f>
        <v>1919</v>
      </c>
      <c r="M288" t="str">
        <f>_xlfn.XLOOKUP(D:D,Inventario_Libros!A:A,Inventario_Libros!G:G,"No Existe",0)</f>
        <v>A-1</v>
      </c>
      <c r="N288" t="str">
        <f>IFERROR(VLOOKUP(Prestamos[[#This Row],[ID Libro]],Inventario_Libros!A:H,8,0),"Libro No Existe")</f>
        <v>Retirado</v>
      </c>
    </row>
    <row r="289" spans="1:14" x14ac:dyDescent="0.3">
      <c r="A289" s="5" t="s">
        <v>816</v>
      </c>
      <c r="B289" s="1">
        <v>45878</v>
      </c>
      <c r="C289" s="1">
        <v>45888</v>
      </c>
      <c r="D289" s="4" t="s">
        <v>360</v>
      </c>
      <c r="E289" s="2" t="s">
        <v>262</v>
      </c>
      <c r="F289" s="2" t="s">
        <v>275</v>
      </c>
      <c r="G289" s="2" t="s">
        <v>279</v>
      </c>
      <c r="H289" s="3" t="s">
        <v>289</v>
      </c>
      <c r="I289" t="str">
        <f>IFERROR(VLOOKUP(Prestamos[[#This Row],[ID Libro]],Inventario_Libros!A:B,2,0),"Libro No Existe")</f>
        <v>Sobre La Felicidad</v>
      </c>
      <c r="J289" t="str">
        <f>IFERROR(VLOOKUP(Prestamos[[#This Row],[ID Libro]],Inventario_Libros!A:C,3,0),"Libro No Existe")</f>
        <v>Lucio Anneo Séneca</v>
      </c>
      <c r="K289" t="str">
        <f>IFERROR(VLOOKUP(Prestamos[[#This Row],[ID Libro]],Inventario_Libros!A:D,4,0),"Libro No Existe")</f>
        <v>Filosofía Y Pensamiento</v>
      </c>
      <c r="L289">
        <f>IFERROR(VLOOKUP(Prestamos[[#This Row],[ID Libro]],Inventario_Libros!A:E,5,0),"Libro No Existe")</f>
        <v>1917</v>
      </c>
      <c r="M289" t="str">
        <f>_xlfn.XLOOKUP(D:D,Inventario_Libros!A:A,Inventario_Libros!G:G,"No Existe",0)</f>
        <v>B-2</v>
      </c>
      <c r="N289" t="str">
        <f>IFERROR(VLOOKUP(Prestamos[[#This Row],[ID Libro]],Inventario_Libros!A:H,8,0),"Libro No Existe")</f>
        <v>Retirado</v>
      </c>
    </row>
    <row r="290" spans="1:14" x14ac:dyDescent="0.3">
      <c r="A290" s="5" t="s">
        <v>817</v>
      </c>
      <c r="B290" s="1">
        <v>45715</v>
      </c>
      <c r="C290" s="1">
        <v>45725</v>
      </c>
      <c r="D290" s="4" t="s">
        <v>400</v>
      </c>
      <c r="E290" s="2" t="s">
        <v>262</v>
      </c>
      <c r="F290" s="2" t="s">
        <v>255</v>
      </c>
      <c r="G290" s="2" t="s">
        <v>279</v>
      </c>
      <c r="H290" s="3" t="s">
        <v>289</v>
      </c>
      <c r="I290" t="str">
        <f>IFERROR(VLOOKUP(Prestamos[[#This Row],[ID Libro]],Inventario_Libros!A:B,2,0),"Libro No Existe")</f>
        <v>El Principito</v>
      </c>
      <c r="J290" t="str">
        <f>IFERROR(VLOOKUP(Prestamos[[#This Row],[ID Libro]],Inventario_Libros!A:C,3,0),"Libro No Existe")</f>
        <v>Antoine De Saint-Exupéry</v>
      </c>
      <c r="K290" t="str">
        <f>IFERROR(VLOOKUP(Prestamos[[#This Row],[ID Libro]],Inventario_Libros!A:D,4,0),"Libro No Existe")</f>
        <v>Literatura Infantil / Fábula Filosófica</v>
      </c>
      <c r="L290">
        <f>IFERROR(VLOOKUP(Prestamos[[#This Row],[ID Libro]],Inventario_Libros!A:E,5,0),"Libro No Existe")</f>
        <v>2000</v>
      </c>
      <c r="M290" t="str">
        <f>_xlfn.XLOOKUP(D:D,Inventario_Libros!A:A,Inventario_Libros!G:G,"No Existe",0)</f>
        <v>A-1</v>
      </c>
      <c r="N290" t="str">
        <f>IFERROR(VLOOKUP(Prestamos[[#This Row],[ID Libro]],Inventario_Libros!A:H,8,0),"Libro No Existe")</f>
        <v>Retirado</v>
      </c>
    </row>
    <row r="291" spans="1:14" x14ac:dyDescent="0.3">
      <c r="A291" s="5" t="s">
        <v>818</v>
      </c>
      <c r="B291" s="1">
        <v>45747</v>
      </c>
      <c r="C291" s="1">
        <v>45757</v>
      </c>
      <c r="D291" s="4" t="s">
        <v>431</v>
      </c>
      <c r="E291" s="2" t="s">
        <v>261</v>
      </c>
      <c r="F291" s="2" t="s">
        <v>263</v>
      </c>
      <c r="G291" s="2" t="s">
        <v>279</v>
      </c>
      <c r="H291" s="3" t="s">
        <v>289</v>
      </c>
      <c r="I291" t="str">
        <f>IFERROR(VLOOKUP(Prestamos[[#This Row],[ID Libro]],Inventario_Libros!A:B,2,0),"Libro No Existe")</f>
        <v>Los Detectives Salvajes</v>
      </c>
      <c r="J291" t="str">
        <f>IFERROR(VLOOKUP(Prestamos[[#This Row],[ID Libro]],Inventario_Libros!A:C,3,0),"Libro No Existe")</f>
        <v>Roberto Bolaño</v>
      </c>
      <c r="K291" t="str">
        <f>IFERROR(VLOOKUP(Prestamos[[#This Row],[ID Libro]],Inventario_Libros!A:D,4,0),"Libro No Existe")</f>
        <v>Novela</v>
      </c>
      <c r="L291">
        <f>IFERROR(VLOOKUP(Prestamos[[#This Row],[ID Libro]],Inventario_Libros!A:E,5,0),"Libro No Existe")</f>
        <v>1956</v>
      </c>
      <c r="M291" t="str">
        <f>_xlfn.XLOOKUP(D:D,Inventario_Libros!A:A,Inventario_Libros!G:G,"No Existe",0)</f>
        <v>B-2</v>
      </c>
      <c r="N291" t="str">
        <f>IFERROR(VLOOKUP(Prestamos[[#This Row],[ID Libro]],Inventario_Libros!A:H,8,0),"Libro No Existe")</f>
        <v>Activo</v>
      </c>
    </row>
    <row r="292" spans="1:14" x14ac:dyDescent="0.3">
      <c r="A292" s="5" t="s">
        <v>819</v>
      </c>
      <c r="B292" s="1">
        <v>45732</v>
      </c>
      <c r="C292" s="1" t="s">
        <v>289</v>
      </c>
      <c r="D292" s="4" t="s">
        <v>488</v>
      </c>
      <c r="E292" s="2" t="s">
        <v>269</v>
      </c>
      <c r="F292" s="2" t="s">
        <v>255</v>
      </c>
      <c r="G292" s="2" t="s">
        <v>257</v>
      </c>
      <c r="H292" s="3">
        <v>5</v>
      </c>
      <c r="I292" t="str">
        <f>IFERROR(VLOOKUP(Prestamos[[#This Row],[ID Libro]],Inventario_Libros!A:B,2,0),"Libro No Existe")</f>
        <v>Matar A Un Ruiseñor</v>
      </c>
      <c r="J292" t="str">
        <f>IFERROR(VLOOKUP(Prestamos[[#This Row],[ID Libro]],Inventario_Libros!A:C,3,0),"Libro No Existe")</f>
        <v>Harper Lee</v>
      </c>
      <c r="K292" t="str">
        <f>IFERROR(VLOOKUP(Prestamos[[#This Row],[ID Libro]],Inventario_Libros!A:D,4,0),"Libro No Existe")</f>
        <v>Novela</v>
      </c>
      <c r="L292">
        <f>IFERROR(VLOOKUP(Prestamos[[#This Row],[ID Libro]],Inventario_Libros!A:E,5,0),"Libro No Existe")</f>
        <v>1972</v>
      </c>
      <c r="M292" t="str">
        <f>_xlfn.XLOOKUP(D:D,Inventario_Libros!A:A,Inventario_Libros!G:G,"No Existe",0)</f>
        <v>B-2</v>
      </c>
      <c r="N292" t="str">
        <f>IFERROR(VLOOKUP(Prestamos[[#This Row],[ID Libro]],Inventario_Libros!A:H,8,0),"Libro No Existe")</f>
        <v>Retirado</v>
      </c>
    </row>
    <row r="293" spans="1:14" x14ac:dyDescent="0.3">
      <c r="A293" s="5" t="s">
        <v>820</v>
      </c>
      <c r="B293" s="1">
        <v>45742</v>
      </c>
      <c r="C293" s="1">
        <v>45752</v>
      </c>
      <c r="D293" s="4" t="s">
        <v>374</v>
      </c>
      <c r="E293" s="2" t="s">
        <v>260</v>
      </c>
      <c r="F293" s="2" t="s">
        <v>252</v>
      </c>
      <c r="G293" s="2" t="s">
        <v>279</v>
      </c>
      <c r="H293" s="3" t="s">
        <v>289</v>
      </c>
      <c r="I293" t="str">
        <f>IFERROR(VLOOKUP(Prestamos[[#This Row],[ID Libro]],Inventario_Libros!A:B,2,0),"Libro No Existe")</f>
        <v>La Casa De Los Espíritus</v>
      </c>
      <c r="J293" t="str">
        <f>IFERROR(VLOOKUP(Prestamos[[#This Row],[ID Libro]],Inventario_Libros!A:C,3,0),"Libro No Existe")</f>
        <v>Isabel Allende</v>
      </c>
      <c r="K293" t="str">
        <f>IFERROR(VLOOKUP(Prestamos[[#This Row],[ID Libro]],Inventario_Libros!A:D,4,0),"Libro No Existe")</f>
        <v>Novela</v>
      </c>
      <c r="L293">
        <f>IFERROR(VLOOKUP(Prestamos[[#This Row],[ID Libro]],Inventario_Libros!A:E,5,0),"Libro No Existe")</f>
        <v>1938</v>
      </c>
      <c r="M293" t="str">
        <f>_xlfn.XLOOKUP(D:D,Inventario_Libros!A:A,Inventario_Libros!G:G,"No Existe",0)</f>
        <v>Est-1</v>
      </c>
      <c r="N293" t="str">
        <f>IFERROR(VLOOKUP(Prestamos[[#This Row],[ID Libro]],Inventario_Libros!A:H,8,0),"Libro No Existe")</f>
        <v>Activo</v>
      </c>
    </row>
    <row r="294" spans="1:14" x14ac:dyDescent="0.3">
      <c r="A294" s="5" t="s">
        <v>821</v>
      </c>
      <c r="B294" s="1">
        <v>45910</v>
      </c>
      <c r="C294" s="1">
        <v>45935</v>
      </c>
      <c r="D294" s="4" t="s">
        <v>427</v>
      </c>
      <c r="E294" s="2" t="s">
        <v>251</v>
      </c>
      <c r="F294" s="2" t="s">
        <v>275</v>
      </c>
      <c r="G294" s="2" t="s">
        <v>257</v>
      </c>
      <c r="H294" s="3">
        <v>10</v>
      </c>
      <c r="I294" t="str">
        <f>IFERROR(VLOOKUP(Prestamos[[#This Row],[ID Libro]],Inventario_Libros!A:B,2,0),"Libro No Existe")</f>
        <v>La Odisea</v>
      </c>
      <c r="J294" t="str">
        <f>IFERROR(VLOOKUP(Prestamos[[#This Row],[ID Libro]],Inventario_Libros!A:C,3,0),"Libro No Existe")</f>
        <v>Homero</v>
      </c>
      <c r="K294" t="str">
        <f>IFERROR(VLOOKUP(Prestamos[[#This Row],[ID Libro]],Inventario_Libros!A:D,4,0),"Libro No Existe")</f>
        <v>Clásicos</v>
      </c>
      <c r="L294">
        <f>IFERROR(VLOOKUP(Prestamos[[#This Row],[ID Libro]],Inventario_Libros!A:E,5,0),"Libro No Existe")</f>
        <v>1893</v>
      </c>
      <c r="M294" t="str">
        <f>_xlfn.XLOOKUP(D:D,Inventario_Libros!A:A,Inventario_Libros!G:G,"No Existe",0)</f>
        <v>Est-1</v>
      </c>
      <c r="N294" t="str">
        <f>IFERROR(VLOOKUP(Prestamos[[#This Row],[ID Libro]],Inventario_Libros!A:H,8,0),"Libro No Existe")</f>
        <v>Activo</v>
      </c>
    </row>
    <row r="295" spans="1:14" x14ac:dyDescent="0.3">
      <c r="A295" s="5" t="s">
        <v>822</v>
      </c>
      <c r="B295" s="1">
        <v>45859</v>
      </c>
      <c r="C295" s="1">
        <v>45879</v>
      </c>
      <c r="D295" s="4" t="s">
        <v>489</v>
      </c>
      <c r="E295" s="2" t="s">
        <v>269</v>
      </c>
      <c r="F295" s="2" t="s">
        <v>275</v>
      </c>
      <c r="G295" s="2" t="s">
        <v>257</v>
      </c>
      <c r="H295" s="3">
        <v>5</v>
      </c>
      <c r="I295" t="str">
        <f>IFERROR(VLOOKUP(Prestamos[[#This Row],[ID Libro]],Inventario_Libros!A:B,2,0),"Libro No Existe")</f>
        <v>Libro No Existe</v>
      </c>
      <c r="J295" t="str">
        <f>IFERROR(VLOOKUP(Prestamos[[#This Row],[ID Libro]],Inventario_Libros!A:C,3,0),"Libro No Existe")</f>
        <v>Libro No Existe</v>
      </c>
      <c r="K295" t="str">
        <f>IFERROR(VLOOKUP(Prestamos[[#This Row],[ID Libro]],Inventario_Libros!A:D,4,0),"Libro No Existe")</f>
        <v>Libro No Existe</v>
      </c>
      <c r="L295" t="str">
        <f>IFERROR(VLOOKUP(Prestamos[[#This Row],[ID Libro]],Inventario_Libros!A:E,5,0),"Libro No Existe")</f>
        <v>Libro No Existe</v>
      </c>
      <c r="M295" t="str">
        <f>_xlfn.XLOOKUP(D:D,Inventario_Libros!A:A,Inventario_Libros!G:G,"No Existe",0)</f>
        <v>No Existe</v>
      </c>
      <c r="N295" t="str">
        <f>IFERROR(VLOOKUP(Prestamos[[#This Row],[ID Libro]],Inventario_Libros!A:H,8,0),"Libro No Existe")</f>
        <v>Libro No Existe</v>
      </c>
    </row>
    <row r="296" spans="1:14" x14ac:dyDescent="0.3">
      <c r="A296" s="5" t="s">
        <v>823</v>
      </c>
      <c r="B296" s="1">
        <v>45956</v>
      </c>
      <c r="C296" s="1">
        <v>45966</v>
      </c>
      <c r="D296" s="4" t="s">
        <v>424</v>
      </c>
      <c r="E296" s="2" t="s">
        <v>286</v>
      </c>
      <c r="F296" s="2" t="s">
        <v>258</v>
      </c>
      <c r="G296" s="2" t="s">
        <v>253</v>
      </c>
      <c r="H296" s="3">
        <v>0</v>
      </c>
      <c r="I296" t="str">
        <f>IFERROR(VLOOKUP(Prestamos[[#This Row],[ID Libro]],Inventario_Libros!A:B,2,0),"Libro No Existe")</f>
        <v>La Iliada</v>
      </c>
      <c r="J296" t="str">
        <f>IFERROR(VLOOKUP(Prestamos[[#This Row],[ID Libro]],Inventario_Libros!A:C,3,0),"Libro No Existe")</f>
        <v>Homero</v>
      </c>
      <c r="K296" t="str">
        <f>IFERROR(VLOOKUP(Prestamos[[#This Row],[ID Libro]],Inventario_Libros!A:D,4,0),"Libro No Existe")</f>
        <v>Clásicos</v>
      </c>
      <c r="L296">
        <f>IFERROR(VLOOKUP(Prestamos[[#This Row],[ID Libro]],Inventario_Libros!A:E,5,0),"Libro No Existe")</f>
        <v>1947</v>
      </c>
      <c r="M296" t="str">
        <f>_xlfn.XLOOKUP(D:D,Inventario_Libros!A:A,Inventario_Libros!G:G,"No Existe",0)</f>
        <v>A-1</v>
      </c>
      <c r="N296" t="str">
        <f>IFERROR(VLOOKUP(Prestamos[[#This Row],[ID Libro]],Inventario_Libros!A:H,8,0),"Libro No Existe")</f>
        <v>Activo</v>
      </c>
    </row>
    <row r="297" spans="1:14" x14ac:dyDescent="0.3">
      <c r="A297" s="5" t="s">
        <v>824</v>
      </c>
      <c r="B297" s="1">
        <v>45919</v>
      </c>
      <c r="C297" s="1">
        <v>45935</v>
      </c>
      <c r="D297" s="4" t="s">
        <v>366</v>
      </c>
      <c r="E297" s="2" t="s">
        <v>259</v>
      </c>
      <c r="F297" s="2" t="s">
        <v>275</v>
      </c>
      <c r="G297" s="2" t="s">
        <v>257</v>
      </c>
      <c r="H297" s="3">
        <v>1</v>
      </c>
      <c r="I297" t="str">
        <f>IFERROR(VLOOKUP(Prestamos[[#This Row],[ID Libro]],Inventario_Libros!A:B,2,0),"Libro No Existe")</f>
        <v>1984</v>
      </c>
      <c r="J297" t="str">
        <f>IFERROR(VLOOKUP(Prestamos[[#This Row],[ID Libro]],Inventario_Libros!A:C,3,0),"Libro No Existe")</f>
        <v>George Orwell</v>
      </c>
      <c r="K297" t="str">
        <f>IFERROR(VLOOKUP(Prestamos[[#This Row],[ID Libro]],Inventario_Libros!A:D,4,0),"Libro No Existe")</f>
        <v>Ciencia Ficción</v>
      </c>
      <c r="L297">
        <f>IFERROR(VLOOKUP(Prestamos[[#This Row],[ID Libro]],Inventario_Libros!A:E,5,0),"Libro No Existe")</f>
        <v>1893</v>
      </c>
      <c r="M297" t="str">
        <f>_xlfn.XLOOKUP(D:D,Inventario_Libros!A:A,Inventario_Libros!G:G,"No Existe",0)</f>
        <v>C-3</v>
      </c>
      <c r="N297" t="str">
        <f>IFERROR(VLOOKUP(Prestamos[[#This Row],[ID Libro]],Inventario_Libros!A:H,8,0),"Libro No Existe")</f>
        <v>Activo</v>
      </c>
    </row>
    <row r="298" spans="1:14" x14ac:dyDescent="0.3">
      <c r="A298" s="5" t="s">
        <v>825</v>
      </c>
      <c r="B298" s="1">
        <v>45842</v>
      </c>
      <c r="C298" s="1">
        <v>45853</v>
      </c>
      <c r="D298" s="4" t="s">
        <v>429</v>
      </c>
      <c r="E298" s="2" t="s">
        <v>278</v>
      </c>
      <c r="F298" s="2" t="s">
        <v>275</v>
      </c>
      <c r="G298" s="2" t="s">
        <v>253</v>
      </c>
      <c r="H298" s="3">
        <v>0</v>
      </c>
      <c r="I298" t="str">
        <f>IFERROR(VLOOKUP(Prestamos[[#This Row],[ID Libro]],Inventario_Libros!A:B,2,0),"Libro No Existe")</f>
        <v>Pedro Páramo</v>
      </c>
      <c r="J298" t="str">
        <f>IFERROR(VLOOKUP(Prestamos[[#This Row],[ID Libro]],Inventario_Libros!A:C,3,0),"Libro No Existe")</f>
        <v>Juan Rulfo</v>
      </c>
      <c r="K298" t="str">
        <f>IFERROR(VLOOKUP(Prestamos[[#This Row],[ID Libro]],Inventario_Libros!A:D,4,0),"Libro No Existe")</f>
        <v>Novela</v>
      </c>
      <c r="L298">
        <f>IFERROR(VLOOKUP(Prestamos[[#This Row],[ID Libro]],Inventario_Libros!A:E,5,0),"Libro No Existe")</f>
        <v>1924</v>
      </c>
      <c r="M298" t="str">
        <f>_xlfn.XLOOKUP(D:D,Inventario_Libros!A:A,Inventario_Libros!G:G,"No Existe",0)</f>
        <v>Est-1</v>
      </c>
      <c r="N298" t="str">
        <f>IFERROR(VLOOKUP(Prestamos[[#This Row],[ID Libro]],Inventario_Libros!A:H,8,0),"Libro No Existe")</f>
        <v>Retirado</v>
      </c>
    </row>
    <row r="299" spans="1:14" x14ac:dyDescent="0.3">
      <c r="A299" s="5" t="s">
        <v>826</v>
      </c>
      <c r="B299" s="1">
        <v>45929</v>
      </c>
      <c r="C299" s="1">
        <v>45940</v>
      </c>
      <c r="D299" s="4" t="s">
        <v>321</v>
      </c>
      <c r="E299" s="2" t="s">
        <v>267</v>
      </c>
      <c r="F299" s="2" t="s">
        <v>255</v>
      </c>
      <c r="G299" s="2" t="s">
        <v>253</v>
      </c>
      <c r="H299" s="3">
        <v>0</v>
      </c>
      <c r="I299" t="str">
        <f>IFERROR(VLOOKUP(Prestamos[[#This Row],[ID Libro]],Inventario_Libros!A:B,2,0),"Libro No Existe")</f>
        <v>La Ciudad Y Los Perros</v>
      </c>
      <c r="J299" t="str">
        <f>IFERROR(VLOOKUP(Prestamos[[#This Row],[ID Libro]],Inventario_Libros!A:C,3,0),"Libro No Existe")</f>
        <v>Mario Vargas Llosa</v>
      </c>
      <c r="K299" t="str">
        <f>IFERROR(VLOOKUP(Prestamos[[#This Row],[ID Libro]],Inventario_Libros!A:D,4,0),"Libro No Existe")</f>
        <v>Novela</v>
      </c>
      <c r="L299">
        <f>IFERROR(VLOOKUP(Prestamos[[#This Row],[ID Libro]],Inventario_Libros!A:E,5,0),"Libro No Existe")</f>
        <v>1891</v>
      </c>
      <c r="M299" t="str">
        <f>_xlfn.XLOOKUP(D:D,Inventario_Libros!A:A,Inventario_Libros!G:G,"No Existe",0)</f>
        <v>Est-1</v>
      </c>
      <c r="N299" t="str">
        <f>IFERROR(VLOOKUP(Prestamos[[#This Row],[ID Libro]],Inventario_Libros!A:H,8,0),"Libro No Existe")</f>
        <v>Retirado</v>
      </c>
    </row>
    <row r="300" spans="1:14" x14ac:dyDescent="0.3">
      <c r="A300" s="5" t="s">
        <v>827</v>
      </c>
      <c r="B300" s="1">
        <v>45855</v>
      </c>
      <c r="C300" s="1">
        <v>45866</v>
      </c>
      <c r="D300" s="4" t="s">
        <v>374</v>
      </c>
      <c r="E300" s="2" t="s">
        <v>259</v>
      </c>
      <c r="F300" s="2" t="s">
        <v>255</v>
      </c>
      <c r="G300" s="2" t="s">
        <v>253</v>
      </c>
      <c r="H300" s="3">
        <v>0</v>
      </c>
      <c r="I300" t="str">
        <f>IFERROR(VLOOKUP(Prestamos[[#This Row],[ID Libro]],Inventario_Libros!A:B,2,0),"Libro No Existe")</f>
        <v>La Casa De Los Espíritus</v>
      </c>
      <c r="J300" t="str">
        <f>IFERROR(VLOOKUP(Prestamos[[#This Row],[ID Libro]],Inventario_Libros!A:C,3,0),"Libro No Existe")</f>
        <v>Isabel Allende</v>
      </c>
      <c r="K300" t="str">
        <f>IFERROR(VLOOKUP(Prestamos[[#This Row],[ID Libro]],Inventario_Libros!A:D,4,0),"Libro No Existe")</f>
        <v>Novela</v>
      </c>
      <c r="L300">
        <f>IFERROR(VLOOKUP(Prestamos[[#This Row],[ID Libro]],Inventario_Libros!A:E,5,0),"Libro No Existe")</f>
        <v>1938</v>
      </c>
      <c r="M300" t="str">
        <f>_xlfn.XLOOKUP(D:D,Inventario_Libros!A:A,Inventario_Libros!G:G,"No Existe",0)</f>
        <v>Est-1</v>
      </c>
      <c r="N300" t="str">
        <f>IFERROR(VLOOKUP(Prestamos[[#This Row],[ID Libro]],Inventario_Libros!A:H,8,0),"Libro No Existe")</f>
        <v>Activo</v>
      </c>
    </row>
    <row r="301" spans="1:14" x14ac:dyDescent="0.3">
      <c r="A301" s="5" t="s">
        <v>828</v>
      </c>
      <c r="B301" s="1">
        <v>45889</v>
      </c>
      <c r="C301" s="1">
        <v>45900</v>
      </c>
      <c r="D301" s="4" t="s">
        <v>361</v>
      </c>
      <c r="E301" s="2" t="s">
        <v>270</v>
      </c>
      <c r="F301" s="2" t="s">
        <v>258</v>
      </c>
      <c r="G301" s="2" t="s">
        <v>253</v>
      </c>
      <c r="H301" s="3">
        <v>1</v>
      </c>
      <c r="I301" t="str">
        <f>IFERROR(VLOOKUP(Prestamos[[#This Row],[ID Libro]],Inventario_Libros!A:B,2,0),"Libro No Existe")</f>
        <v>Macbeth</v>
      </c>
      <c r="J301" t="str">
        <f>IFERROR(VLOOKUP(Prestamos[[#This Row],[ID Libro]],Inventario_Libros!A:C,3,0),"Libro No Existe")</f>
        <v>William Shakespeare</v>
      </c>
      <c r="K301" t="str">
        <f>IFERROR(VLOOKUP(Prestamos[[#This Row],[ID Libro]],Inventario_Libros!A:D,4,0),"Libro No Existe")</f>
        <v>Clásicos</v>
      </c>
      <c r="L301">
        <f>IFERROR(VLOOKUP(Prestamos[[#This Row],[ID Libro]],Inventario_Libros!A:E,5,0),"Libro No Existe")</f>
        <v>1883</v>
      </c>
      <c r="M301" t="str">
        <f>_xlfn.XLOOKUP(D:D,Inventario_Libros!A:A,Inventario_Libros!G:G,"No Existe",0)</f>
        <v>Est-1</v>
      </c>
      <c r="N301" t="str">
        <f>IFERROR(VLOOKUP(Prestamos[[#This Row],[ID Libro]],Inventario_Libros!A:H,8,0),"Libro No Existe")</f>
        <v>Activo</v>
      </c>
    </row>
    <row r="302" spans="1:14" x14ac:dyDescent="0.3">
      <c r="A302" s="5" t="s">
        <v>829</v>
      </c>
      <c r="B302" s="1">
        <v>45958</v>
      </c>
      <c r="C302" s="1">
        <v>45969</v>
      </c>
      <c r="D302" s="4" t="s">
        <v>490</v>
      </c>
      <c r="E302" s="2" t="s">
        <v>278</v>
      </c>
      <c r="F302" s="2" t="s">
        <v>275</v>
      </c>
      <c r="G302" s="2" t="s">
        <v>253</v>
      </c>
      <c r="H302" s="3">
        <v>0</v>
      </c>
      <c r="I302" t="str">
        <f>IFERROR(VLOOKUP(Prestamos[[#This Row],[ID Libro]],Inventario_Libros!A:B,2,0),"Libro No Existe")</f>
        <v>Libro No Existe</v>
      </c>
      <c r="J302" t="str">
        <f>IFERROR(VLOOKUP(Prestamos[[#This Row],[ID Libro]],Inventario_Libros!A:C,3,0),"Libro No Existe")</f>
        <v>Libro No Existe</v>
      </c>
      <c r="K302" t="str">
        <f>IFERROR(VLOOKUP(Prestamos[[#This Row],[ID Libro]],Inventario_Libros!A:D,4,0),"Libro No Existe")</f>
        <v>Libro No Existe</v>
      </c>
      <c r="L302" t="str">
        <f>IFERROR(VLOOKUP(Prestamos[[#This Row],[ID Libro]],Inventario_Libros!A:E,5,0),"Libro No Existe")</f>
        <v>Libro No Existe</v>
      </c>
      <c r="M302" t="str">
        <f>_xlfn.XLOOKUP(D:D,Inventario_Libros!A:A,Inventario_Libros!G:G,"No Existe",0)</f>
        <v>No Existe</v>
      </c>
      <c r="N302" t="str">
        <f>IFERROR(VLOOKUP(Prestamos[[#This Row],[ID Libro]],Inventario_Libros!A:H,8,0),"Libro No Existe")</f>
        <v>Libro No Existe</v>
      </c>
    </row>
    <row r="303" spans="1:14" x14ac:dyDescent="0.3">
      <c r="A303" s="5" t="s">
        <v>830</v>
      </c>
      <c r="B303" s="1">
        <v>45929</v>
      </c>
      <c r="C303" s="1" t="s">
        <v>289</v>
      </c>
      <c r="D303" s="4" t="s">
        <v>396</v>
      </c>
      <c r="E303" s="2" t="s">
        <v>272</v>
      </c>
      <c r="F303" s="2" t="s">
        <v>275</v>
      </c>
      <c r="G303" s="2" t="s">
        <v>257</v>
      </c>
      <c r="H303" s="3">
        <v>5</v>
      </c>
      <c r="I303" t="str">
        <f>IFERROR(VLOOKUP(Prestamos[[#This Row],[ID Libro]],Inventario_Libros!A:B,2,0),"Libro No Existe")</f>
        <v>Breve Historia Del Tiempo</v>
      </c>
      <c r="J303" t="str">
        <f>IFERROR(VLOOKUP(Prestamos[[#This Row],[ID Libro]],Inventario_Libros!A:C,3,0),"Libro No Existe")</f>
        <v>Stephen Hawking</v>
      </c>
      <c r="K303" t="str">
        <f>IFERROR(VLOOKUP(Prestamos[[#This Row],[ID Libro]],Inventario_Libros!A:D,4,0),"Libro No Existe")</f>
        <v>Divulgación Científica / Cosmología</v>
      </c>
      <c r="L303">
        <f>IFERROR(VLOOKUP(Prestamos[[#This Row],[ID Libro]],Inventario_Libros!A:E,5,0),"Libro No Existe")</f>
        <v>1909</v>
      </c>
      <c r="M303" t="str">
        <f>_xlfn.XLOOKUP(D:D,Inventario_Libros!A:A,Inventario_Libros!G:G,"No Existe",0)</f>
        <v>A-1</v>
      </c>
      <c r="N303" t="str">
        <f>IFERROR(VLOOKUP(Prestamos[[#This Row],[ID Libro]],Inventario_Libros!A:H,8,0),"Libro No Existe")</f>
        <v>Activo</v>
      </c>
    </row>
    <row r="304" spans="1:14" x14ac:dyDescent="0.3">
      <c r="A304" s="5" t="s">
        <v>831</v>
      </c>
      <c r="B304" s="1">
        <v>45786</v>
      </c>
      <c r="C304" s="1">
        <v>45797</v>
      </c>
      <c r="D304" s="4" t="s">
        <v>326</v>
      </c>
      <c r="E304" s="2" t="s">
        <v>277</v>
      </c>
      <c r="F304" s="2" t="s">
        <v>275</v>
      </c>
      <c r="G304" s="2" t="s">
        <v>253</v>
      </c>
      <c r="H304" s="3">
        <v>3</v>
      </c>
      <c r="I304" t="str">
        <f>IFERROR(VLOOKUP(Prestamos[[#This Row],[ID Libro]],Inventario_Libros!A:B,2,0),"Libro No Existe")</f>
        <v>Orgullo Y Prejuicio</v>
      </c>
      <c r="J304" t="str">
        <f>IFERROR(VLOOKUP(Prestamos[[#This Row],[ID Libro]],Inventario_Libros!A:C,3,0),"Libro No Existe")</f>
        <v>Jane Austen</v>
      </c>
      <c r="K304" t="str">
        <f>IFERROR(VLOOKUP(Prestamos[[#This Row],[ID Libro]],Inventario_Libros!A:D,4,0),"Libro No Existe")</f>
        <v>Novela</v>
      </c>
      <c r="L304">
        <f>IFERROR(VLOOKUP(Prestamos[[#This Row],[ID Libro]],Inventario_Libros!A:E,5,0),"Libro No Existe")</f>
        <v>2013</v>
      </c>
      <c r="M304" t="str">
        <f>_xlfn.XLOOKUP(D:D,Inventario_Libros!A:A,Inventario_Libros!G:G,"No Existe",0)</f>
        <v>Est-1</v>
      </c>
      <c r="N304" t="str">
        <f>IFERROR(VLOOKUP(Prestamos[[#This Row],[ID Libro]],Inventario_Libros!A:H,8,0),"Libro No Existe")</f>
        <v>Activo</v>
      </c>
    </row>
    <row r="305" spans="1:14" x14ac:dyDescent="0.3">
      <c r="A305" s="5" t="s">
        <v>832</v>
      </c>
      <c r="B305" s="1">
        <v>45899</v>
      </c>
      <c r="C305" s="1">
        <v>45910</v>
      </c>
      <c r="D305" s="4" t="s">
        <v>425</v>
      </c>
      <c r="E305" s="2" t="s">
        <v>262</v>
      </c>
      <c r="F305" s="2" t="s">
        <v>258</v>
      </c>
      <c r="G305" s="2" t="s">
        <v>279</v>
      </c>
      <c r="H305" s="3" t="s">
        <v>289</v>
      </c>
      <c r="I305" t="str">
        <f>IFERROR(VLOOKUP(Prestamos[[#This Row],[ID Libro]],Inventario_Libros!A:B,2,0),"Libro No Existe")</f>
        <v>La Odisea</v>
      </c>
      <c r="J305" t="str">
        <f>IFERROR(VLOOKUP(Prestamos[[#This Row],[ID Libro]],Inventario_Libros!A:C,3,0),"Libro No Existe")</f>
        <v>Homero</v>
      </c>
      <c r="K305" t="str">
        <f>IFERROR(VLOOKUP(Prestamos[[#This Row],[ID Libro]],Inventario_Libros!A:D,4,0),"Libro No Existe")</f>
        <v>Clásicos</v>
      </c>
      <c r="L305">
        <f>IFERROR(VLOOKUP(Prestamos[[#This Row],[ID Libro]],Inventario_Libros!A:E,5,0),"Libro No Existe")</f>
        <v>1978</v>
      </c>
      <c r="M305" t="str">
        <f>_xlfn.XLOOKUP(D:D,Inventario_Libros!A:A,Inventario_Libros!G:G,"No Existe",0)</f>
        <v>A-1</v>
      </c>
      <c r="N305" t="str">
        <f>IFERROR(VLOOKUP(Prestamos[[#This Row],[ID Libro]],Inventario_Libros!A:H,8,0),"Libro No Existe")</f>
        <v>Retirado</v>
      </c>
    </row>
    <row r="306" spans="1:14" x14ac:dyDescent="0.3">
      <c r="A306" s="5" t="s">
        <v>833</v>
      </c>
      <c r="B306" s="1">
        <v>45690</v>
      </c>
      <c r="C306" s="1">
        <v>45701</v>
      </c>
      <c r="D306" s="4" t="s">
        <v>476</v>
      </c>
      <c r="E306" s="2" t="s">
        <v>277</v>
      </c>
      <c r="F306" s="2" t="s">
        <v>252</v>
      </c>
      <c r="G306" s="2" t="s">
        <v>253</v>
      </c>
      <c r="H306" s="3" t="s">
        <v>280</v>
      </c>
      <c r="I306" t="str">
        <f>IFERROR(VLOOKUP(Prestamos[[#This Row],[ID Libro]],Inventario_Libros!A:B,2,0),"Libro No Existe")</f>
        <v>Pedro Páramo</v>
      </c>
      <c r="J306" t="str">
        <f>IFERROR(VLOOKUP(Prestamos[[#This Row],[ID Libro]],Inventario_Libros!A:C,3,0),"Libro No Existe")</f>
        <v>Juan Rulfo</v>
      </c>
      <c r="K306" t="str">
        <f>IFERROR(VLOOKUP(Prestamos[[#This Row],[ID Libro]],Inventario_Libros!A:D,4,0),"Libro No Existe")</f>
        <v>Novela</v>
      </c>
      <c r="L306">
        <f>IFERROR(VLOOKUP(Prestamos[[#This Row],[ID Libro]],Inventario_Libros!A:E,5,0),"Libro No Existe")</f>
        <v>1934</v>
      </c>
      <c r="M306" t="str">
        <f>_xlfn.XLOOKUP(D:D,Inventario_Libros!A:A,Inventario_Libros!G:G,"No Existe",0)</f>
        <v>Est-1</v>
      </c>
      <c r="N306" t="str">
        <f>IFERROR(VLOOKUP(Prestamos[[#This Row],[ID Libro]],Inventario_Libros!A:H,8,0),"Libro No Existe")</f>
        <v>Activo</v>
      </c>
    </row>
    <row r="307" spans="1:14" x14ac:dyDescent="0.3">
      <c r="A307" s="5" t="s">
        <v>834</v>
      </c>
      <c r="B307" s="1">
        <v>45856</v>
      </c>
      <c r="C307" s="1">
        <v>45868</v>
      </c>
      <c r="D307" s="4" t="s">
        <v>344</v>
      </c>
      <c r="E307" s="2" t="s">
        <v>276</v>
      </c>
      <c r="F307" s="2" t="s">
        <v>263</v>
      </c>
      <c r="G307" s="2" t="s">
        <v>279</v>
      </c>
      <c r="H307" s="3" t="s">
        <v>289</v>
      </c>
      <c r="I307" t="str">
        <f>IFERROR(VLOOKUP(Prestamos[[#This Row],[ID Libro]],Inventario_Libros!A:B,2,0),"Libro No Existe")</f>
        <v>Matar A Un Ruiseñor</v>
      </c>
      <c r="J307" t="str">
        <f>IFERROR(VLOOKUP(Prestamos[[#This Row],[ID Libro]],Inventario_Libros!A:C,3,0),"Libro No Existe")</f>
        <v>Harper Lee</v>
      </c>
      <c r="K307" t="str">
        <f>IFERROR(VLOOKUP(Prestamos[[#This Row],[ID Libro]],Inventario_Libros!A:D,4,0),"Libro No Existe")</f>
        <v>Novela</v>
      </c>
      <c r="L307">
        <f>IFERROR(VLOOKUP(Prestamos[[#This Row],[ID Libro]],Inventario_Libros!A:E,5,0),"Libro No Existe")</f>
        <v>1981</v>
      </c>
      <c r="M307" t="str">
        <f>_xlfn.XLOOKUP(D:D,Inventario_Libros!A:A,Inventario_Libros!G:G,"No Existe",0)</f>
        <v>C-3</v>
      </c>
      <c r="N307" t="str">
        <f>IFERROR(VLOOKUP(Prestamos[[#This Row],[ID Libro]],Inventario_Libros!A:H,8,0),"Libro No Existe")</f>
        <v>Retirado</v>
      </c>
    </row>
    <row r="308" spans="1:14" x14ac:dyDescent="0.3">
      <c r="A308" s="5" t="s">
        <v>835</v>
      </c>
      <c r="B308" s="1">
        <v>45887</v>
      </c>
      <c r="C308" s="1">
        <v>45904</v>
      </c>
      <c r="D308" s="4" t="s">
        <v>407</v>
      </c>
      <c r="E308" s="2" t="s">
        <v>277</v>
      </c>
      <c r="F308" s="2" t="s">
        <v>275</v>
      </c>
      <c r="G308" s="2" t="s">
        <v>257</v>
      </c>
      <c r="H308" s="3">
        <v>2</v>
      </c>
      <c r="I308" t="str">
        <f>IFERROR(VLOOKUP(Prestamos[[#This Row],[ID Libro]],Inventario_Libros!A:B,2,0),"Libro No Existe")</f>
        <v>Crónica De Una Muerte Anunciada</v>
      </c>
      <c r="J308" t="str">
        <f>IFERROR(VLOOKUP(Prestamos[[#This Row],[ID Libro]],Inventario_Libros!A:C,3,0),"Libro No Existe")</f>
        <v>Gabriel García Márquez</v>
      </c>
      <c r="K308" t="str">
        <f>IFERROR(VLOOKUP(Prestamos[[#This Row],[ID Libro]],Inventario_Libros!A:D,4,0),"Libro No Existe")</f>
        <v>Novela</v>
      </c>
      <c r="L308">
        <f>IFERROR(VLOOKUP(Prestamos[[#This Row],[ID Libro]],Inventario_Libros!A:E,5,0),"Libro No Existe")</f>
        <v>1934</v>
      </c>
      <c r="M308" t="str">
        <f>_xlfn.XLOOKUP(D:D,Inventario_Libros!A:A,Inventario_Libros!G:G,"No Existe",0)</f>
        <v>C-3</v>
      </c>
      <c r="N308" t="str">
        <f>IFERROR(VLOOKUP(Prestamos[[#This Row],[ID Libro]],Inventario_Libros!A:H,8,0),"Libro No Existe")</f>
        <v>Retirado</v>
      </c>
    </row>
    <row r="309" spans="1:14" x14ac:dyDescent="0.3">
      <c r="A309" s="5" t="s">
        <v>836</v>
      </c>
      <c r="B309" s="1">
        <v>45963</v>
      </c>
      <c r="C309" s="1">
        <v>45980</v>
      </c>
      <c r="D309" s="4" t="s">
        <v>491</v>
      </c>
      <c r="E309" s="2" t="s">
        <v>265</v>
      </c>
      <c r="F309" s="2" t="s">
        <v>275</v>
      </c>
      <c r="G309" s="2" t="s">
        <v>257</v>
      </c>
      <c r="H309" s="3">
        <v>2</v>
      </c>
      <c r="I309" t="str">
        <f>IFERROR(VLOOKUP(Prestamos[[#This Row],[ID Libro]],Inventario_Libros!A:B,2,0),"Libro No Existe")</f>
        <v>La Casa De Los Espíritus</v>
      </c>
      <c r="J309" t="str">
        <f>IFERROR(VLOOKUP(Prestamos[[#This Row],[ID Libro]],Inventario_Libros!A:C,3,0),"Libro No Existe")</f>
        <v>Isabel Allende</v>
      </c>
      <c r="K309" t="str">
        <f>IFERROR(VLOOKUP(Prestamos[[#This Row],[ID Libro]],Inventario_Libros!A:D,4,0),"Libro No Existe")</f>
        <v>Novela</v>
      </c>
      <c r="L309">
        <f>IFERROR(VLOOKUP(Prestamos[[#This Row],[ID Libro]],Inventario_Libros!A:E,5,0),"Libro No Existe")</f>
        <v>1970</v>
      </c>
      <c r="M309" t="str">
        <f>_xlfn.XLOOKUP(D:D,Inventario_Libros!A:A,Inventario_Libros!G:G,"No Existe",0)</f>
        <v>C-3</v>
      </c>
      <c r="N309" t="str">
        <f>IFERROR(VLOOKUP(Prestamos[[#This Row],[ID Libro]],Inventario_Libros!A:H,8,0),"Libro No Existe")</f>
        <v>Activo</v>
      </c>
    </row>
    <row r="310" spans="1:14" x14ac:dyDescent="0.3">
      <c r="A310" s="5" t="s">
        <v>837</v>
      </c>
      <c r="B310" s="1">
        <v>45674</v>
      </c>
      <c r="C310" s="1">
        <v>45686</v>
      </c>
      <c r="D310" s="4" t="s">
        <v>486</v>
      </c>
      <c r="E310" s="2" t="s">
        <v>269</v>
      </c>
      <c r="F310" s="2" t="s">
        <v>263</v>
      </c>
      <c r="G310" s="2" t="s">
        <v>253</v>
      </c>
      <c r="H310" s="3">
        <v>1</v>
      </c>
      <c r="I310" t="str">
        <f>IFERROR(VLOOKUP(Prestamos[[#This Row],[ID Libro]],Inventario_Libros!A:B,2,0),"Libro No Existe")</f>
        <v>Breve Historia Del Tiempo</v>
      </c>
      <c r="J310" t="str">
        <f>IFERROR(VLOOKUP(Prestamos[[#This Row],[ID Libro]],Inventario_Libros!A:C,3,0),"Libro No Existe")</f>
        <v>Stephen Hawking</v>
      </c>
      <c r="K310" t="str">
        <f>IFERROR(VLOOKUP(Prestamos[[#This Row],[ID Libro]],Inventario_Libros!A:D,4,0),"Libro No Existe")</f>
        <v>Divulgación Científica / Cosmología</v>
      </c>
      <c r="L310">
        <f>IFERROR(VLOOKUP(Prestamos[[#This Row],[ID Libro]],Inventario_Libros!A:E,5,0),"Libro No Existe")</f>
        <v>1965</v>
      </c>
      <c r="M310" t="str">
        <f>_xlfn.XLOOKUP(D:D,Inventario_Libros!A:A,Inventario_Libros!G:G,"No Existe",0)</f>
        <v>A-1</v>
      </c>
      <c r="N310" t="str">
        <f>IFERROR(VLOOKUP(Prestamos[[#This Row],[ID Libro]],Inventario_Libros!A:H,8,0),"Libro No Existe")</f>
        <v>Activo</v>
      </c>
    </row>
    <row r="311" spans="1:14" x14ac:dyDescent="0.3">
      <c r="A311" s="5" t="s">
        <v>838</v>
      </c>
      <c r="B311" s="1">
        <v>45953</v>
      </c>
      <c r="C311" s="1">
        <v>45973</v>
      </c>
      <c r="D311" s="4" t="s">
        <v>492</v>
      </c>
      <c r="E311" s="2" t="s">
        <v>261</v>
      </c>
      <c r="F311" s="2" t="s">
        <v>255</v>
      </c>
      <c r="G311" s="2" t="s">
        <v>257</v>
      </c>
      <c r="H311" s="3">
        <v>5</v>
      </c>
      <c r="I311" t="str">
        <f>IFERROR(VLOOKUP(Prestamos[[#This Row],[ID Libro]],Inventario_Libros!A:B,2,0),"Libro No Existe")</f>
        <v>Macbeth</v>
      </c>
      <c r="J311" t="str">
        <f>IFERROR(VLOOKUP(Prestamos[[#This Row],[ID Libro]],Inventario_Libros!A:C,3,0),"Libro No Existe")</f>
        <v>William Shakespeare</v>
      </c>
      <c r="K311" t="str">
        <f>IFERROR(VLOOKUP(Prestamos[[#This Row],[ID Libro]],Inventario_Libros!A:D,4,0),"Libro No Existe")</f>
        <v>Clásicos</v>
      </c>
      <c r="L311">
        <f>IFERROR(VLOOKUP(Prestamos[[#This Row],[ID Libro]],Inventario_Libros!A:E,5,0),"Libro No Existe")</f>
        <v>1901</v>
      </c>
      <c r="M311" t="str">
        <f>_xlfn.XLOOKUP(D:D,Inventario_Libros!A:A,Inventario_Libros!G:G,"No Existe",0)</f>
        <v>No Asignado</v>
      </c>
      <c r="N311" t="str">
        <f>IFERROR(VLOOKUP(Prestamos[[#This Row],[ID Libro]],Inventario_Libros!A:H,8,0),"Libro No Existe")</f>
        <v>Retirado</v>
      </c>
    </row>
    <row r="312" spans="1:14" x14ac:dyDescent="0.3">
      <c r="A312" s="5" t="s">
        <v>839</v>
      </c>
      <c r="B312" s="1">
        <v>45927</v>
      </c>
      <c r="C312" s="1">
        <v>45939</v>
      </c>
      <c r="D312" s="4" t="s">
        <v>482</v>
      </c>
      <c r="E312" s="2" t="s">
        <v>277</v>
      </c>
      <c r="F312" s="2" t="s">
        <v>255</v>
      </c>
      <c r="G312" s="2" t="s">
        <v>253</v>
      </c>
      <c r="H312" s="3">
        <v>0</v>
      </c>
      <c r="I312" t="str">
        <f>IFERROR(VLOOKUP(Prestamos[[#This Row],[ID Libro]],Inventario_Libros!A:B,2,0),"Libro No Existe")</f>
        <v>Pedro Páramo</v>
      </c>
      <c r="J312" t="str">
        <f>IFERROR(VLOOKUP(Prestamos[[#This Row],[ID Libro]],Inventario_Libros!A:C,3,0),"Libro No Existe")</f>
        <v>Juan Rulfo</v>
      </c>
      <c r="K312" t="str">
        <f>IFERROR(VLOOKUP(Prestamos[[#This Row],[ID Libro]],Inventario_Libros!A:D,4,0),"Libro No Existe")</f>
        <v>Novela</v>
      </c>
      <c r="L312">
        <f>IFERROR(VLOOKUP(Prestamos[[#This Row],[ID Libro]],Inventario_Libros!A:E,5,0),"Libro No Existe")</f>
        <v>1970</v>
      </c>
      <c r="M312" t="str">
        <f>_xlfn.XLOOKUP(D:D,Inventario_Libros!A:A,Inventario_Libros!G:G,"No Existe",0)</f>
        <v>Est-1</v>
      </c>
      <c r="N312" t="str">
        <f>IFERROR(VLOOKUP(Prestamos[[#This Row],[ID Libro]],Inventario_Libros!A:H,8,0),"Libro No Existe")</f>
        <v>Activo</v>
      </c>
    </row>
    <row r="313" spans="1:14" x14ac:dyDescent="0.3">
      <c r="A313" s="5" t="s">
        <v>840</v>
      </c>
      <c r="B313" s="1">
        <v>45967</v>
      </c>
      <c r="C313" s="1">
        <v>45979</v>
      </c>
      <c r="D313" s="4" t="s">
        <v>451</v>
      </c>
      <c r="E313" s="2" t="s">
        <v>267</v>
      </c>
      <c r="F313" s="2" t="s">
        <v>258</v>
      </c>
      <c r="G313" s="2" t="s">
        <v>253</v>
      </c>
      <c r="H313" s="3">
        <v>0</v>
      </c>
      <c r="I313" t="str">
        <f>IFERROR(VLOOKUP(Prestamos[[#This Row],[ID Libro]],Inventario_Libros!A:B,2,0),"Libro No Existe")</f>
        <v>Pedro Páramo</v>
      </c>
      <c r="J313" t="str">
        <f>IFERROR(VLOOKUP(Prestamos[[#This Row],[ID Libro]],Inventario_Libros!A:C,3,0),"Libro No Existe")</f>
        <v>Juan Rulfo</v>
      </c>
      <c r="K313" t="str">
        <f>IFERROR(VLOOKUP(Prestamos[[#This Row],[ID Libro]],Inventario_Libros!A:D,4,0),"Libro No Existe")</f>
        <v>Novela</v>
      </c>
      <c r="L313">
        <f>IFERROR(VLOOKUP(Prestamos[[#This Row],[ID Libro]],Inventario_Libros!A:E,5,0),"Libro No Existe")</f>
        <v>1986</v>
      </c>
      <c r="M313" t="str">
        <f>_xlfn.XLOOKUP(D:D,Inventario_Libros!A:A,Inventario_Libros!G:G,"No Existe",0)</f>
        <v>B-2</v>
      </c>
      <c r="N313" t="str">
        <f>IFERROR(VLOOKUP(Prestamos[[#This Row],[ID Libro]],Inventario_Libros!A:H,8,0),"Libro No Existe")</f>
        <v>Activo</v>
      </c>
    </row>
    <row r="314" spans="1:14" x14ac:dyDescent="0.3">
      <c r="A314" s="5" t="s">
        <v>841</v>
      </c>
      <c r="B314" s="1">
        <v>45873</v>
      </c>
      <c r="C314" s="1">
        <v>45885</v>
      </c>
      <c r="D314" s="4" t="s">
        <v>368</v>
      </c>
      <c r="E314" s="2" t="s">
        <v>273</v>
      </c>
      <c r="F314" s="2" t="s">
        <v>275</v>
      </c>
      <c r="G314" s="2" t="s">
        <v>279</v>
      </c>
      <c r="H314" s="3" t="s">
        <v>289</v>
      </c>
      <c r="I314" t="str">
        <f>IFERROR(VLOOKUP(Prestamos[[#This Row],[ID Libro]],Inventario_Libros!A:B,2,0),"Libro No Existe")</f>
        <v>Breve Historia Del Tiempo</v>
      </c>
      <c r="J314" t="str">
        <f>IFERROR(VLOOKUP(Prestamos[[#This Row],[ID Libro]],Inventario_Libros!A:C,3,0),"Libro No Existe")</f>
        <v>Stephen Hawking</v>
      </c>
      <c r="K314" t="str">
        <f>IFERROR(VLOOKUP(Prestamos[[#This Row],[ID Libro]],Inventario_Libros!A:D,4,0),"Libro No Existe")</f>
        <v>Divulgación Científica / Cosmología</v>
      </c>
      <c r="L314">
        <f>IFERROR(VLOOKUP(Prestamos[[#This Row],[ID Libro]],Inventario_Libros!A:E,5,0),"Libro No Existe")</f>
        <v>1889</v>
      </c>
      <c r="M314" t="str">
        <f>_xlfn.XLOOKUP(D:D,Inventario_Libros!A:A,Inventario_Libros!G:G,"No Existe",0)</f>
        <v>Est-1</v>
      </c>
      <c r="N314" t="str">
        <f>IFERROR(VLOOKUP(Prestamos[[#This Row],[ID Libro]],Inventario_Libros!A:H,8,0),"Libro No Existe")</f>
        <v>Retirado</v>
      </c>
    </row>
    <row r="315" spans="1:14" x14ac:dyDescent="0.3">
      <c r="A315" s="5" t="s">
        <v>842</v>
      </c>
      <c r="B315" s="1">
        <v>45912</v>
      </c>
      <c r="C315" s="1" t="s">
        <v>289</v>
      </c>
      <c r="D315" s="4" t="s">
        <v>357</v>
      </c>
      <c r="E315" s="2" t="s">
        <v>270</v>
      </c>
      <c r="F315" s="2" t="s">
        <v>275</v>
      </c>
      <c r="G315" s="2" t="s">
        <v>257</v>
      </c>
      <c r="H315" s="3">
        <v>5</v>
      </c>
      <c r="I315" t="str">
        <f>IFERROR(VLOOKUP(Prestamos[[#This Row],[ID Libro]],Inventario_Libros!A:B,2,0),"Libro No Existe")</f>
        <v>Matadero Cinco</v>
      </c>
      <c r="J315" t="str">
        <f>IFERROR(VLOOKUP(Prestamos[[#This Row],[ID Libro]],Inventario_Libros!A:C,3,0),"Libro No Existe")</f>
        <v>Kurt Vonnegut</v>
      </c>
      <c r="K315" t="str">
        <f>IFERROR(VLOOKUP(Prestamos[[#This Row],[ID Libro]],Inventario_Libros!A:D,4,0),"Libro No Existe")</f>
        <v>Ciencia Ficción</v>
      </c>
      <c r="L315">
        <f>IFERROR(VLOOKUP(Prestamos[[#This Row],[ID Libro]],Inventario_Libros!A:E,5,0),"Libro No Existe")</f>
        <v>1993</v>
      </c>
      <c r="M315" t="str">
        <f>_xlfn.XLOOKUP(D:D,Inventario_Libros!A:A,Inventario_Libros!G:G,"No Existe",0)</f>
        <v>B-2</v>
      </c>
      <c r="N315" t="str">
        <f>IFERROR(VLOOKUP(Prestamos[[#This Row],[ID Libro]],Inventario_Libros!A:H,8,0),"Libro No Existe")</f>
        <v>Activo</v>
      </c>
    </row>
    <row r="316" spans="1:14" x14ac:dyDescent="0.3">
      <c r="A316" s="5" t="s">
        <v>843</v>
      </c>
      <c r="B316" s="1">
        <v>45718</v>
      </c>
      <c r="C316" s="1">
        <v>45730</v>
      </c>
      <c r="D316" s="4" t="s">
        <v>351</v>
      </c>
      <c r="E316" s="2" t="s">
        <v>261</v>
      </c>
      <c r="F316" s="2" t="s">
        <v>252</v>
      </c>
      <c r="G316" s="2" t="s">
        <v>279</v>
      </c>
      <c r="H316" s="3" t="s">
        <v>289</v>
      </c>
      <c r="I316" t="str">
        <f>IFERROR(VLOOKUP(Prestamos[[#This Row],[ID Libro]],Inventario_Libros!A:B,2,0),"Libro No Existe")</f>
        <v>Breve Historia Del Tiempo</v>
      </c>
      <c r="J316" t="str">
        <f>IFERROR(VLOOKUP(Prestamos[[#This Row],[ID Libro]],Inventario_Libros!A:C,3,0),"Libro No Existe")</f>
        <v>Stephen Hawking</v>
      </c>
      <c r="K316" t="str">
        <f>IFERROR(VLOOKUP(Prestamos[[#This Row],[ID Libro]],Inventario_Libros!A:D,4,0),"Libro No Existe")</f>
        <v>Divulgación Científica / Cosmología</v>
      </c>
      <c r="L316">
        <f>IFERROR(VLOOKUP(Prestamos[[#This Row],[ID Libro]],Inventario_Libros!A:E,5,0),"Libro No Existe")</f>
        <v>1945</v>
      </c>
      <c r="M316" t="str">
        <f>_xlfn.XLOOKUP(D:D,Inventario_Libros!A:A,Inventario_Libros!G:G,"No Existe",0)</f>
        <v>C-3</v>
      </c>
      <c r="N316" t="str">
        <f>IFERROR(VLOOKUP(Prestamos[[#This Row],[ID Libro]],Inventario_Libros!A:H,8,0),"Libro No Existe")</f>
        <v>Retirado</v>
      </c>
    </row>
    <row r="317" spans="1:14" x14ac:dyDescent="0.3">
      <c r="A317" s="5" t="s">
        <v>844</v>
      </c>
      <c r="B317" s="1">
        <v>45902</v>
      </c>
      <c r="C317" s="1">
        <v>45915</v>
      </c>
      <c r="D317" s="4" t="s">
        <v>358</v>
      </c>
      <c r="E317" s="2" t="s">
        <v>262</v>
      </c>
      <c r="F317" s="2" t="s">
        <v>263</v>
      </c>
      <c r="G317" s="2" t="s">
        <v>253</v>
      </c>
      <c r="H317" s="3">
        <v>0</v>
      </c>
      <c r="I317" t="str">
        <f>IFERROR(VLOOKUP(Prestamos[[#This Row],[ID Libro]],Inventario_Libros!A:B,2,0),"Libro No Existe")</f>
        <v>Los Detectives Salvajes</v>
      </c>
      <c r="J317" t="str">
        <f>IFERROR(VLOOKUP(Prestamos[[#This Row],[ID Libro]],Inventario_Libros!A:C,3,0),"Libro No Existe")</f>
        <v>Roberto Bolaño</v>
      </c>
      <c r="K317" t="str">
        <f>IFERROR(VLOOKUP(Prestamos[[#This Row],[ID Libro]],Inventario_Libros!A:D,4,0),"Libro No Existe")</f>
        <v>Novela</v>
      </c>
      <c r="L317">
        <f>IFERROR(VLOOKUP(Prestamos[[#This Row],[ID Libro]],Inventario_Libros!A:E,5,0),"Libro No Existe")</f>
        <v>1897</v>
      </c>
      <c r="M317" t="str">
        <f>_xlfn.XLOOKUP(D:D,Inventario_Libros!A:A,Inventario_Libros!G:G,"No Existe",0)</f>
        <v>B-2</v>
      </c>
      <c r="N317" t="str">
        <f>IFERROR(VLOOKUP(Prestamos[[#This Row],[ID Libro]],Inventario_Libros!A:H,8,0),"Libro No Existe")</f>
        <v>Retirado</v>
      </c>
    </row>
    <row r="318" spans="1:14" x14ac:dyDescent="0.3">
      <c r="A318" s="5" t="s">
        <v>845</v>
      </c>
      <c r="B318" s="1">
        <v>45674</v>
      </c>
      <c r="C318" s="1">
        <v>45687</v>
      </c>
      <c r="D318" s="4" t="s">
        <v>453</v>
      </c>
      <c r="E318" s="2" t="s">
        <v>269</v>
      </c>
      <c r="F318" s="2" t="s">
        <v>263</v>
      </c>
      <c r="G318" s="2" t="s">
        <v>253</v>
      </c>
      <c r="H318" s="3">
        <v>0</v>
      </c>
      <c r="I318" t="str">
        <f>IFERROR(VLOOKUP(Prestamos[[#This Row],[ID Libro]],Inventario_Libros!A:B,2,0),"Libro No Existe")</f>
        <v>Crónica De Una Muerte Anunciada</v>
      </c>
      <c r="J318" t="str">
        <f>IFERROR(VLOOKUP(Prestamos[[#This Row],[ID Libro]],Inventario_Libros!A:C,3,0),"Libro No Existe")</f>
        <v>Gabriel García Márquez</v>
      </c>
      <c r="K318" t="str">
        <f>IFERROR(VLOOKUP(Prestamos[[#This Row],[ID Libro]],Inventario_Libros!A:D,4,0),"Libro No Existe")</f>
        <v>Novela</v>
      </c>
      <c r="L318">
        <f>IFERROR(VLOOKUP(Prestamos[[#This Row],[ID Libro]],Inventario_Libros!A:E,5,0),"Libro No Existe")</f>
        <v>1884</v>
      </c>
      <c r="M318" t="str">
        <f>_xlfn.XLOOKUP(D:D,Inventario_Libros!A:A,Inventario_Libros!G:G,"No Existe",0)</f>
        <v>B-2</v>
      </c>
      <c r="N318" t="str">
        <f>IFERROR(VLOOKUP(Prestamos[[#This Row],[ID Libro]],Inventario_Libros!A:H,8,0),"Libro No Existe")</f>
        <v>Retirado</v>
      </c>
    </row>
    <row r="319" spans="1:14" x14ac:dyDescent="0.3">
      <c r="A319" s="5" t="s">
        <v>846</v>
      </c>
      <c r="B319" s="1">
        <v>45884</v>
      </c>
      <c r="C319" s="1">
        <v>45902</v>
      </c>
      <c r="D319" s="4" t="s">
        <v>491</v>
      </c>
      <c r="E319" s="2" t="s">
        <v>269</v>
      </c>
      <c r="F319" s="2" t="s">
        <v>258</v>
      </c>
      <c r="G319" s="2" t="s">
        <v>257</v>
      </c>
      <c r="H319" s="3">
        <v>3</v>
      </c>
      <c r="I319" t="str">
        <f>IFERROR(VLOOKUP(Prestamos[[#This Row],[ID Libro]],Inventario_Libros!A:B,2,0),"Libro No Existe")</f>
        <v>La Casa De Los Espíritus</v>
      </c>
      <c r="J319" t="str">
        <f>IFERROR(VLOOKUP(Prestamos[[#This Row],[ID Libro]],Inventario_Libros!A:C,3,0),"Libro No Existe")</f>
        <v>Isabel Allende</v>
      </c>
      <c r="K319" t="str">
        <f>IFERROR(VLOOKUP(Prestamos[[#This Row],[ID Libro]],Inventario_Libros!A:D,4,0),"Libro No Existe")</f>
        <v>Novela</v>
      </c>
      <c r="L319">
        <f>IFERROR(VLOOKUP(Prestamos[[#This Row],[ID Libro]],Inventario_Libros!A:E,5,0),"Libro No Existe")</f>
        <v>1970</v>
      </c>
      <c r="M319" t="str">
        <f>_xlfn.XLOOKUP(D:D,Inventario_Libros!A:A,Inventario_Libros!G:G,"No Existe",0)</f>
        <v>C-3</v>
      </c>
      <c r="N319" t="str">
        <f>IFERROR(VLOOKUP(Prestamos[[#This Row],[ID Libro]],Inventario_Libros!A:H,8,0),"Libro No Existe")</f>
        <v>Activo</v>
      </c>
    </row>
    <row r="320" spans="1:14" x14ac:dyDescent="0.3">
      <c r="A320" s="5" t="s">
        <v>847</v>
      </c>
      <c r="B320" s="1">
        <v>45869</v>
      </c>
      <c r="C320" s="1">
        <v>45886</v>
      </c>
      <c r="D320" s="4" t="s">
        <v>452</v>
      </c>
      <c r="E320" s="2" t="s">
        <v>260</v>
      </c>
      <c r="F320" s="2" t="s">
        <v>263</v>
      </c>
      <c r="G320" s="2" t="s">
        <v>257</v>
      </c>
      <c r="H320" s="3">
        <v>2</v>
      </c>
      <c r="I320" t="str">
        <f>IFERROR(VLOOKUP(Prestamos[[#This Row],[ID Libro]],Inventario_Libros!A:B,2,0),"Libro No Existe")</f>
        <v>La Sombra Del Viento</v>
      </c>
      <c r="J320" t="str">
        <f>IFERROR(VLOOKUP(Prestamos[[#This Row],[ID Libro]],Inventario_Libros!A:C,3,0),"Libro No Existe")</f>
        <v>Carlos Ruiz Zafón</v>
      </c>
      <c r="K320" t="str">
        <f>IFERROR(VLOOKUP(Prestamos[[#This Row],[ID Libro]],Inventario_Libros!A:D,4,0),"Libro No Existe")</f>
        <v>Misterio</v>
      </c>
      <c r="L320">
        <f>IFERROR(VLOOKUP(Prestamos[[#This Row],[ID Libro]],Inventario_Libros!A:E,5,0),"Libro No Existe")</f>
        <v>1906</v>
      </c>
      <c r="M320" t="str">
        <f>_xlfn.XLOOKUP(D:D,Inventario_Libros!A:A,Inventario_Libros!G:G,"No Existe",0)</f>
        <v>A-1</v>
      </c>
      <c r="N320" t="str">
        <f>IFERROR(VLOOKUP(Prestamos[[#This Row],[ID Libro]],Inventario_Libros!A:H,8,0),"Libro No Existe")</f>
        <v>Retirado</v>
      </c>
    </row>
    <row r="321" spans="1:14" x14ac:dyDescent="0.3">
      <c r="A321" s="5" t="s">
        <v>848</v>
      </c>
      <c r="B321" s="1">
        <v>45781</v>
      </c>
      <c r="C321" s="1">
        <v>45797</v>
      </c>
      <c r="D321" s="4" t="s">
        <v>394</v>
      </c>
      <c r="E321" s="2" t="s">
        <v>284</v>
      </c>
      <c r="F321" s="2" t="s">
        <v>263</v>
      </c>
      <c r="G321" s="2" t="s">
        <v>257</v>
      </c>
      <c r="H321" s="3">
        <v>1</v>
      </c>
      <c r="I321" t="str">
        <f>IFERROR(VLOOKUP(Prestamos[[#This Row],[ID Libro]],Inventario_Libros!A:B,2,0),"Libro No Existe")</f>
        <v>Matadero Cinco</v>
      </c>
      <c r="J321" t="str">
        <f>IFERROR(VLOOKUP(Prestamos[[#This Row],[ID Libro]],Inventario_Libros!A:C,3,0),"Libro No Existe")</f>
        <v>Kurt Vonnegut</v>
      </c>
      <c r="K321" t="str">
        <f>IFERROR(VLOOKUP(Prestamos[[#This Row],[ID Libro]],Inventario_Libros!A:D,4,0),"Libro No Existe")</f>
        <v>Ciencia Ficción</v>
      </c>
      <c r="L321">
        <f>IFERROR(VLOOKUP(Prestamos[[#This Row],[ID Libro]],Inventario_Libros!A:E,5,0),"Libro No Existe")</f>
        <v>1977</v>
      </c>
      <c r="M321" t="str">
        <f>_xlfn.XLOOKUP(D:D,Inventario_Libros!A:A,Inventario_Libros!G:G,"No Existe",0)</f>
        <v>A-1</v>
      </c>
      <c r="N321" t="str">
        <f>IFERROR(VLOOKUP(Prestamos[[#This Row],[ID Libro]],Inventario_Libros!A:H,8,0),"Libro No Existe")</f>
        <v>Activo</v>
      </c>
    </row>
    <row r="322" spans="1:14" x14ac:dyDescent="0.3">
      <c r="A322" s="5" t="s">
        <v>849</v>
      </c>
      <c r="B322" s="1">
        <v>45941</v>
      </c>
      <c r="C322" s="1">
        <v>45961</v>
      </c>
      <c r="D322" s="4" t="s">
        <v>371</v>
      </c>
      <c r="E322" s="2" t="s">
        <v>277</v>
      </c>
      <c r="F322" s="2" t="s">
        <v>275</v>
      </c>
      <c r="G322" s="2" t="s">
        <v>257</v>
      </c>
      <c r="H322" s="3">
        <v>5</v>
      </c>
      <c r="I322" t="str">
        <f>IFERROR(VLOOKUP(Prestamos[[#This Row],[ID Libro]],Inventario_Libros!A:B,2,0),"Libro No Existe")</f>
        <v>Crónica De Una Muerte Anunciada</v>
      </c>
      <c r="J322" t="str">
        <f>IFERROR(VLOOKUP(Prestamos[[#This Row],[ID Libro]],Inventario_Libros!A:C,3,0),"Libro No Existe")</f>
        <v>Gabriel García Márquez</v>
      </c>
      <c r="K322" t="str">
        <f>IFERROR(VLOOKUP(Prestamos[[#This Row],[ID Libro]],Inventario_Libros!A:D,4,0),"Libro No Existe")</f>
        <v>Novela</v>
      </c>
      <c r="L322">
        <f>IFERROR(VLOOKUP(Prestamos[[#This Row],[ID Libro]],Inventario_Libros!A:E,5,0),"Libro No Existe")</f>
        <v>1965</v>
      </c>
      <c r="M322" t="str">
        <f>_xlfn.XLOOKUP(D:D,Inventario_Libros!A:A,Inventario_Libros!G:G,"No Existe",0)</f>
        <v>A-1</v>
      </c>
      <c r="N322" t="str">
        <f>IFERROR(VLOOKUP(Prestamos[[#This Row],[ID Libro]],Inventario_Libros!A:H,8,0),"Libro No Existe")</f>
        <v>Activo</v>
      </c>
    </row>
    <row r="323" spans="1:14" x14ac:dyDescent="0.3">
      <c r="A323" s="5" t="s">
        <v>850</v>
      </c>
      <c r="B323" s="1">
        <v>45954</v>
      </c>
      <c r="C323" s="1">
        <v>45972</v>
      </c>
      <c r="D323" s="4" t="s">
        <v>493</v>
      </c>
      <c r="E323" s="2" t="s">
        <v>266</v>
      </c>
      <c r="F323" s="2" t="s">
        <v>252</v>
      </c>
      <c r="G323" s="2" t="s">
        <v>257</v>
      </c>
      <c r="H323" s="3">
        <v>3</v>
      </c>
      <c r="I323" t="str">
        <f>IFERROR(VLOOKUP(Prestamos[[#This Row],[ID Libro]],Inventario_Libros!A:B,2,0),"Libro No Existe")</f>
        <v>1984</v>
      </c>
      <c r="J323" t="str">
        <f>IFERROR(VLOOKUP(Prestamos[[#This Row],[ID Libro]],Inventario_Libros!A:C,3,0),"Libro No Existe")</f>
        <v>George Orwell</v>
      </c>
      <c r="K323" t="str">
        <f>IFERROR(VLOOKUP(Prestamos[[#This Row],[ID Libro]],Inventario_Libros!A:D,4,0),"Libro No Existe")</f>
        <v>Ciencia Ficción</v>
      </c>
      <c r="L323">
        <f>IFERROR(VLOOKUP(Prestamos[[#This Row],[ID Libro]],Inventario_Libros!A:E,5,0),"Libro No Existe")</f>
        <v>1962</v>
      </c>
      <c r="M323" t="str">
        <f>_xlfn.XLOOKUP(D:D,Inventario_Libros!A:A,Inventario_Libros!G:G,"No Existe",0)</f>
        <v>C-3</v>
      </c>
      <c r="N323" t="str">
        <f>IFERROR(VLOOKUP(Prestamos[[#This Row],[ID Libro]],Inventario_Libros!A:H,8,0),"Libro No Existe")</f>
        <v>Activo</v>
      </c>
    </row>
    <row r="324" spans="1:14" x14ac:dyDescent="0.3">
      <c r="A324" s="5" t="s">
        <v>851</v>
      </c>
      <c r="B324" s="1">
        <v>45881</v>
      </c>
      <c r="C324" s="1">
        <v>45894</v>
      </c>
      <c r="D324" s="4" t="s">
        <v>357</v>
      </c>
      <c r="E324" s="2" t="s">
        <v>271</v>
      </c>
      <c r="F324" s="2" t="s">
        <v>275</v>
      </c>
      <c r="G324" s="2" t="s">
        <v>279</v>
      </c>
      <c r="H324" s="3" t="s">
        <v>289</v>
      </c>
      <c r="I324" t="str">
        <f>IFERROR(VLOOKUP(Prestamos[[#This Row],[ID Libro]],Inventario_Libros!A:B,2,0),"Libro No Existe")</f>
        <v>Matadero Cinco</v>
      </c>
      <c r="J324" t="str">
        <f>IFERROR(VLOOKUP(Prestamos[[#This Row],[ID Libro]],Inventario_Libros!A:C,3,0),"Libro No Existe")</f>
        <v>Kurt Vonnegut</v>
      </c>
      <c r="K324" t="str">
        <f>IFERROR(VLOOKUP(Prestamos[[#This Row],[ID Libro]],Inventario_Libros!A:D,4,0),"Libro No Existe")</f>
        <v>Ciencia Ficción</v>
      </c>
      <c r="L324">
        <f>IFERROR(VLOOKUP(Prestamos[[#This Row],[ID Libro]],Inventario_Libros!A:E,5,0),"Libro No Existe")</f>
        <v>1993</v>
      </c>
      <c r="M324" t="str">
        <f>_xlfn.XLOOKUP(D:D,Inventario_Libros!A:A,Inventario_Libros!G:G,"No Existe",0)</f>
        <v>B-2</v>
      </c>
      <c r="N324" t="str">
        <f>IFERROR(VLOOKUP(Prestamos[[#This Row],[ID Libro]],Inventario_Libros!A:H,8,0),"Libro No Existe")</f>
        <v>Activo</v>
      </c>
    </row>
    <row r="325" spans="1:14" x14ac:dyDescent="0.3">
      <c r="A325" s="5" t="s">
        <v>852</v>
      </c>
      <c r="B325" s="1">
        <v>45721</v>
      </c>
      <c r="C325" s="1">
        <v>45734</v>
      </c>
      <c r="D325" s="4" t="s">
        <v>476</v>
      </c>
      <c r="E325" s="2" t="s">
        <v>272</v>
      </c>
      <c r="F325" s="2" t="s">
        <v>263</v>
      </c>
      <c r="G325" s="2" t="s">
        <v>253</v>
      </c>
      <c r="H325" s="3">
        <v>3</v>
      </c>
      <c r="I325" t="str">
        <f>IFERROR(VLOOKUP(Prestamos[[#This Row],[ID Libro]],Inventario_Libros!A:B,2,0),"Libro No Existe")</f>
        <v>Pedro Páramo</v>
      </c>
      <c r="J325" t="str">
        <f>IFERROR(VLOOKUP(Prestamos[[#This Row],[ID Libro]],Inventario_Libros!A:C,3,0),"Libro No Existe")</f>
        <v>Juan Rulfo</v>
      </c>
      <c r="K325" t="str">
        <f>IFERROR(VLOOKUP(Prestamos[[#This Row],[ID Libro]],Inventario_Libros!A:D,4,0),"Libro No Existe")</f>
        <v>Novela</v>
      </c>
      <c r="L325">
        <f>IFERROR(VLOOKUP(Prestamos[[#This Row],[ID Libro]],Inventario_Libros!A:E,5,0),"Libro No Existe")</f>
        <v>1934</v>
      </c>
      <c r="M325" t="str">
        <f>_xlfn.XLOOKUP(D:D,Inventario_Libros!A:A,Inventario_Libros!G:G,"No Existe",0)</f>
        <v>Est-1</v>
      </c>
      <c r="N325" t="str">
        <f>IFERROR(VLOOKUP(Prestamos[[#This Row],[ID Libro]],Inventario_Libros!A:H,8,0),"Libro No Existe")</f>
        <v>Activo</v>
      </c>
    </row>
    <row r="326" spans="1:14" x14ac:dyDescent="0.3">
      <c r="A326" s="5" t="s">
        <v>853</v>
      </c>
      <c r="B326" s="1">
        <v>45732</v>
      </c>
      <c r="C326" s="1">
        <v>45745</v>
      </c>
      <c r="D326" s="4" t="s">
        <v>494</v>
      </c>
      <c r="E326" s="2" t="s">
        <v>256</v>
      </c>
      <c r="F326" s="2" t="s">
        <v>258</v>
      </c>
      <c r="G326" s="2" t="s">
        <v>253</v>
      </c>
      <c r="H326" s="3">
        <v>1</v>
      </c>
      <c r="I326" t="str">
        <f>IFERROR(VLOOKUP(Prestamos[[#This Row],[ID Libro]],Inventario_Libros!A:B,2,0),"Libro No Existe")</f>
        <v>Libro No Existe</v>
      </c>
      <c r="J326" t="str">
        <f>IFERROR(VLOOKUP(Prestamos[[#This Row],[ID Libro]],Inventario_Libros!A:C,3,0),"Libro No Existe")</f>
        <v>Libro No Existe</v>
      </c>
      <c r="K326" t="str">
        <f>IFERROR(VLOOKUP(Prestamos[[#This Row],[ID Libro]],Inventario_Libros!A:D,4,0),"Libro No Existe")</f>
        <v>Libro No Existe</v>
      </c>
      <c r="L326" t="str">
        <f>IFERROR(VLOOKUP(Prestamos[[#This Row],[ID Libro]],Inventario_Libros!A:E,5,0),"Libro No Existe")</f>
        <v>Libro No Existe</v>
      </c>
      <c r="M326" t="str">
        <f>_xlfn.XLOOKUP(D:D,Inventario_Libros!A:A,Inventario_Libros!G:G,"No Existe",0)</f>
        <v>No Existe</v>
      </c>
      <c r="N326" t="str">
        <f>IFERROR(VLOOKUP(Prestamos[[#This Row],[ID Libro]],Inventario_Libros!A:H,8,0),"Libro No Existe")</f>
        <v>Libro No Existe</v>
      </c>
    </row>
    <row r="327" spans="1:14" x14ac:dyDescent="0.3">
      <c r="A327" s="5" t="s">
        <v>854</v>
      </c>
      <c r="B327" s="1">
        <v>45939</v>
      </c>
      <c r="C327" s="1">
        <v>45956</v>
      </c>
      <c r="D327" s="4" t="s">
        <v>384</v>
      </c>
      <c r="E327" s="2" t="s">
        <v>270</v>
      </c>
      <c r="F327" s="2" t="s">
        <v>258</v>
      </c>
      <c r="G327" s="2" t="s">
        <v>257</v>
      </c>
      <c r="H327" s="3">
        <v>2</v>
      </c>
      <c r="I327" t="str">
        <f>IFERROR(VLOOKUP(Prestamos[[#This Row],[ID Libro]],Inventario_Libros!A:B,2,0),"Libro No Existe")</f>
        <v>La Odisea</v>
      </c>
      <c r="J327" t="str">
        <f>IFERROR(VLOOKUP(Prestamos[[#This Row],[ID Libro]],Inventario_Libros!A:C,3,0),"Libro No Existe")</f>
        <v>Homero</v>
      </c>
      <c r="K327" t="str">
        <f>IFERROR(VLOOKUP(Prestamos[[#This Row],[ID Libro]],Inventario_Libros!A:D,4,0),"Libro No Existe")</f>
        <v>Clásicos</v>
      </c>
      <c r="L327">
        <f>IFERROR(VLOOKUP(Prestamos[[#This Row],[ID Libro]],Inventario_Libros!A:E,5,0),"Libro No Existe")</f>
        <v>2021</v>
      </c>
      <c r="M327" t="str">
        <f>_xlfn.XLOOKUP(D:D,Inventario_Libros!A:A,Inventario_Libros!G:G,"No Existe",0)</f>
        <v>A-1</v>
      </c>
      <c r="N327" t="str">
        <f>IFERROR(VLOOKUP(Prestamos[[#This Row],[ID Libro]],Inventario_Libros!A:H,8,0),"Libro No Existe")</f>
        <v>Activo</v>
      </c>
    </row>
    <row r="328" spans="1:14" x14ac:dyDescent="0.3">
      <c r="A328" s="5" t="s">
        <v>855</v>
      </c>
      <c r="B328" s="1">
        <v>45887</v>
      </c>
      <c r="C328" s="1">
        <v>45901</v>
      </c>
      <c r="D328" s="4" t="s">
        <v>393</v>
      </c>
      <c r="E328" s="2" t="s">
        <v>254</v>
      </c>
      <c r="F328" s="2" t="s">
        <v>252</v>
      </c>
      <c r="G328" s="2" t="s">
        <v>279</v>
      </c>
      <c r="H328" s="3" t="s">
        <v>289</v>
      </c>
      <c r="I328" t="str">
        <f>IFERROR(VLOOKUP(Prestamos[[#This Row],[ID Libro]],Inventario_Libros!A:B,2,0),"Libro No Existe")</f>
        <v>Macbeth</v>
      </c>
      <c r="J328" t="str">
        <f>IFERROR(VLOOKUP(Prestamos[[#This Row],[ID Libro]],Inventario_Libros!A:C,3,0),"Libro No Existe")</f>
        <v>William Shakespeare</v>
      </c>
      <c r="K328" t="str">
        <f>IFERROR(VLOOKUP(Prestamos[[#This Row],[ID Libro]],Inventario_Libros!A:D,4,0),"Libro No Existe")</f>
        <v>Clásicos</v>
      </c>
      <c r="L328">
        <f>IFERROR(VLOOKUP(Prestamos[[#This Row],[ID Libro]],Inventario_Libros!A:E,5,0),"Libro No Existe")</f>
        <v>1996</v>
      </c>
      <c r="M328" t="str">
        <f>_xlfn.XLOOKUP(D:D,Inventario_Libros!A:A,Inventario_Libros!G:G,"No Existe",0)</f>
        <v>Est-1</v>
      </c>
      <c r="N328" t="str">
        <f>IFERROR(VLOOKUP(Prestamos[[#This Row],[ID Libro]],Inventario_Libros!A:H,8,0),"Libro No Existe")</f>
        <v>Retirado</v>
      </c>
    </row>
    <row r="329" spans="1:14" x14ac:dyDescent="0.3">
      <c r="A329" s="5" t="s">
        <v>856</v>
      </c>
      <c r="B329" s="1">
        <v>45669</v>
      </c>
      <c r="C329" s="1">
        <v>45683</v>
      </c>
      <c r="D329" s="4" t="s">
        <v>495</v>
      </c>
      <c r="E329" s="2" t="s">
        <v>271</v>
      </c>
      <c r="F329" s="2" t="s">
        <v>258</v>
      </c>
      <c r="G329" s="2" t="s">
        <v>253</v>
      </c>
      <c r="H329" s="3">
        <v>1</v>
      </c>
      <c r="I329" t="str">
        <f>IFERROR(VLOOKUP(Prestamos[[#This Row],[ID Libro]],Inventario_Libros!A:B,2,0),"Libro No Existe")</f>
        <v>El Amor En Los Tiempos Del Cólera</v>
      </c>
      <c r="J329" t="str">
        <f>IFERROR(VLOOKUP(Prestamos[[#This Row],[ID Libro]],Inventario_Libros!A:C,3,0),"Libro No Existe")</f>
        <v>Gabriel García Márquez</v>
      </c>
      <c r="K329" t="str">
        <f>IFERROR(VLOOKUP(Prestamos[[#This Row],[ID Libro]],Inventario_Libros!A:D,4,0),"Libro No Existe")</f>
        <v>Novela</v>
      </c>
      <c r="L329">
        <f>IFERROR(VLOOKUP(Prestamos[[#This Row],[ID Libro]],Inventario_Libros!A:E,5,0),"Libro No Existe")</f>
        <v>1989</v>
      </c>
      <c r="M329" t="str">
        <f>_xlfn.XLOOKUP(D:D,Inventario_Libros!A:A,Inventario_Libros!G:G,"No Existe",0)</f>
        <v>C-3</v>
      </c>
      <c r="N329" t="str">
        <f>IFERROR(VLOOKUP(Prestamos[[#This Row],[ID Libro]],Inventario_Libros!A:H,8,0),"Libro No Existe")</f>
        <v>Retirado</v>
      </c>
    </row>
    <row r="330" spans="1:14" x14ac:dyDescent="0.3">
      <c r="A330" s="5" t="s">
        <v>857</v>
      </c>
      <c r="B330" s="1">
        <v>45853</v>
      </c>
      <c r="C330" s="1">
        <v>45867</v>
      </c>
      <c r="D330" s="4" t="s">
        <v>455</v>
      </c>
      <c r="E330" s="2" t="s">
        <v>265</v>
      </c>
      <c r="F330" s="2" t="s">
        <v>263</v>
      </c>
      <c r="G330" s="2" t="s">
        <v>253</v>
      </c>
      <c r="H330" s="3">
        <v>0</v>
      </c>
      <c r="I330" t="str">
        <f>IFERROR(VLOOKUP(Prestamos[[#This Row],[ID Libro]],Inventario_Libros!A:B,2,0),"Libro No Existe")</f>
        <v>Orgullo Y Prejuicio</v>
      </c>
      <c r="J330" t="str">
        <f>IFERROR(VLOOKUP(Prestamos[[#This Row],[ID Libro]],Inventario_Libros!A:C,3,0),"Libro No Existe")</f>
        <v>Jane Austen</v>
      </c>
      <c r="K330" t="str">
        <f>IFERROR(VLOOKUP(Prestamos[[#This Row],[ID Libro]],Inventario_Libros!A:D,4,0),"Libro No Existe")</f>
        <v>Novela</v>
      </c>
      <c r="L330">
        <f>IFERROR(VLOOKUP(Prestamos[[#This Row],[ID Libro]],Inventario_Libros!A:E,5,0),"Libro No Existe")</f>
        <v>1951</v>
      </c>
      <c r="M330" t="str">
        <f>_xlfn.XLOOKUP(D:D,Inventario_Libros!A:A,Inventario_Libros!G:G,"No Existe",0)</f>
        <v>Est-1</v>
      </c>
      <c r="N330" t="str">
        <f>IFERROR(VLOOKUP(Prestamos[[#This Row],[ID Libro]],Inventario_Libros!A:H,8,0),"Libro No Existe")</f>
        <v>Retirado</v>
      </c>
    </row>
    <row r="331" spans="1:14" x14ac:dyDescent="0.3">
      <c r="A331" s="5" t="s">
        <v>858</v>
      </c>
      <c r="B331" s="1">
        <v>45702</v>
      </c>
      <c r="C331" s="1">
        <v>45716</v>
      </c>
      <c r="D331" s="4" t="s">
        <v>329</v>
      </c>
      <c r="E331" s="2" t="s">
        <v>271</v>
      </c>
      <c r="F331" s="2" t="s">
        <v>252</v>
      </c>
      <c r="G331" s="2" t="s">
        <v>253</v>
      </c>
      <c r="H331" s="3">
        <v>0</v>
      </c>
      <c r="I331" t="str">
        <f>IFERROR(VLOOKUP(Prestamos[[#This Row],[ID Libro]],Inventario_Libros!A:B,2,0),"Libro No Existe")</f>
        <v>La Iliada</v>
      </c>
      <c r="J331" t="str">
        <f>IFERROR(VLOOKUP(Prestamos[[#This Row],[ID Libro]],Inventario_Libros!A:C,3,0),"Libro No Existe")</f>
        <v>Homero</v>
      </c>
      <c r="K331" t="str">
        <f>IFERROR(VLOOKUP(Prestamos[[#This Row],[ID Libro]],Inventario_Libros!A:D,4,0),"Libro No Existe")</f>
        <v>Clásicos</v>
      </c>
      <c r="L331">
        <f>IFERROR(VLOOKUP(Prestamos[[#This Row],[ID Libro]],Inventario_Libros!A:E,5,0),"Libro No Existe")</f>
        <v>1968</v>
      </c>
      <c r="M331" t="str">
        <f>_xlfn.XLOOKUP(D:D,Inventario_Libros!A:A,Inventario_Libros!G:G,"No Existe",0)</f>
        <v>A-1</v>
      </c>
      <c r="N331" t="str">
        <f>IFERROR(VLOOKUP(Prestamos[[#This Row],[ID Libro]],Inventario_Libros!A:H,8,0),"Libro No Existe")</f>
        <v>Activo</v>
      </c>
    </row>
    <row r="332" spans="1:14" x14ac:dyDescent="0.3">
      <c r="A332" s="5" t="s">
        <v>859</v>
      </c>
      <c r="B332" s="1">
        <v>45948</v>
      </c>
      <c r="C332" s="1">
        <v>45962</v>
      </c>
      <c r="D332" s="4" t="s">
        <v>436</v>
      </c>
      <c r="E332" s="2" t="s">
        <v>251</v>
      </c>
      <c r="F332" s="2" t="s">
        <v>275</v>
      </c>
      <c r="G332" s="2" t="s">
        <v>279</v>
      </c>
      <c r="H332" s="3" t="s">
        <v>289</v>
      </c>
      <c r="I332" t="str">
        <f>IFERROR(VLOOKUP(Prestamos[[#This Row],[ID Libro]],Inventario_Libros!A:B,2,0),"Libro No Existe")</f>
        <v>Los Detectives Salvajes</v>
      </c>
      <c r="J332" t="str">
        <f>IFERROR(VLOOKUP(Prestamos[[#This Row],[ID Libro]],Inventario_Libros!A:C,3,0),"Libro No Existe")</f>
        <v>Roberto Bolaño</v>
      </c>
      <c r="K332" t="str">
        <f>IFERROR(VLOOKUP(Prestamos[[#This Row],[ID Libro]],Inventario_Libros!A:D,4,0),"Libro No Existe")</f>
        <v>Novela</v>
      </c>
      <c r="L332">
        <f>IFERROR(VLOOKUP(Prestamos[[#This Row],[ID Libro]],Inventario_Libros!A:E,5,0),"Libro No Existe")</f>
        <v>1978</v>
      </c>
      <c r="M332" t="str">
        <f>_xlfn.XLOOKUP(D:D,Inventario_Libros!A:A,Inventario_Libros!G:G,"No Existe",0)</f>
        <v>Est-1</v>
      </c>
      <c r="N332" t="str">
        <f>IFERROR(VLOOKUP(Prestamos[[#This Row],[ID Libro]],Inventario_Libros!A:H,8,0),"Libro No Existe")</f>
        <v>Retirado</v>
      </c>
    </row>
    <row r="333" spans="1:14" x14ac:dyDescent="0.3">
      <c r="A333" s="5" t="s">
        <v>860</v>
      </c>
      <c r="B333" s="1">
        <v>45852</v>
      </c>
      <c r="C333" s="1">
        <v>45868</v>
      </c>
      <c r="D333" s="4" t="s">
        <v>390</v>
      </c>
      <c r="E333" s="2" t="s">
        <v>273</v>
      </c>
      <c r="F333" s="2" t="s">
        <v>275</v>
      </c>
      <c r="G333" s="2" t="s">
        <v>257</v>
      </c>
      <c r="H333" s="3">
        <v>1</v>
      </c>
      <c r="I333" t="str">
        <f>IFERROR(VLOOKUP(Prestamos[[#This Row],[ID Libro]],Inventario_Libros!A:B,2,0),"Libro No Existe")</f>
        <v>El Túnel</v>
      </c>
      <c r="J333" t="str">
        <f>IFERROR(VLOOKUP(Prestamos[[#This Row],[ID Libro]],Inventario_Libros!A:C,3,0),"Libro No Existe")</f>
        <v>Ernesto Sabato</v>
      </c>
      <c r="K333" t="str">
        <f>IFERROR(VLOOKUP(Prestamos[[#This Row],[ID Libro]],Inventario_Libros!A:D,4,0),"Libro No Existe")</f>
        <v>Novela</v>
      </c>
      <c r="L333">
        <f>IFERROR(VLOOKUP(Prestamos[[#This Row],[ID Libro]],Inventario_Libros!A:E,5,0),"Libro No Existe")</f>
        <v>1936</v>
      </c>
      <c r="M333" t="str">
        <f>_xlfn.XLOOKUP(D:D,Inventario_Libros!A:A,Inventario_Libros!G:G,"No Existe",0)</f>
        <v>A-1</v>
      </c>
      <c r="N333" t="str">
        <f>IFERROR(VLOOKUP(Prestamos[[#This Row],[ID Libro]],Inventario_Libros!A:H,8,0),"Libro No Existe")</f>
        <v>Retirado</v>
      </c>
    </row>
    <row r="334" spans="1:14" x14ac:dyDescent="0.3">
      <c r="A334" s="5" t="s">
        <v>861</v>
      </c>
      <c r="B334" s="1">
        <v>45693</v>
      </c>
      <c r="C334" s="1">
        <v>45718</v>
      </c>
      <c r="D334" s="4" t="s">
        <v>345</v>
      </c>
      <c r="E334" s="2" t="s">
        <v>254</v>
      </c>
      <c r="F334" s="2" t="s">
        <v>258</v>
      </c>
      <c r="G334" s="2" t="s">
        <v>257</v>
      </c>
      <c r="H334" s="3">
        <v>10</v>
      </c>
      <c r="I334" t="str">
        <f>IFERROR(VLOOKUP(Prestamos[[#This Row],[ID Libro]],Inventario_Libros!A:B,2,0),"Libro No Existe")</f>
        <v>La Iliada</v>
      </c>
      <c r="J334" t="str">
        <f>IFERROR(VLOOKUP(Prestamos[[#This Row],[ID Libro]],Inventario_Libros!A:C,3,0),"Libro No Existe")</f>
        <v>Homero</v>
      </c>
      <c r="K334" t="str">
        <f>IFERROR(VLOOKUP(Prestamos[[#This Row],[ID Libro]],Inventario_Libros!A:D,4,0),"Libro No Existe")</f>
        <v>Clásicos</v>
      </c>
      <c r="L334">
        <f>IFERROR(VLOOKUP(Prestamos[[#This Row],[ID Libro]],Inventario_Libros!A:E,5,0),"Libro No Existe")</f>
        <v>1940</v>
      </c>
      <c r="M334" t="str">
        <f>_xlfn.XLOOKUP(D:D,Inventario_Libros!A:A,Inventario_Libros!G:G,"No Existe",0)</f>
        <v>B-2</v>
      </c>
      <c r="N334" t="str">
        <f>IFERROR(VLOOKUP(Prestamos[[#This Row],[ID Libro]],Inventario_Libros!A:H,8,0),"Libro No Existe")</f>
        <v>Retirado</v>
      </c>
    </row>
    <row r="335" spans="1:14" x14ac:dyDescent="0.3">
      <c r="A335" s="5" t="s">
        <v>862</v>
      </c>
      <c r="B335" s="1">
        <v>45735</v>
      </c>
      <c r="C335" s="1">
        <v>45751</v>
      </c>
      <c r="D335" s="4" t="s">
        <v>334</v>
      </c>
      <c r="E335" s="2" t="s">
        <v>287</v>
      </c>
      <c r="F335" s="2" t="s">
        <v>258</v>
      </c>
      <c r="G335" s="2" t="s">
        <v>257</v>
      </c>
      <c r="H335" s="3">
        <v>1</v>
      </c>
      <c r="I335" t="str">
        <f>IFERROR(VLOOKUP(Prestamos[[#This Row],[ID Libro]],Inventario_Libros!A:B,2,0),"Libro No Existe")</f>
        <v>Rayuela</v>
      </c>
      <c r="J335" t="str">
        <f>IFERROR(VLOOKUP(Prestamos[[#This Row],[ID Libro]],Inventario_Libros!A:C,3,0),"Libro No Existe")</f>
        <v>Julio Cortázar</v>
      </c>
      <c r="K335" t="str">
        <f>IFERROR(VLOOKUP(Prestamos[[#This Row],[ID Libro]],Inventario_Libros!A:D,4,0),"Libro No Existe")</f>
        <v>Novela</v>
      </c>
      <c r="L335">
        <f>IFERROR(VLOOKUP(Prestamos[[#This Row],[ID Libro]],Inventario_Libros!A:E,5,0),"Libro No Existe")</f>
        <v>2018</v>
      </c>
      <c r="M335" t="str">
        <f>_xlfn.XLOOKUP(D:D,Inventario_Libros!A:A,Inventario_Libros!G:G,"No Existe",0)</f>
        <v>B-2</v>
      </c>
      <c r="N335" t="str">
        <f>IFERROR(VLOOKUP(Prestamos[[#This Row],[ID Libro]],Inventario_Libros!A:H,8,0),"Libro No Existe")</f>
        <v>Retirado</v>
      </c>
    </row>
    <row r="336" spans="1:14" x14ac:dyDescent="0.3">
      <c r="A336" s="5" t="s">
        <v>863</v>
      </c>
      <c r="B336" s="1">
        <v>45929</v>
      </c>
      <c r="C336" s="1">
        <v>45944</v>
      </c>
      <c r="D336" s="4" t="s">
        <v>423</v>
      </c>
      <c r="E336" s="2" t="s">
        <v>278</v>
      </c>
      <c r="F336" s="2" t="s">
        <v>263</v>
      </c>
      <c r="G336" s="2" t="s">
        <v>253</v>
      </c>
      <c r="H336" s="3" t="s">
        <v>280</v>
      </c>
      <c r="I336" t="str">
        <f>IFERROR(VLOOKUP(Prestamos[[#This Row],[ID Libro]],Inventario_Libros!A:B,2,0),"Libro No Existe")</f>
        <v>Orgullo Y Prejuicio</v>
      </c>
      <c r="J336" t="str">
        <f>IFERROR(VLOOKUP(Prestamos[[#This Row],[ID Libro]],Inventario_Libros!A:C,3,0),"Libro No Existe")</f>
        <v>Jane Austen</v>
      </c>
      <c r="K336" t="str">
        <f>IFERROR(VLOOKUP(Prestamos[[#This Row],[ID Libro]],Inventario_Libros!A:D,4,0),"Libro No Existe")</f>
        <v>Novela</v>
      </c>
      <c r="L336">
        <f>IFERROR(VLOOKUP(Prestamos[[#This Row],[ID Libro]],Inventario_Libros!A:E,5,0),"Libro No Existe")</f>
        <v>2009</v>
      </c>
      <c r="M336" t="str">
        <f>_xlfn.XLOOKUP(D:D,Inventario_Libros!A:A,Inventario_Libros!G:G,"No Existe",0)</f>
        <v>Est-1</v>
      </c>
      <c r="N336" t="str">
        <f>IFERROR(VLOOKUP(Prestamos[[#This Row],[ID Libro]],Inventario_Libros!A:H,8,0),"Libro No Existe")</f>
        <v>Retirado</v>
      </c>
    </row>
    <row r="337" spans="1:14" x14ac:dyDescent="0.3">
      <c r="A337" s="5" t="s">
        <v>864</v>
      </c>
      <c r="B337" s="1">
        <v>45820</v>
      </c>
      <c r="C337" s="1">
        <v>45835</v>
      </c>
      <c r="D337" s="4" t="s">
        <v>337</v>
      </c>
      <c r="E337" s="2" t="s">
        <v>274</v>
      </c>
      <c r="F337" s="2" t="s">
        <v>252</v>
      </c>
      <c r="G337" s="2" t="s">
        <v>279</v>
      </c>
      <c r="H337" s="3" t="s">
        <v>289</v>
      </c>
      <c r="I337" t="str">
        <f>IFERROR(VLOOKUP(Prestamos[[#This Row],[ID Libro]],Inventario_Libros!A:B,2,0),"Libro No Existe")</f>
        <v>Ficciones</v>
      </c>
      <c r="J337" t="str">
        <f>IFERROR(VLOOKUP(Prestamos[[#This Row],[ID Libro]],Inventario_Libros!A:C,3,0),"Libro No Existe")</f>
        <v>Jorge Luis Borges</v>
      </c>
      <c r="K337" t="str">
        <f>IFERROR(VLOOKUP(Prestamos[[#This Row],[ID Libro]],Inventario_Libros!A:D,4,0),"Libro No Existe")</f>
        <v>Cuentos / Fantasía Metafísica</v>
      </c>
      <c r="L337">
        <f>IFERROR(VLOOKUP(Prestamos[[#This Row],[ID Libro]],Inventario_Libros!A:E,5,0),"Libro No Existe")</f>
        <v>1997</v>
      </c>
      <c r="M337" t="str">
        <f>_xlfn.XLOOKUP(D:D,Inventario_Libros!A:A,Inventario_Libros!G:G,"No Existe",0)</f>
        <v>B-2</v>
      </c>
      <c r="N337" t="str">
        <f>IFERROR(VLOOKUP(Prestamos[[#This Row],[ID Libro]],Inventario_Libros!A:H,8,0),"Libro No Existe")</f>
        <v>Activo</v>
      </c>
    </row>
    <row r="338" spans="1:14" x14ac:dyDescent="0.3">
      <c r="A338" s="5" t="s">
        <v>865</v>
      </c>
      <c r="B338" s="1">
        <v>45889</v>
      </c>
      <c r="C338" s="1">
        <v>45904</v>
      </c>
      <c r="D338" s="4" t="s">
        <v>435</v>
      </c>
      <c r="E338" s="2" t="s">
        <v>251</v>
      </c>
      <c r="F338" s="2" t="s">
        <v>275</v>
      </c>
      <c r="G338" s="2" t="s">
        <v>253</v>
      </c>
      <c r="H338" s="3">
        <v>0</v>
      </c>
      <c r="I338" t="str">
        <f>IFERROR(VLOOKUP(Prestamos[[#This Row],[ID Libro]],Inventario_Libros!A:B,2,0),"Libro No Existe")</f>
        <v>El Túnel</v>
      </c>
      <c r="J338" t="str">
        <f>IFERROR(VLOOKUP(Prestamos[[#This Row],[ID Libro]],Inventario_Libros!A:C,3,0),"Libro No Existe")</f>
        <v>Ernesto Sabato</v>
      </c>
      <c r="K338" t="str">
        <f>IFERROR(VLOOKUP(Prestamos[[#This Row],[ID Libro]],Inventario_Libros!A:D,4,0),"Libro No Existe")</f>
        <v>Novela</v>
      </c>
      <c r="L338">
        <f>IFERROR(VLOOKUP(Prestamos[[#This Row],[ID Libro]],Inventario_Libros!A:E,5,0),"Libro No Existe")</f>
        <v>1972</v>
      </c>
      <c r="M338" t="str">
        <f>_xlfn.XLOOKUP(D:D,Inventario_Libros!A:A,Inventario_Libros!G:G,"No Existe",0)</f>
        <v>Est-1</v>
      </c>
      <c r="N338" t="str">
        <f>IFERROR(VLOOKUP(Prestamos[[#This Row],[ID Libro]],Inventario_Libros!A:H,8,0),"Libro No Existe")</f>
        <v>Retirado</v>
      </c>
    </row>
    <row r="339" spans="1:14" x14ac:dyDescent="0.3">
      <c r="A339" s="5" t="s">
        <v>866</v>
      </c>
      <c r="B339" s="1">
        <v>45675</v>
      </c>
      <c r="C339" s="1">
        <v>45693</v>
      </c>
      <c r="D339" s="4" t="s">
        <v>461</v>
      </c>
      <c r="E339" s="2" t="s">
        <v>276</v>
      </c>
      <c r="F339" s="2" t="s">
        <v>258</v>
      </c>
      <c r="G339" s="2" t="s">
        <v>257</v>
      </c>
      <c r="H339" s="3">
        <v>3</v>
      </c>
      <c r="I339" t="str">
        <f>IFERROR(VLOOKUP(Prestamos[[#This Row],[ID Libro]],Inventario_Libros!A:B,2,0),"Libro No Existe")</f>
        <v>La Ciudad Y Los Perros</v>
      </c>
      <c r="J339" t="str">
        <f>IFERROR(VLOOKUP(Prestamos[[#This Row],[ID Libro]],Inventario_Libros!A:C,3,0),"Libro No Existe")</f>
        <v>Mario Vargas Llosa</v>
      </c>
      <c r="K339" t="str">
        <f>IFERROR(VLOOKUP(Prestamos[[#This Row],[ID Libro]],Inventario_Libros!A:D,4,0),"Libro No Existe")</f>
        <v>Novela</v>
      </c>
      <c r="L339">
        <f>IFERROR(VLOOKUP(Prestamos[[#This Row],[ID Libro]],Inventario_Libros!A:E,5,0),"Libro No Existe")</f>
        <v>2009</v>
      </c>
      <c r="M339" t="str">
        <f>_xlfn.XLOOKUP(D:D,Inventario_Libros!A:A,Inventario_Libros!G:G,"No Existe",0)</f>
        <v>Est-1</v>
      </c>
      <c r="N339" t="str">
        <f>IFERROR(VLOOKUP(Prestamos[[#This Row],[ID Libro]],Inventario_Libros!A:H,8,0),"Libro No Existe")</f>
        <v>Retirado</v>
      </c>
    </row>
    <row r="340" spans="1:14" x14ac:dyDescent="0.3">
      <c r="A340" s="5" t="s">
        <v>867</v>
      </c>
      <c r="B340" s="1">
        <v>45950</v>
      </c>
      <c r="C340" s="1">
        <v>45965</v>
      </c>
      <c r="D340" s="4" t="s">
        <v>451</v>
      </c>
      <c r="E340" s="2" t="s">
        <v>278</v>
      </c>
      <c r="F340" s="2" t="s">
        <v>252</v>
      </c>
      <c r="G340" s="2" t="s">
        <v>279</v>
      </c>
      <c r="H340" s="3" t="s">
        <v>289</v>
      </c>
      <c r="I340" t="str">
        <f>IFERROR(VLOOKUP(Prestamos[[#This Row],[ID Libro]],Inventario_Libros!A:B,2,0),"Libro No Existe")</f>
        <v>Pedro Páramo</v>
      </c>
      <c r="J340" t="str">
        <f>IFERROR(VLOOKUP(Prestamos[[#This Row],[ID Libro]],Inventario_Libros!A:C,3,0),"Libro No Existe")</f>
        <v>Juan Rulfo</v>
      </c>
      <c r="K340" t="str">
        <f>IFERROR(VLOOKUP(Prestamos[[#This Row],[ID Libro]],Inventario_Libros!A:D,4,0),"Libro No Existe")</f>
        <v>Novela</v>
      </c>
      <c r="L340">
        <f>IFERROR(VLOOKUP(Prestamos[[#This Row],[ID Libro]],Inventario_Libros!A:E,5,0),"Libro No Existe")</f>
        <v>1986</v>
      </c>
      <c r="M340" t="str">
        <f>_xlfn.XLOOKUP(D:D,Inventario_Libros!A:A,Inventario_Libros!G:G,"No Existe",0)</f>
        <v>B-2</v>
      </c>
      <c r="N340" t="str">
        <f>IFERROR(VLOOKUP(Prestamos[[#This Row],[ID Libro]],Inventario_Libros!A:H,8,0),"Libro No Existe")</f>
        <v>Activo</v>
      </c>
    </row>
    <row r="341" spans="1:14" x14ac:dyDescent="0.3">
      <c r="A341" s="5" t="s">
        <v>868</v>
      </c>
      <c r="B341" s="1">
        <v>45853</v>
      </c>
      <c r="C341" s="1">
        <v>45878</v>
      </c>
      <c r="D341" s="4" t="s">
        <v>417</v>
      </c>
      <c r="E341" s="2" t="s">
        <v>254</v>
      </c>
      <c r="F341" s="2" t="s">
        <v>263</v>
      </c>
      <c r="G341" s="2" t="s">
        <v>257</v>
      </c>
      <c r="H341" s="3">
        <v>10</v>
      </c>
      <c r="I341" t="str">
        <f>IFERROR(VLOOKUP(Prestamos[[#This Row],[ID Libro]],Inventario_Libros!A:B,2,0),"Libro No Existe")</f>
        <v>El Aleph</v>
      </c>
      <c r="J341" t="str">
        <f>IFERROR(VLOOKUP(Prestamos[[#This Row],[ID Libro]],Inventario_Libros!A:C,3,0),"Libro No Existe")</f>
        <v>Jorge Luis Borges</v>
      </c>
      <c r="K341" t="str">
        <f>IFERROR(VLOOKUP(Prestamos[[#This Row],[ID Libro]],Inventario_Libros!A:D,4,0),"Libro No Existe")</f>
        <v>Cuentos / Fantasía Metafísica</v>
      </c>
      <c r="L341">
        <f>IFERROR(VLOOKUP(Prestamos[[#This Row],[ID Libro]],Inventario_Libros!A:E,5,0),"Libro No Existe")</f>
        <v>1991</v>
      </c>
      <c r="M341" t="str">
        <f>_xlfn.XLOOKUP(D:D,Inventario_Libros!A:A,Inventario_Libros!G:G,"No Existe",0)</f>
        <v>Est-1</v>
      </c>
      <c r="N341" t="str">
        <f>IFERROR(VLOOKUP(Prestamos[[#This Row],[ID Libro]],Inventario_Libros!A:H,8,0),"Libro No Existe")</f>
        <v>Retirado</v>
      </c>
    </row>
    <row r="342" spans="1:14" x14ac:dyDescent="0.3">
      <c r="A342" s="5" t="s">
        <v>869</v>
      </c>
      <c r="B342" s="1">
        <v>45869</v>
      </c>
      <c r="C342" s="1">
        <v>45884</v>
      </c>
      <c r="D342" s="4" t="s">
        <v>443</v>
      </c>
      <c r="E342" s="2" t="s">
        <v>273</v>
      </c>
      <c r="F342" s="2" t="s">
        <v>255</v>
      </c>
      <c r="G342" s="2" t="s">
        <v>279</v>
      </c>
      <c r="H342" s="3" t="s">
        <v>289</v>
      </c>
      <c r="I342" t="str">
        <f>IFERROR(VLOOKUP(Prestamos[[#This Row],[ID Libro]],Inventario_Libros!A:B,2,0),"Libro No Existe")</f>
        <v>El Código Da Vinci</v>
      </c>
      <c r="J342" t="str">
        <f>IFERROR(VLOOKUP(Prestamos[[#This Row],[ID Libro]],Inventario_Libros!A:C,3,0),"Libro No Existe")</f>
        <v>Dan Brown</v>
      </c>
      <c r="K342" t="str">
        <f>IFERROR(VLOOKUP(Prestamos[[#This Row],[ID Libro]],Inventario_Libros!A:D,4,0),"Libro No Existe")</f>
        <v>Misterio</v>
      </c>
      <c r="L342">
        <f>IFERROR(VLOOKUP(Prestamos[[#This Row],[ID Libro]],Inventario_Libros!A:E,5,0),"Libro No Existe")</f>
        <v>1943</v>
      </c>
      <c r="M342" t="str">
        <f>_xlfn.XLOOKUP(D:D,Inventario_Libros!A:A,Inventario_Libros!G:G,"No Existe",0)</f>
        <v>B-2</v>
      </c>
      <c r="N342" t="str">
        <f>IFERROR(VLOOKUP(Prestamos[[#This Row],[ID Libro]],Inventario_Libros!A:H,8,0),"Libro No Existe")</f>
        <v>Retirado</v>
      </c>
    </row>
    <row r="343" spans="1:14" x14ac:dyDescent="0.3">
      <c r="A343" s="5" t="s">
        <v>870</v>
      </c>
      <c r="B343" s="1">
        <v>45678</v>
      </c>
      <c r="C343" s="1">
        <v>45698</v>
      </c>
      <c r="D343" s="4" t="s">
        <v>496</v>
      </c>
      <c r="E343" s="2" t="s">
        <v>274</v>
      </c>
      <c r="F343" s="2" t="s">
        <v>275</v>
      </c>
      <c r="G343" s="2" t="s">
        <v>257</v>
      </c>
      <c r="H343" s="3">
        <v>5</v>
      </c>
      <c r="I343" t="str">
        <f>IFERROR(VLOOKUP(Prestamos[[#This Row],[ID Libro]],Inventario_Libros!A:B,2,0),"Libro No Existe")</f>
        <v>La Odisea</v>
      </c>
      <c r="J343" t="str">
        <f>IFERROR(VLOOKUP(Prestamos[[#This Row],[ID Libro]],Inventario_Libros!A:C,3,0),"Libro No Existe")</f>
        <v>Homero</v>
      </c>
      <c r="K343" t="str">
        <f>IFERROR(VLOOKUP(Prestamos[[#This Row],[ID Libro]],Inventario_Libros!A:D,4,0),"Libro No Existe")</f>
        <v>Clásicos</v>
      </c>
      <c r="L343">
        <f>IFERROR(VLOOKUP(Prestamos[[#This Row],[ID Libro]],Inventario_Libros!A:E,5,0),"Libro No Existe")</f>
        <v>1986</v>
      </c>
      <c r="M343" t="str">
        <f>_xlfn.XLOOKUP(D:D,Inventario_Libros!A:A,Inventario_Libros!G:G,"No Existe",0)</f>
        <v>A-1</v>
      </c>
      <c r="N343" t="str">
        <f>IFERROR(VLOOKUP(Prestamos[[#This Row],[ID Libro]],Inventario_Libros!A:H,8,0),"Libro No Existe")</f>
        <v>Activo</v>
      </c>
    </row>
    <row r="344" spans="1:14" x14ac:dyDescent="0.3">
      <c r="A344" s="5" t="s">
        <v>871</v>
      </c>
      <c r="B344" s="1">
        <v>45977</v>
      </c>
      <c r="C344" s="1" t="s">
        <v>289</v>
      </c>
      <c r="D344" s="4" t="s">
        <v>497</v>
      </c>
      <c r="E344" s="2" t="s">
        <v>273</v>
      </c>
      <c r="F344" s="2" t="s">
        <v>263</v>
      </c>
      <c r="G344" s="2" t="s">
        <v>257</v>
      </c>
      <c r="H344" s="3">
        <v>5</v>
      </c>
      <c r="I344" t="str">
        <f>IFERROR(VLOOKUP(Prestamos[[#This Row],[ID Libro]],Inventario_Libros!A:B,2,0),"Libro No Existe")</f>
        <v>La Odisea</v>
      </c>
      <c r="J344" t="str">
        <f>IFERROR(VLOOKUP(Prestamos[[#This Row],[ID Libro]],Inventario_Libros!A:C,3,0),"Libro No Existe")</f>
        <v>Homero</v>
      </c>
      <c r="K344" t="str">
        <f>IFERROR(VLOOKUP(Prestamos[[#This Row],[ID Libro]],Inventario_Libros!A:D,4,0),"Libro No Existe")</f>
        <v>Clásicos</v>
      </c>
      <c r="L344">
        <f>IFERROR(VLOOKUP(Prestamos[[#This Row],[ID Libro]],Inventario_Libros!A:E,5,0),"Libro No Existe")</f>
        <v>2019</v>
      </c>
      <c r="M344" t="str">
        <f>_xlfn.XLOOKUP(D:D,Inventario_Libros!A:A,Inventario_Libros!G:G,"No Existe",0)</f>
        <v>Est-1</v>
      </c>
      <c r="N344" t="str">
        <f>IFERROR(VLOOKUP(Prestamos[[#This Row],[ID Libro]],Inventario_Libros!A:H,8,0),"Libro No Existe")</f>
        <v>Activo</v>
      </c>
    </row>
    <row r="345" spans="1:14" x14ac:dyDescent="0.3">
      <c r="A345" s="5" t="s">
        <v>872</v>
      </c>
      <c r="B345" s="1">
        <v>45701</v>
      </c>
      <c r="C345" s="1">
        <v>45716</v>
      </c>
      <c r="D345" s="4" t="s">
        <v>383</v>
      </c>
      <c r="E345" s="2" t="s">
        <v>261</v>
      </c>
      <c r="F345" s="2" t="s">
        <v>258</v>
      </c>
      <c r="G345" s="2" t="s">
        <v>279</v>
      </c>
      <c r="H345" s="3" t="s">
        <v>289</v>
      </c>
      <c r="I345" t="str">
        <f>IFERROR(VLOOKUP(Prestamos[[#This Row],[ID Libro]],Inventario_Libros!A:B,2,0),"Libro No Existe")</f>
        <v>Don Quijote De La Mancha</v>
      </c>
      <c r="J345" t="str">
        <f>IFERROR(VLOOKUP(Prestamos[[#This Row],[ID Libro]],Inventario_Libros!A:C,3,0),"Libro No Existe")</f>
        <v>Miguel De Cervantes</v>
      </c>
      <c r="K345" t="str">
        <f>IFERROR(VLOOKUP(Prestamos[[#This Row],[ID Libro]],Inventario_Libros!A:D,4,0),"Libro No Existe")</f>
        <v>Novela</v>
      </c>
      <c r="L345">
        <f>IFERROR(VLOOKUP(Prestamos[[#This Row],[ID Libro]],Inventario_Libros!A:E,5,0),"Libro No Existe")</f>
        <v>1910</v>
      </c>
      <c r="M345" t="str">
        <f>_xlfn.XLOOKUP(D:D,Inventario_Libros!A:A,Inventario_Libros!G:G,"No Existe",0)</f>
        <v>B-2</v>
      </c>
      <c r="N345" t="str">
        <f>IFERROR(VLOOKUP(Prestamos[[#This Row],[ID Libro]],Inventario_Libros!A:H,8,0),"Libro No Existe")</f>
        <v>Activo</v>
      </c>
    </row>
    <row r="346" spans="1:14" x14ac:dyDescent="0.3">
      <c r="A346" s="5" t="s">
        <v>873</v>
      </c>
      <c r="B346" s="1">
        <v>45825</v>
      </c>
      <c r="C346" s="1" t="s">
        <v>289</v>
      </c>
      <c r="D346" s="4" t="s">
        <v>449</v>
      </c>
      <c r="E346" s="2" t="s">
        <v>277</v>
      </c>
      <c r="F346" s="2" t="s">
        <v>255</v>
      </c>
      <c r="G346" s="2" t="s">
        <v>257</v>
      </c>
      <c r="H346" s="3">
        <v>5</v>
      </c>
      <c r="I346" t="str">
        <f>IFERROR(VLOOKUP(Prestamos[[#This Row],[ID Libro]],Inventario_Libros!A:B,2,0),"Libro No Existe")</f>
        <v>Rebelión En La Granja</v>
      </c>
      <c r="J346" t="str">
        <f>IFERROR(VLOOKUP(Prestamos[[#This Row],[ID Libro]],Inventario_Libros!A:C,3,0),"Libro No Existe")</f>
        <v>George Orwell</v>
      </c>
      <c r="K346" t="str">
        <f>IFERROR(VLOOKUP(Prestamos[[#This Row],[ID Libro]],Inventario_Libros!A:D,4,0),"Libro No Existe")</f>
        <v>Ciencia Ficción</v>
      </c>
      <c r="L346">
        <f>IFERROR(VLOOKUP(Prestamos[[#This Row],[ID Libro]],Inventario_Libros!A:E,5,0),"Libro No Existe")</f>
        <v>1886</v>
      </c>
      <c r="M346" t="str">
        <f>_xlfn.XLOOKUP(D:D,Inventario_Libros!A:A,Inventario_Libros!G:G,"No Existe",0)</f>
        <v>Est-1</v>
      </c>
      <c r="N346" t="str">
        <f>IFERROR(VLOOKUP(Prestamos[[#This Row],[ID Libro]],Inventario_Libros!A:H,8,0),"Libro No Existe")</f>
        <v>Retirado</v>
      </c>
    </row>
    <row r="347" spans="1:14" x14ac:dyDescent="0.3">
      <c r="A347" s="5" t="s">
        <v>874</v>
      </c>
      <c r="B347" s="1">
        <v>45722</v>
      </c>
      <c r="C347" s="1">
        <v>45737</v>
      </c>
      <c r="D347" s="4" t="s">
        <v>498</v>
      </c>
      <c r="E347" s="2" t="s">
        <v>260</v>
      </c>
      <c r="F347" s="2" t="s">
        <v>263</v>
      </c>
      <c r="G347" s="2" t="s">
        <v>253</v>
      </c>
      <c r="H347" s="3">
        <v>1</v>
      </c>
      <c r="I347" t="str">
        <f>IFERROR(VLOOKUP(Prestamos[[#This Row],[ID Libro]],Inventario_Libros!A:B,2,0),"Libro No Existe")</f>
        <v>Libro No Existe</v>
      </c>
      <c r="J347" t="str">
        <f>IFERROR(VLOOKUP(Prestamos[[#This Row],[ID Libro]],Inventario_Libros!A:C,3,0),"Libro No Existe")</f>
        <v>Libro No Existe</v>
      </c>
      <c r="K347" t="str">
        <f>IFERROR(VLOOKUP(Prestamos[[#This Row],[ID Libro]],Inventario_Libros!A:D,4,0),"Libro No Existe")</f>
        <v>Libro No Existe</v>
      </c>
      <c r="L347" t="str">
        <f>IFERROR(VLOOKUP(Prestamos[[#This Row],[ID Libro]],Inventario_Libros!A:E,5,0),"Libro No Existe")</f>
        <v>Libro No Existe</v>
      </c>
      <c r="M347" t="str">
        <f>_xlfn.XLOOKUP(D:D,Inventario_Libros!A:A,Inventario_Libros!G:G,"No Existe",0)</f>
        <v>No Existe</v>
      </c>
      <c r="N347" t="str">
        <f>IFERROR(VLOOKUP(Prestamos[[#This Row],[ID Libro]],Inventario_Libros!A:H,8,0),"Libro No Existe")</f>
        <v>Libro No Existe</v>
      </c>
    </row>
    <row r="348" spans="1:14" x14ac:dyDescent="0.3">
      <c r="A348" s="5" t="s">
        <v>875</v>
      </c>
      <c r="B348" s="1">
        <v>45982</v>
      </c>
      <c r="C348" s="1">
        <v>45998</v>
      </c>
      <c r="D348" s="4" t="s">
        <v>444</v>
      </c>
      <c r="E348" s="2" t="s">
        <v>259</v>
      </c>
      <c r="F348" s="2" t="s">
        <v>252</v>
      </c>
      <c r="G348" s="2" t="s">
        <v>279</v>
      </c>
      <c r="H348" s="3" t="s">
        <v>289</v>
      </c>
      <c r="I348" t="str">
        <f>IFERROR(VLOOKUP(Prestamos[[#This Row],[ID Libro]],Inventario_Libros!A:B,2,0),"Libro No Existe")</f>
        <v>El Amor En Los Tiempos Del Cólera</v>
      </c>
      <c r="J348" t="str">
        <f>IFERROR(VLOOKUP(Prestamos[[#This Row],[ID Libro]],Inventario_Libros!A:C,3,0),"Libro No Existe")</f>
        <v>Gabriel García Márquez</v>
      </c>
      <c r="K348" t="str">
        <f>IFERROR(VLOOKUP(Prestamos[[#This Row],[ID Libro]],Inventario_Libros!A:D,4,0),"Libro No Existe")</f>
        <v>Novela</v>
      </c>
      <c r="L348">
        <f>IFERROR(VLOOKUP(Prestamos[[#This Row],[ID Libro]],Inventario_Libros!A:E,5,0),"Libro No Existe")</f>
        <v>1979</v>
      </c>
      <c r="M348" t="str">
        <f>_xlfn.XLOOKUP(D:D,Inventario_Libros!A:A,Inventario_Libros!G:G,"No Existe",0)</f>
        <v>B-2</v>
      </c>
      <c r="N348" t="str">
        <f>IFERROR(VLOOKUP(Prestamos[[#This Row],[ID Libro]],Inventario_Libros!A:H,8,0),"Libro No Existe")</f>
        <v>Activo</v>
      </c>
    </row>
    <row r="349" spans="1:14" x14ac:dyDescent="0.3">
      <c r="A349" s="5" t="s">
        <v>876</v>
      </c>
      <c r="B349" s="1">
        <v>45702</v>
      </c>
      <c r="C349" s="1">
        <v>45718</v>
      </c>
      <c r="D349" s="4" t="s">
        <v>438</v>
      </c>
      <c r="E349" s="2" t="s">
        <v>272</v>
      </c>
      <c r="F349" s="2" t="s">
        <v>258</v>
      </c>
      <c r="G349" s="2" t="s">
        <v>279</v>
      </c>
      <c r="H349" s="3" t="s">
        <v>289</v>
      </c>
      <c r="I349" t="str">
        <f>IFERROR(VLOOKUP(Prestamos[[#This Row],[ID Libro]],Inventario_Libros!A:B,2,0),"Libro No Existe")</f>
        <v>Los Detectives Salvajes</v>
      </c>
      <c r="J349" t="str">
        <f>IFERROR(VLOOKUP(Prestamos[[#This Row],[ID Libro]],Inventario_Libros!A:C,3,0),"Libro No Existe")</f>
        <v>Roberto Bolaño</v>
      </c>
      <c r="K349" t="str">
        <f>IFERROR(VLOOKUP(Prestamos[[#This Row],[ID Libro]],Inventario_Libros!A:D,4,0),"Libro No Existe")</f>
        <v>Novela</v>
      </c>
      <c r="L349">
        <f>IFERROR(VLOOKUP(Prestamos[[#This Row],[ID Libro]],Inventario_Libros!A:E,5,0),"Libro No Existe")</f>
        <v>2015</v>
      </c>
      <c r="M349" t="str">
        <f>_xlfn.XLOOKUP(D:D,Inventario_Libros!A:A,Inventario_Libros!G:G,"No Existe",0)</f>
        <v>Est-1</v>
      </c>
      <c r="N349" t="str">
        <f>IFERROR(VLOOKUP(Prestamos[[#This Row],[ID Libro]],Inventario_Libros!A:H,8,0),"Libro No Existe")</f>
        <v>Activo</v>
      </c>
    </row>
    <row r="350" spans="1:14" x14ac:dyDescent="0.3">
      <c r="A350" s="5" t="s">
        <v>877</v>
      </c>
      <c r="B350" s="1">
        <v>45698</v>
      </c>
      <c r="C350" s="1">
        <v>45714</v>
      </c>
      <c r="D350" s="4" t="s">
        <v>381</v>
      </c>
      <c r="E350" s="2" t="s">
        <v>270</v>
      </c>
      <c r="F350" s="2" t="s">
        <v>263</v>
      </c>
      <c r="G350" s="2" t="s">
        <v>253</v>
      </c>
      <c r="H350" s="3">
        <v>1</v>
      </c>
      <c r="I350" t="str">
        <f>IFERROR(VLOOKUP(Prestamos[[#This Row],[ID Libro]],Inventario_Libros!A:B,2,0),"Libro No Existe")</f>
        <v>Rebelión En La Granja</v>
      </c>
      <c r="J350" t="str">
        <f>IFERROR(VLOOKUP(Prestamos[[#This Row],[ID Libro]],Inventario_Libros!A:C,3,0),"Libro No Existe")</f>
        <v>George Orwell</v>
      </c>
      <c r="K350" t="str">
        <f>IFERROR(VLOOKUP(Prestamos[[#This Row],[ID Libro]],Inventario_Libros!A:D,4,0),"Libro No Existe")</f>
        <v>Ciencia Ficción</v>
      </c>
      <c r="L350">
        <f>IFERROR(VLOOKUP(Prestamos[[#This Row],[ID Libro]],Inventario_Libros!A:E,5,0),"Libro No Existe")</f>
        <v>1995</v>
      </c>
      <c r="M350" t="str">
        <f>_xlfn.XLOOKUP(D:D,Inventario_Libros!A:A,Inventario_Libros!G:G,"No Existe",0)</f>
        <v>A-1</v>
      </c>
      <c r="N350" t="str">
        <f>IFERROR(VLOOKUP(Prestamos[[#This Row],[ID Libro]],Inventario_Libros!A:H,8,0),"Libro No Existe")</f>
        <v>Activo</v>
      </c>
    </row>
    <row r="351" spans="1:14" x14ac:dyDescent="0.3">
      <c r="A351" s="5" t="s">
        <v>878</v>
      </c>
      <c r="B351" s="1">
        <v>45805</v>
      </c>
      <c r="C351" s="1">
        <v>45830</v>
      </c>
      <c r="D351" s="4" t="s">
        <v>325</v>
      </c>
      <c r="E351" s="2" t="s">
        <v>274</v>
      </c>
      <c r="F351" s="2" t="s">
        <v>263</v>
      </c>
      <c r="G351" s="2" t="s">
        <v>257</v>
      </c>
      <c r="H351" s="3">
        <v>10</v>
      </c>
      <c r="I351" t="str">
        <f>IFERROR(VLOOKUP(Prestamos[[#This Row],[ID Libro]],Inventario_Libros!A:B,2,0),"Libro No Existe")</f>
        <v>La Iliada</v>
      </c>
      <c r="J351" t="str">
        <f>IFERROR(VLOOKUP(Prestamos[[#This Row],[ID Libro]],Inventario_Libros!A:C,3,0),"Libro No Existe")</f>
        <v>Homero</v>
      </c>
      <c r="K351" t="str">
        <f>IFERROR(VLOOKUP(Prestamos[[#This Row],[ID Libro]],Inventario_Libros!A:D,4,0),"Libro No Existe")</f>
        <v>Clásicos</v>
      </c>
      <c r="L351">
        <f>IFERROR(VLOOKUP(Prestamos[[#This Row],[ID Libro]],Inventario_Libros!A:E,5,0),"Libro No Existe")</f>
        <v>1993</v>
      </c>
      <c r="M351" t="str">
        <f>_xlfn.XLOOKUP(D:D,Inventario_Libros!A:A,Inventario_Libros!G:G,"No Existe",0)</f>
        <v>A-1</v>
      </c>
      <c r="N351" t="str">
        <f>IFERROR(VLOOKUP(Prestamos[[#This Row],[ID Libro]],Inventario_Libros!A:H,8,0),"Libro No Existe")</f>
        <v>Retirado</v>
      </c>
    </row>
    <row r="352" spans="1:14" x14ac:dyDescent="0.3">
      <c r="A352" s="5" t="s">
        <v>879</v>
      </c>
      <c r="B352" s="1">
        <v>45788</v>
      </c>
      <c r="C352" s="1">
        <v>45804</v>
      </c>
      <c r="D352" s="4" t="s">
        <v>382</v>
      </c>
      <c r="E352" s="2" t="s">
        <v>262</v>
      </c>
      <c r="F352" s="2" t="s">
        <v>258</v>
      </c>
      <c r="G352" s="2" t="s">
        <v>253</v>
      </c>
      <c r="H352" s="3">
        <v>1</v>
      </c>
      <c r="I352" t="str">
        <f>IFERROR(VLOOKUP(Prestamos[[#This Row],[ID Libro]],Inventario_Libros!A:B,2,0),"Libro No Existe")</f>
        <v>Crónica De Una Muerte Anunciada</v>
      </c>
      <c r="J352" t="str">
        <f>IFERROR(VLOOKUP(Prestamos[[#This Row],[ID Libro]],Inventario_Libros!A:C,3,0),"Libro No Existe")</f>
        <v>Gabriel García Márquez</v>
      </c>
      <c r="K352" t="str">
        <f>IFERROR(VLOOKUP(Prestamos[[#This Row],[ID Libro]],Inventario_Libros!A:D,4,0),"Libro No Existe")</f>
        <v>Novela</v>
      </c>
      <c r="L352">
        <f>IFERROR(VLOOKUP(Prestamos[[#This Row],[ID Libro]],Inventario_Libros!A:E,5,0),"Libro No Existe")</f>
        <v>1987</v>
      </c>
      <c r="M352" t="str">
        <f>_xlfn.XLOOKUP(D:D,Inventario_Libros!A:A,Inventario_Libros!G:G,"No Existe",0)</f>
        <v>A-1</v>
      </c>
      <c r="N352" t="str">
        <f>IFERROR(VLOOKUP(Prestamos[[#This Row],[ID Libro]],Inventario_Libros!A:H,8,0),"Libro No Existe")</f>
        <v>Activo</v>
      </c>
    </row>
    <row r="353" spans="1:14" x14ac:dyDescent="0.3">
      <c r="A353" s="5" t="s">
        <v>880</v>
      </c>
      <c r="B353" s="1">
        <v>45763</v>
      </c>
      <c r="C353" s="1">
        <v>45779</v>
      </c>
      <c r="D353" s="4" t="s">
        <v>417</v>
      </c>
      <c r="E353" s="2" t="s">
        <v>278</v>
      </c>
      <c r="F353" s="2" t="s">
        <v>263</v>
      </c>
      <c r="G353" s="2" t="s">
        <v>279</v>
      </c>
      <c r="H353" s="3" t="s">
        <v>289</v>
      </c>
      <c r="I353" t="str">
        <f>IFERROR(VLOOKUP(Prestamos[[#This Row],[ID Libro]],Inventario_Libros!A:B,2,0),"Libro No Existe")</f>
        <v>El Aleph</v>
      </c>
      <c r="J353" t="str">
        <f>IFERROR(VLOOKUP(Prestamos[[#This Row],[ID Libro]],Inventario_Libros!A:C,3,0),"Libro No Existe")</f>
        <v>Jorge Luis Borges</v>
      </c>
      <c r="K353" t="str">
        <f>IFERROR(VLOOKUP(Prestamos[[#This Row],[ID Libro]],Inventario_Libros!A:D,4,0),"Libro No Existe")</f>
        <v>Cuentos / Fantasía Metafísica</v>
      </c>
      <c r="L353">
        <f>IFERROR(VLOOKUP(Prestamos[[#This Row],[ID Libro]],Inventario_Libros!A:E,5,0),"Libro No Existe")</f>
        <v>1991</v>
      </c>
      <c r="M353" t="str">
        <f>_xlfn.XLOOKUP(D:D,Inventario_Libros!A:A,Inventario_Libros!G:G,"No Existe",0)</f>
        <v>Est-1</v>
      </c>
      <c r="N353" t="str">
        <f>IFERROR(VLOOKUP(Prestamos[[#This Row],[ID Libro]],Inventario_Libros!A:H,8,0),"Libro No Existe")</f>
        <v>Retirado</v>
      </c>
    </row>
    <row r="354" spans="1:14" x14ac:dyDescent="0.3">
      <c r="A354" s="5" t="s">
        <v>881</v>
      </c>
      <c r="B354" s="1">
        <v>45855</v>
      </c>
      <c r="C354" s="1">
        <v>45880</v>
      </c>
      <c r="D354" s="4" t="s">
        <v>499</v>
      </c>
      <c r="E354" s="2" t="s">
        <v>272</v>
      </c>
      <c r="F354" s="2" t="s">
        <v>258</v>
      </c>
      <c r="G354" s="2" t="s">
        <v>257</v>
      </c>
      <c r="H354" s="3">
        <v>10</v>
      </c>
      <c r="I354" t="str">
        <f>IFERROR(VLOOKUP(Prestamos[[#This Row],[ID Libro]],Inventario_Libros!A:B,2,0),"Libro No Existe")</f>
        <v>Crónica De Una Muerte Anunciada</v>
      </c>
      <c r="J354" t="str">
        <f>IFERROR(VLOOKUP(Prestamos[[#This Row],[ID Libro]],Inventario_Libros!A:C,3,0),"Libro No Existe")</f>
        <v>Gabriel García Márquez</v>
      </c>
      <c r="K354" t="str">
        <f>IFERROR(VLOOKUP(Prestamos[[#This Row],[ID Libro]],Inventario_Libros!A:D,4,0),"Libro No Existe")</f>
        <v>Novela</v>
      </c>
      <c r="L354">
        <f>IFERROR(VLOOKUP(Prestamos[[#This Row],[ID Libro]],Inventario_Libros!A:E,5,0),"Libro No Existe")</f>
        <v>1956</v>
      </c>
      <c r="M354" t="str">
        <f>_xlfn.XLOOKUP(D:D,Inventario_Libros!A:A,Inventario_Libros!G:G,"No Existe",0)</f>
        <v>A-1</v>
      </c>
      <c r="N354" t="str">
        <f>IFERROR(VLOOKUP(Prestamos[[#This Row],[ID Libro]],Inventario_Libros!A:H,8,0),"Libro No Existe")</f>
        <v>Activo</v>
      </c>
    </row>
    <row r="355" spans="1:14" x14ac:dyDescent="0.3">
      <c r="A355" s="5" t="s">
        <v>882</v>
      </c>
      <c r="B355" s="1">
        <v>45966</v>
      </c>
      <c r="C355" s="1">
        <v>45982</v>
      </c>
      <c r="D355" s="4" t="s">
        <v>452</v>
      </c>
      <c r="E355" s="2" t="s">
        <v>274</v>
      </c>
      <c r="F355" s="2" t="s">
        <v>263</v>
      </c>
      <c r="G355" s="2" t="s">
        <v>279</v>
      </c>
      <c r="H355" s="3" t="s">
        <v>289</v>
      </c>
      <c r="I355" t="str">
        <f>IFERROR(VLOOKUP(Prestamos[[#This Row],[ID Libro]],Inventario_Libros!A:B,2,0),"Libro No Existe")</f>
        <v>La Sombra Del Viento</v>
      </c>
      <c r="J355" t="str">
        <f>IFERROR(VLOOKUP(Prestamos[[#This Row],[ID Libro]],Inventario_Libros!A:C,3,0),"Libro No Existe")</f>
        <v>Carlos Ruiz Zafón</v>
      </c>
      <c r="K355" t="str">
        <f>IFERROR(VLOOKUP(Prestamos[[#This Row],[ID Libro]],Inventario_Libros!A:D,4,0),"Libro No Existe")</f>
        <v>Misterio</v>
      </c>
      <c r="L355">
        <f>IFERROR(VLOOKUP(Prestamos[[#This Row],[ID Libro]],Inventario_Libros!A:E,5,0),"Libro No Existe")</f>
        <v>1906</v>
      </c>
      <c r="M355" t="str">
        <f>_xlfn.XLOOKUP(D:D,Inventario_Libros!A:A,Inventario_Libros!G:G,"No Existe",0)</f>
        <v>A-1</v>
      </c>
      <c r="N355" t="str">
        <f>IFERROR(VLOOKUP(Prestamos[[#This Row],[ID Libro]],Inventario_Libros!A:H,8,0),"Libro No Existe")</f>
        <v>Retirado</v>
      </c>
    </row>
    <row r="356" spans="1:14" x14ac:dyDescent="0.3">
      <c r="A356" s="5" t="s">
        <v>883</v>
      </c>
      <c r="B356" s="1">
        <v>45912</v>
      </c>
      <c r="C356" s="1">
        <v>45929</v>
      </c>
      <c r="D356" s="4" t="s">
        <v>402</v>
      </c>
      <c r="E356" s="2" t="s">
        <v>271</v>
      </c>
      <c r="F356" s="2" t="s">
        <v>263</v>
      </c>
      <c r="G356" s="2" t="s">
        <v>279</v>
      </c>
      <c r="H356" s="3" t="s">
        <v>289</v>
      </c>
      <c r="I356" t="str">
        <f>IFERROR(VLOOKUP(Prestamos[[#This Row],[ID Libro]],Inventario_Libros!A:B,2,0),"Libro No Existe")</f>
        <v>La Iliada</v>
      </c>
      <c r="J356" t="str">
        <f>IFERROR(VLOOKUP(Prestamos[[#This Row],[ID Libro]],Inventario_Libros!A:C,3,0),"Libro No Existe")</f>
        <v>Homero</v>
      </c>
      <c r="K356" t="str">
        <f>IFERROR(VLOOKUP(Prestamos[[#This Row],[ID Libro]],Inventario_Libros!A:D,4,0),"Libro No Existe")</f>
        <v>Clásicos</v>
      </c>
      <c r="L356">
        <f>IFERROR(VLOOKUP(Prestamos[[#This Row],[ID Libro]],Inventario_Libros!A:E,5,0),"Libro No Existe")</f>
        <v>1893</v>
      </c>
      <c r="M356" t="str">
        <f>_xlfn.XLOOKUP(D:D,Inventario_Libros!A:A,Inventario_Libros!G:G,"No Existe",0)</f>
        <v>Est-1</v>
      </c>
      <c r="N356" t="str">
        <f>IFERROR(VLOOKUP(Prestamos[[#This Row],[ID Libro]],Inventario_Libros!A:H,8,0),"Libro No Existe")</f>
        <v>Activo</v>
      </c>
    </row>
    <row r="357" spans="1:14" x14ac:dyDescent="0.3">
      <c r="A357" s="5" t="s">
        <v>884</v>
      </c>
      <c r="B357" s="1">
        <v>45956</v>
      </c>
      <c r="C357" s="1">
        <v>45976</v>
      </c>
      <c r="D357" s="4" t="s">
        <v>386</v>
      </c>
      <c r="E357" s="2" t="s">
        <v>271</v>
      </c>
      <c r="F357" s="2" t="s">
        <v>263</v>
      </c>
      <c r="G357" s="2" t="s">
        <v>257</v>
      </c>
      <c r="H357" s="3">
        <v>5</v>
      </c>
      <c r="I357" t="str">
        <f>IFERROR(VLOOKUP(Prestamos[[#This Row],[ID Libro]],Inventario_Libros!A:B,2,0),"Libro No Existe")</f>
        <v>El Amor En Los Tiempos Del Cólera</v>
      </c>
      <c r="J357" t="str">
        <f>IFERROR(VLOOKUP(Prestamos[[#This Row],[ID Libro]],Inventario_Libros!A:C,3,0),"Libro No Existe")</f>
        <v>Gabriel García Márquez</v>
      </c>
      <c r="K357" t="str">
        <f>IFERROR(VLOOKUP(Prestamos[[#This Row],[ID Libro]],Inventario_Libros!A:D,4,0),"Libro No Existe")</f>
        <v>Novela</v>
      </c>
      <c r="L357">
        <f>IFERROR(VLOOKUP(Prestamos[[#This Row],[ID Libro]],Inventario_Libros!A:E,5,0),"Libro No Existe")</f>
        <v>1954</v>
      </c>
      <c r="M357" t="str">
        <f>_xlfn.XLOOKUP(D:D,Inventario_Libros!A:A,Inventario_Libros!G:G,"No Existe",0)</f>
        <v>B-2</v>
      </c>
      <c r="N357" t="str">
        <f>IFERROR(VLOOKUP(Prestamos[[#This Row],[ID Libro]],Inventario_Libros!A:H,8,0),"Libro No Existe")</f>
        <v>Retirado</v>
      </c>
    </row>
    <row r="358" spans="1:14" x14ac:dyDescent="0.3">
      <c r="A358" s="5" t="s">
        <v>885</v>
      </c>
      <c r="B358" s="1">
        <v>45972</v>
      </c>
      <c r="C358" s="1">
        <v>45989</v>
      </c>
      <c r="D358" s="4" t="s">
        <v>368</v>
      </c>
      <c r="E358" s="2" t="s">
        <v>256</v>
      </c>
      <c r="F358" s="2" t="s">
        <v>263</v>
      </c>
      <c r="G358" s="2" t="s">
        <v>257</v>
      </c>
      <c r="H358" s="3">
        <v>2</v>
      </c>
      <c r="I358" t="str">
        <f>IFERROR(VLOOKUP(Prestamos[[#This Row],[ID Libro]],Inventario_Libros!A:B,2,0),"Libro No Existe")</f>
        <v>Breve Historia Del Tiempo</v>
      </c>
      <c r="J358" t="str">
        <f>IFERROR(VLOOKUP(Prestamos[[#This Row],[ID Libro]],Inventario_Libros!A:C,3,0),"Libro No Existe")</f>
        <v>Stephen Hawking</v>
      </c>
      <c r="K358" t="str">
        <f>IFERROR(VLOOKUP(Prestamos[[#This Row],[ID Libro]],Inventario_Libros!A:D,4,0),"Libro No Existe")</f>
        <v>Divulgación Científica / Cosmología</v>
      </c>
      <c r="L358">
        <f>IFERROR(VLOOKUP(Prestamos[[#This Row],[ID Libro]],Inventario_Libros!A:E,5,0),"Libro No Existe")</f>
        <v>1889</v>
      </c>
      <c r="M358" t="str">
        <f>_xlfn.XLOOKUP(D:D,Inventario_Libros!A:A,Inventario_Libros!G:G,"No Existe",0)</f>
        <v>Est-1</v>
      </c>
      <c r="N358" t="str">
        <f>IFERROR(VLOOKUP(Prestamos[[#This Row],[ID Libro]],Inventario_Libros!A:H,8,0),"Libro No Existe")</f>
        <v>Retirado</v>
      </c>
    </row>
    <row r="359" spans="1:14" x14ac:dyDescent="0.3">
      <c r="A359" s="5" t="s">
        <v>886</v>
      </c>
      <c r="B359" s="1">
        <v>45944</v>
      </c>
      <c r="C359" s="1">
        <v>45961</v>
      </c>
      <c r="D359" s="4" t="s">
        <v>417</v>
      </c>
      <c r="E359" s="2" t="s">
        <v>260</v>
      </c>
      <c r="F359" s="2" t="s">
        <v>258</v>
      </c>
      <c r="G359" s="2" t="s">
        <v>279</v>
      </c>
      <c r="H359" s="3" t="s">
        <v>289</v>
      </c>
      <c r="I359" t="str">
        <f>IFERROR(VLOOKUP(Prestamos[[#This Row],[ID Libro]],Inventario_Libros!A:B,2,0),"Libro No Existe")</f>
        <v>El Aleph</v>
      </c>
      <c r="J359" t="str">
        <f>IFERROR(VLOOKUP(Prestamos[[#This Row],[ID Libro]],Inventario_Libros!A:C,3,0),"Libro No Existe")</f>
        <v>Jorge Luis Borges</v>
      </c>
      <c r="K359" t="str">
        <f>IFERROR(VLOOKUP(Prestamos[[#This Row],[ID Libro]],Inventario_Libros!A:D,4,0),"Libro No Existe")</f>
        <v>Cuentos / Fantasía Metafísica</v>
      </c>
      <c r="L359">
        <f>IFERROR(VLOOKUP(Prestamos[[#This Row],[ID Libro]],Inventario_Libros!A:E,5,0),"Libro No Existe")</f>
        <v>1991</v>
      </c>
      <c r="M359" t="str">
        <f>_xlfn.XLOOKUP(D:D,Inventario_Libros!A:A,Inventario_Libros!G:G,"No Existe",0)</f>
        <v>Est-1</v>
      </c>
      <c r="N359" t="str">
        <f>IFERROR(VLOOKUP(Prestamos[[#This Row],[ID Libro]],Inventario_Libros!A:H,8,0),"Libro No Existe")</f>
        <v>Retirado</v>
      </c>
    </row>
    <row r="360" spans="1:14" x14ac:dyDescent="0.3">
      <c r="A360" s="5" t="s">
        <v>887</v>
      </c>
      <c r="B360" s="1">
        <v>45785</v>
      </c>
      <c r="C360" s="1">
        <v>45803</v>
      </c>
      <c r="D360" s="4" t="s">
        <v>419</v>
      </c>
      <c r="E360" s="2" t="s">
        <v>277</v>
      </c>
      <c r="F360" s="2" t="s">
        <v>258</v>
      </c>
      <c r="G360" s="2" t="s">
        <v>253</v>
      </c>
      <c r="H360" s="3">
        <v>3</v>
      </c>
      <c r="I360" t="str">
        <f>IFERROR(VLOOKUP(Prestamos[[#This Row],[ID Libro]],Inventario_Libros!A:B,2,0),"Libro No Existe")</f>
        <v>Matar A Un Ruiseñor</v>
      </c>
      <c r="J360" t="str">
        <f>IFERROR(VLOOKUP(Prestamos[[#This Row],[ID Libro]],Inventario_Libros!A:C,3,0),"Libro No Existe")</f>
        <v>Harper Lee</v>
      </c>
      <c r="K360" t="str">
        <f>IFERROR(VLOOKUP(Prestamos[[#This Row],[ID Libro]],Inventario_Libros!A:D,4,0),"Libro No Existe")</f>
        <v>Novela</v>
      </c>
      <c r="L360">
        <f>IFERROR(VLOOKUP(Prestamos[[#This Row],[ID Libro]],Inventario_Libros!A:E,5,0),"Libro No Existe")</f>
        <v>1939</v>
      </c>
      <c r="M360" t="str">
        <f>_xlfn.XLOOKUP(D:D,Inventario_Libros!A:A,Inventario_Libros!G:G,"No Existe",0)</f>
        <v>No Asignado</v>
      </c>
      <c r="N360" t="str">
        <f>IFERROR(VLOOKUP(Prestamos[[#This Row],[ID Libro]],Inventario_Libros!A:H,8,0),"Libro No Existe")</f>
        <v>Retirado</v>
      </c>
    </row>
    <row r="361" spans="1:14" x14ac:dyDescent="0.3">
      <c r="A361" s="5" t="s">
        <v>888</v>
      </c>
      <c r="B361" s="1">
        <v>45895</v>
      </c>
      <c r="C361" s="1">
        <v>45912</v>
      </c>
      <c r="D361" s="4" t="s">
        <v>368</v>
      </c>
      <c r="E361" s="2" t="s">
        <v>267</v>
      </c>
      <c r="F361" s="2" t="s">
        <v>255</v>
      </c>
      <c r="G361" s="2" t="s">
        <v>257</v>
      </c>
      <c r="H361" s="3">
        <v>2</v>
      </c>
      <c r="I361" t="str">
        <f>IFERROR(VLOOKUP(Prestamos[[#This Row],[ID Libro]],Inventario_Libros!A:B,2,0),"Libro No Existe")</f>
        <v>Breve Historia Del Tiempo</v>
      </c>
      <c r="J361" t="str">
        <f>IFERROR(VLOOKUP(Prestamos[[#This Row],[ID Libro]],Inventario_Libros!A:C,3,0),"Libro No Existe")</f>
        <v>Stephen Hawking</v>
      </c>
      <c r="K361" t="str">
        <f>IFERROR(VLOOKUP(Prestamos[[#This Row],[ID Libro]],Inventario_Libros!A:D,4,0),"Libro No Existe")</f>
        <v>Divulgación Científica / Cosmología</v>
      </c>
      <c r="L361">
        <f>IFERROR(VLOOKUP(Prestamos[[#This Row],[ID Libro]],Inventario_Libros!A:E,5,0),"Libro No Existe")</f>
        <v>1889</v>
      </c>
      <c r="M361" t="str">
        <f>_xlfn.XLOOKUP(D:D,Inventario_Libros!A:A,Inventario_Libros!G:G,"No Existe",0)</f>
        <v>Est-1</v>
      </c>
      <c r="N361" t="str">
        <f>IFERROR(VLOOKUP(Prestamos[[#This Row],[ID Libro]],Inventario_Libros!A:H,8,0),"Libro No Existe")</f>
        <v>Retirado</v>
      </c>
    </row>
    <row r="362" spans="1:14" x14ac:dyDescent="0.3">
      <c r="A362" s="5" t="s">
        <v>889</v>
      </c>
      <c r="B362" s="1">
        <v>45680</v>
      </c>
      <c r="C362" s="1">
        <v>45698</v>
      </c>
      <c r="D362" s="4" t="s">
        <v>348</v>
      </c>
      <c r="E362" s="2" t="s">
        <v>251</v>
      </c>
      <c r="F362" s="2" t="s">
        <v>263</v>
      </c>
      <c r="G362" s="2" t="s">
        <v>279</v>
      </c>
      <c r="H362" s="3" t="s">
        <v>289</v>
      </c>
      <c r="I362" t="str">
        <f>IFERROR(VLOOKUP(Prestamos[[#This Row],[ID Libro]],Inventario_Libros!A:B,2,0),"Libro No Existe")</f>
        <v>Hamlet</v>
      </c>
      <c r="J362" t="str">
        <f>IFERROR(VLOOKUP(Prestamos[[#This Row],[ID Libro]],Inventario_Libros!A:C,3,0),"Libro No Existe")</f>
        <v>William Shakespeare</v>
      </c>
      <c r="K362" t="str">
        <f>IFERROR(VLOOKUP(Prestamos[[#This Row],[ID Libro]],Inventario_Libros!A:D,4,0),"Libro No Existe")</f>
        <v>Clásicos</v>
      </c>
      <c r="L362">
        <f>IFERROR(VLOOKUP(Prestamos[[#This Row],[ID Libro]],Inventario_Libros!A:E,5,0),"Libro No Existe")</f>
        <v>2017</v>
      </c>
      <c r="M362" t="str">
        <f>_xlfn.XLOOKUP(D:D,Inventario_Libros!A:A,Inventario_Libros!G:G,"No Existe",0)</f>
        <v>A-1</v>
      </c>
      <c r="N362" t="str">
        <f>IFERROR(VLOOKUP(Prestamos[[#This Row],[ID Libro]],Inventario_Libros!A:H,8,0),"Libro No Existe")</f>
        <v>Activo</v>
      </c>
    </row>
    <row r="363" spans="1:14" x14ac:dyDescent="0.3">
      <c r="A363" s="5" t="s">
        <v>890</v>
      </c>
      <c r="B363" s="1">
        <v>45791</v>
      </c>
      <c r="C363" s="1">
        <v>45809</v>
      </c>
      <c r="D363" s="4" t="s">
        <v>482</v>
      </c>
      <c r="E363" s="2" t="s">
        <v>261</v>
      </c>
      <c r="F363" s="2" t="s">
        <v>263</v>
      </c>
      <c r="G363" s="2" t="s">
        <v>253</v>
      </c>
      <c r="H363" s="3">
        <v>3</v>
      </c>
      <c r="I363" t="str">
        <f>IFERROR(VLOOKUP(Prestamos[[#This Row],[ID Libro]],Inventario_Libros!A:B,2,0),"Libro No Existe")</f>
        <v>Pedro Páramo</v>
      </c>
      <c r="J363" t="str">
        <f>IFERROR(VLOOKUP(Prestamos[[#This Row],[ID Libro]],Inventario_Libros!A:C,3,0),"Libro No Existe")</f>
        <v>Juan Rulfo</v>
      </c>
      <c r="K363" t="str">
        <f>IFERROR(VLOOKUP(Prestamos[[#This Row],[ID Libro]],Inventario_Libros!A:D,4,0),"Libro No Existe")</f>
        <v>Novela</v>
      </c>
      <c r="L363">
        <f>IFERROR(VLOOKUP(Prestamos[[#This Row],[ID Libro]],Inventario_Libros!A:E,5,0),"Libro No Existe")</f>
        <v>1970</v>
      </c>
      <c r="M363" t="str">
        <f>_xlfn.XLOOKUP(D:D,Inventario_Libros!A:A,Inventario_Libros!G:G,"No Existe",0)</f>
        <v>Est-1</v>
      </c>
      <c r="N363" t="str">
        <f>IFERROR(VLOOKUP(Prestamos[[#This Row],[ID Libro]],Inventario_Libros!A:H,8,0),"Libro No Existe")</f>
        <v>Activo</v>
      </c>
    </row>
    <row r="364" spans="1:14" x14ac:dyDescent="0.3">
      <c r="A364" s="5" t="s">
        <v>891</v>
      </c>
      <c r="B364" s="1">
        <v>45761</v>
      </c>
      <c r="C364" s="1">
        <v>45779</v>
      </c>
      <c r="D364" s="4" t="s">
        <v>500</v>
      </c>
      <c r="E364" s="2" t="s">
        <v>260</v>
      </c>
      <c r="F364" s="2" t="s">
        <v>252</v>
      </c>
      <c r="G364" s="2" t="s">
        <v>279</v>
      </c>
      <c r="H364" s="3" t="s">
        <v>289</v>
      </c>
      <c r="I364" t="str">
        <f>IFERROR(VLOOKUP(Prestamos[[#This Row],[ID Libro]],Inventario_Libros!A:B,2,0),"Libro No Existe")</f>
        <v>La Ciudad Y Los Perros</v>
      </c>
      <c r="J364" t="str">
        <f>IFERROR(VLOOKUP(Prestamos[[#This Row],[ID Libro]],Inventario_Libros!A:C,3,0),"Libro No Existe")</f>
        <v>Mario Vargas Llosa</v>
      </c>
      <c r="K364" t="str">
        <f>IFERROR(VLOOKUP(Prestamos[[#This Row],[ID Libro]],Inventario_Libros!A:D,4,0),"Libro No Existe")</f>
        <v>Novela</v>
      </c>
      <c r="L364">
        <f>IFERROR(VLOOKUP(Prestamos[[#This Row],[ID Libro]],Inventario_Libros!A:E,5,0),"Libro No Existe")</f>
        <v>2001</v>
      </c>
      <c r="M364" t="str">
        <f>_xlfn.XLOOKUP(D:D,Inventario_Libros!A:A,Inventario_Libros!G:G,"No Existe",0)</f>
        <v>B-2</v>
      </c>
      <c r="N364" t="str">
        <f>IFERROR(VLOOKUP(Prestamos[[#This Row],[ID Libro]],Inventario_Libros!A:H,8,0),"Libro No Existe")</f>
        <v>Activo</v>
      </c>
    </row>
    <row r="365" spans="1:14" x14ac:dyDescent="0.3">
      <c r="A365" s="5" t="s">
        <v>892</v>
      </c>
      <c r="B365" s="1">
        <v>45680</v>
      </c>
      <c r="C365" s="1">
        <v>45700</v>
      </c>
      <c r="D365" s="4" t="s">
        <v>367</v>
      </c>
      <c r="E365" s="2" t="s">
        <v>270</v>
      </c>
      <c r="F365" s="2" t="s">
        <v>252</v>
      </c>
      <c r="G365" s="2" t="s">
        <v>257</v>
      </c>
      <c r="H365" s="3">
        <v>5</v>
      </c>
      <c r="I365" t="str">
        <f>IFERROR(VLOOKUP(Prestamos[[#This Row],[ID Libro]],Inventario_Libros!A:B,2,0),"Libro No Existe")</f>
        <v>1984</v>
      </c>
      <c r="J365" t="str">
        <f>IFERROR(VLOOKUP(Prestamos[[#This Row],[ID Libro]],Inventario_Libros!A:C,3,0),"Libro No Existe")</f>
        <v>George Orwell</v>
      </c>
      <c r="K365" t="str">
        <f>IFERROR(VLOOKUP(Prestamos[[#This Row],[ID Libro]],Inventario_Libros!A:D,4,0),"Libro No Existe")</f>
        <v>Ciencia Ficción</v>
      </c>
      <c r="L365">
        <f>IFERROR(VLOOKUP(Prestamos[[#This Row],[ID Libro]],Inventario_Libros!A:E,5,0),"Libro No Existe")</f>
        <v>1920</v>
      </c>
      <c r="M365" t="str">
        <f>_xlfn.XLOOKUP(D:D,Inventario_Libros!A:A,Inventario_Libros!G:G,"No Existe",0)</f>
        <v>C-3</v>
      </c>
      <c r="N365" t="str">
        <f>IFERROR(VLOOKUP(Prestamos[[#This Row],[ID Libro]],Inventario_Libros!A:H,8,0),"Libro No Existe")</f>
        <v>Activo</v>
      </c>
    </row>
    <row r="366" spans="1:14" x14ac:dyDescent="0.3">
      <c r="A366" s="5" t="s">
        <v>893</v>
      </c>
      <c r="B366" s="1">
        <v>45850</v>
      </c>
      <c r="C366" s="1">
        <v>45868</v>
      </c>
      <c r="D366" s="4" t="s">
        <v>330</v>
      </c>
      <c r="E366" s="2" t="s">
        <v>261</v>
      </c>
      <c r="F366" s="2" t="s">
        <v>263</v>
      </c>
      <c r="G366" s="2" t="s">
        <v>279</v>
      </c>
      <c r="H366" s="3" t="s">
        <v>289</v>
      </c>
      <c r="I366" t="str">
        <f>IFERROR(VLOOKUP(Prestamos[[#This Row],[ID Libro]],Inventario_Libros!A:B,2,0),"Libro No Existe")</f>
        <v>Matadero Cinco</v>
      </c>
      <c r="J366" t="str">
        <f>IFERROR(VLOOKUP(Prestamos[[#This Row],[ID Libro]],Inventario_Libros!A:C,3,0),"Libro No Existe")</f>
        <v>Kurt Vonnegut</v>
      </c>
      <c r="K366" t="str">
        <f>IFERROR(VLOOKUP(Prestamos[[#This Row],[ID Libro]],Inventario_Libros!A:D,4,0),"Libro No Existe")</f>
        <v>Ciencia Ficción</v>
      </c>
      <c r="L366">
        <f>IFERROR(VLOOKUP(Prestamos[[#This Row],[ID Libro]],Inventario_Libros!A:E,5,0),"Libro No Existe")</f>
        <v>1989</v>
      </c>
      <c r="M366" t="str">
        <f>_xlfn.XLOOKUP(D:D,Inventario_Libros!A:A,Inventario_Libros!G:G,"No Existe",0)</f>
        <v>B-2</v>
      </c>
      <c r="N366" t="str">
        <f>IFERROR(VLOOKUP(Prestamos[[#This Row],[ID Libro]],Inventario_Libros!A:H,8,0),"Libro No Existe")</f>
        <v>Retirado</v>
      </c>
    </row>
    <row r="367" spans="1:14" x14ac:dyDescent="0.3">
      <c r="A367" s="5" t="s">
        <v>894</v>
      </c>
      <c r="B367" s="1">
        <v>45839</v>
      </c>
      <c r="C367" s="1">
        <v>45857</v>
      </c>
      <c r="D367" s="4" t="s">
        <v>459</v>
      </c>
      <c r="E367" s="2" t="s">
        <v>278</v>
      </c>
      <c r="F367" s="2" t="s">
        <v>263</v>
      </c>
      <c r="G367" s="2" t="s">
        <v>253</v>
      </c>
      <c r="H367" s="3">
        <v>3</v>
      </c>
      <c r="I367" t="str">
        <f>IFERROR(VLOOKUP(Prestamos[[#This Row],[ID Libro]],Inventario_Libros!A:B,2,0),"Libro No Existe")</f>
        <v>Sobre La Felicidad</v>
      </c>
      <c r="J367" t="str">
        <f>IFERROR(VLOOKUP(Prestamos[[#This Row],[ID Libro]],Inventario_Libros!A:C,3,0),"Libro No Existe")</f>
        <v>Lucio Anneo Séneca</v>
      </c>
      <c r="K367" t="str">
        <f>IFERROR(VLOOKUP(Prestamos[[#This Row],[ID Libro]],Inventario_Libros!A:D,4,0),"Libro No Existe")</f>
        <v>Filosofía Y Pensamiento</v>
      </c>
      <c r="L367">
        <f>IFERROR(VLOOKUP(Prestamos[[#This Row],[ID Libro]],Inventario_Libros!A:E,5,0),"Libro No Existe")</f>
        <v>1919</v>
      </c>
      <c r="M367" t="str">
        <f>_xlfn.XLOOKUP(D:D,Inventario_Libros!A:A,Inventario_Libros!G:G,"No Existe",0)</f>
        <v>A-1</v>
      </c>
      <c r="N367" t="str">
        <f>IFERROR(VLOOKUP(Prestamos[[#This Row],[ID Libro]],Inventario_Libros!A:H,8,0),"Libro No Existe")</f>
        <v>Retirado</v>
      </c>
    </row>
    <row r="368" spans="1:14" x14ac:dyDescent="0.3">
      <c r="A368" s="5" t="s">
        <v>895</v>
      </c>
      <c r="B368" s="1">
        <v>45959</v>
      </c>
      <c r="C368" s="1">
        <v>45978</v>
      </c>
      <c r="D368" s="4" t="s">
        <v>374</v>
      </c>
      <c r="E368" s="2" t="s">
        <v>256</v>
      </c>
      <c r="F368" s="2" t="s">
        <v>263</v>
      </c>
      <c r="G368" s="2" t="s">
        <v>279</v>
      </c>
      <c r="H368" s="3" t="s">
        <v>289</v>
      </c>
      <c r="I368" t="str">
        <f>IFERROR(VLOOKUP(Prestamos[[#This Row],[ID Libro]],Inventario_Libros!A:B,2,0),"Libro No Existe")</f>
        <v>La Casa De Los Espíritus</v>
      </c>
      <c r="J368" t="str">
        <f>IFERROR(VLOOKUP(Prestamos[[#This Row],[ID Libro]],Inventario_Libros!A:C,3,0),"Libro No Existe")</f>
        <v>Isabel Allende</v>
      </c>
      <c r="K368" t="str">
        <f>IFERROR(VLOOKUP(Prestamos[[#This Row],[ID Libro]],Inventario_Libros!A:D,4,0),"Libro No Existe")</f>
        <v>Novela</v>
      </c>
      <c r="L368">
        <f>IFERROR(VLOOKUP(Prestamos[[#This Row],[ID Libro]],Inventario_Libros!A:E,5,0),"Libro No Existe")</f>
        <v>1938</v>
      </c>
      <c r="M368" t="str">
        <f>_xlfn.XLOOKUP(D:D,Inventario_Libros!A:A,Inventario_Libros!G:G,"No Existe",0)</f>
        <v>Est-1</v>
      </c>
      <c r="N368" t="str">
        <f>IFERROR(VLOOKUP(Prestamos[[#This Row],[ID Libro]],Inventario_Libros!A:H,8,0),"Libro No Existe")</f>
        <v>Activo</v>
      </c>
    </row>
    <row r="369" spans="1:14" x14ac:dyDescent="0.3">
      <c r="A369" s="5" t="s">
        <v>896</v>
      </c>
      <c r="B369" s="1">
        <v>45945</v>
      </c>
      <c r="C369" s="1">
        <v>45964</v>
      </c>
      <c r="D369" s="4" t="s">
        <v>326</v>
      </c>
      <c r="E369" s="2" t="s">
        <v>259</v>
      </c>
      <c r="F369" s="2" t="s">
        <v>263</v>
      </c>
      <c r="G369" s="2" t="s">
        <v>253</v>
      </c>
      <c r="H369" s="3">
        <v>4</v>
      </c>
      <c r="I369" t="str">
        <f>IFERROR(VLOOKUP(Prestamos[[#This Row],[ID Libro]],Inventario_Libros!A:B,2,0),"Libro No Existe")</f>
        <v>Orgullo Y Prejuicio</v>
      </c>
      <c r="J369" t="str">
        <f>IFERROR(VLOOKUP(Prestamos[[#This Row],[ID Libro]],Inventario_Libros!A:C,3,0),"Libro No Existe")</f>
        <v>Jane Austen</v>
      </c>
      <c r="K369" t="str">
        <f>IFERROR(VLOOKUP(Prestamos[[#This Row],[ID Libro]],Inventario_Libros!A:D,4,0),"Libro No Existe")</f>
        <v>Novela</v>
      </c>
      <c r="L369">
        <f>IFERROR(VLOOKUP(Prestamos[[#This Row],[ID Libro]],Inventario_Libros!A:E,5,0),"Libro No Existe")</f>
        <v>2013</v>
      </c>
      <c r="M369" t="str">
        <f>_xlfn.XLOOKUP(D:D,Inventario_Libros!A:A,Inventario_Libros!G:G,"No Existe",0)</f>
        <v>Est-1</v>
      </c>
      <c r="N369" t="str">
        <f>IFERROR(VLOOKUP(Prestamos[[#This Row],[ID Libro]],Inventario_Libros!A:H,8,0),"Libro No Existe")</f>
        <v>Activo</v>
      </c>
    </row>
    <row r="370" spans="1:14" x14ac:dyDescent="0.3">
      <c r="A370" s="5" t="s">
        <v>897</v>
      </c>
      <c r="B370" s="1">
        <v>45716</v>
      </c>
      <c r="C370" s="1">
        <v>45735</v>
      </c>
      <c r="D370" s="4" t="s">
        <v>463</v>
      </c>
      <c r="E370" s="2" t="s">
        <v>272</v>
      </c>
      <c r="F370" s="2" t="s">
        <v>255</v>
      </c>
      <c r="G370" s="2" t="s">
        <v>253</v>
      </c>
      <c r="H370" s="3">
        <v>4</v>
      </c>
      <c r="I370" t="str">
        <f>IFERROR(VLOOKUP(Prestamos[[#This Row],[ID Libro]],Inventario_Libros!A:B,2,0),"Libro No Existe")</f>
        <v>La Casa De Los Espíritus</v>
      </c>
      <c r="J370" t="str">
        <f>IFERROR(VLOOKUP(Prestamos[[#This Row],[ID Libro]],Inventario_Libros!A:C,3,0),"Libro No Existe")</f>
        <v>Isabel Allende</v>
      </c>
      <c r="K370" t="str">
        <f>IFERROR(VLOOKUP(Prestamos[[#This Row],[ID Libro]],Inventario_Libros!A:D,4,0),"Libro No Existe")</f>
        <v>Novela</v>
      </c>
      <c r="L370">
        <f>IFERROR(VLOOKUP(Prestamos[[#This Row],[ID Libro]],Inventario_Libros!A:E,5,0),"Libro No Existe")</f>
        <v>1995</v>
      </c>
      <c r="M370" t="str">
        <f>_xlfn.XLOOKUP(D:D,Inventario_Libros!A:A,Inventario_Libros!G:G,"No Existe",0)</f>
        <v>B-2</v>
      </c>
      <c r="N370" t="str">
        <f>IFERROR(VLOOKUP(Prestamos[[#This Row],[ID Libro]],Inventario_Libros!A:H,8,0),"Libro No Existe")</f>
        <v>Retirado</v>
      </c>
    </row>
    <row r="371" spans="1:14" x14ac:dyDescent="0.3">
      <c r="A371" s="5" t="s">
        <v>898</v>
      </c>
      <c r="B371" s="1">
        <v>45695</v>
      </c>
      <c r="C371" s="1">
        <v>45714</v>
      </c>
      <c r="D371" s="4" t="s">
        <v>385</v>
      </c>
      <c r="E371" s="2" t="s">
        <v>270</v>
      </c>
      <c r="F371" s="2" t="s">
        <v>258</v>
      </c>
      <c r="G371" s="2" t="s">
        <v>253</v>
      </c>
      <c r="H371" s="3">
        <v>4</v>
      </c>
      <c r="I371" t="str">
        <f>IFERROR(VLOOKUP(Prestamos[[#This Row],[ID Libro]],Inventario_Libros!A:B,2,0),"Libro No Existe")</f>
        <v>Cien Años De Soledad</v>
      </c>
      <c r="J371" t="str">
        <f>IFERROR(VLOOKUP(Prestamos[[#This Row],[ID Libro]],Inventario_Libros!A:C,3,0),"Libro No Existe")</f>
        <v>Gabriel García Márquez</v>
      </c>
      <c r="K371" t="str">
        <f>IFERROR(VLOOKUP(Prestamos[[#This Row],[ID Libro]],Inventario_Libros!A:D,4,0),"Libro No Existe")</f>
        <v>Novela</v>
      </c>
      <c r="L371">
        <f>IFERROR(VLOOKUP(Prestamos[[#This Row],[ID Libro]],Inventario_Libros!A:E,5,0),"Libro No Existe")</f>
        <v>2016</v>
      </c>
      <c r="M371" t="str">
        <f>_xlfn.XLOOKUP(D:D,Inventario_Libros!A:A,Inventario_Libros!G:G,"No Existe",0)</f>
        <v>C-3</v>
      </c>
      <c r="N371" t="str">
        <f>IFERROR(VLOOKUP(Prestamos[[#This Row],[ID Libro]],Inventario_Libros!A:H,8,0),"Libro No Existe")</f>
        <v>Activo</v>
      </c>
    </row>
    <row r="372" spans="1:14" x14ac:dyDescent="0.3">
      <c r="A372" s="5" t="s">
        <v>899</v>
      </c>
      <c r="B372" s="1">
        <v>45902</v>
      </c>
      <c r="C372" s="1">
        <v>45921</v>
      </c>
      <c r="D372" s="4" t="s">
        <v>366</v>
      </c>
      <c r="E372" s="2" t="s">
        <v>266</v>
      </c>
      <c r="F372" s="2" t="s">
        <v>275</v>
      </c>
      <c r="G372" s="2" t="s">
        <v>253</v>
      </c>
      <c r="H372" s="3">
        <v>4</v>
      </c>
      <c r="I372" t="str">
        <f>IFERROR(VLOOKUP(Prestamos[[#This Row],[ID Libro]],Inventario_Libros!A:B,2,0),"Libro No Existe")</f>
        <v>1984</v>
      </c>
      <c r="J372" t="str">
        <f>IFERROR(VLOOKUP(Prestamos[[#This Row],[ID Libro]],Inventario_Libros!A:C,3,0),"Libro No Existe")</f>
        <v>George Orwell</v>
      </c>
      <c r="K372" t="str">
        <f>IFERROR(VLOOKUP(Prestamos[[#This Row],[ID Libro]],Inventario_Libros!A:D,4,0),"Libro No Existe")</f>
        <v>Ciencia Ficción</v>
      </c>
      <c r="L372">
        <f>IFERROR(VLOOKUP(Prestamos[[#This Row],[ID Libro]],Inventario_Libros!A:E,5,0),"Libro No Existe")</f>
        <v>1893</v>
      </c>
      <c r="M372" t="str">
        <f>_xlfn.XLOOKUP(D:D,Inventario_Libros!A:A,Inventario_Libros!G:G,"No Existe",0)</f>
        <v>C-3</v>
      </c>
      <c r="N372" t="str">
        <f>IFERROR(VLOOKUP(Prestamos[[#This Row],[ID Libro]],Inventario_Libros!A:H,8,0),"Libro No Existe")</f>
        <v>Activo</v>
      </c>
    </row>
    <row r="373" spans="1:14" x14ac:dyDescent="0.3">
      <c r="A373" s="5" t="s">
        <v>900</v>
      </c>
      <c r="B373" s="1">
        <v>45732</v>
      </c>
      <c r="C373" s="1">
        <v>45757</v>
      </c>
      <c r="D373" s="4" t="s">
        <v>374</v>
      </c>
      <c r="E373" s="2" t="s">
        <v>261</v>
      </c>
      <c r="F373" s="2" t="s">
        <v>263</v>
      </c>
      <c r="G373" s="2" t="s">
        <v>257</v>
      </c>
      <c r="H373" s="3">
        <v>10</v>
      </c>
      <c r="I373" t="str">
        <f>IFERROR(VLOOKUP(Prestamos[[#This Row],[ID Libro]],Inventario_Libros!A:B,2,0),"Libro No Existe")</f>
        <v>La Casa De Los Espíritus</v>
      </c>
      <c r="J373" t="str">
        <f>IFERROR(VLOOKUP(Prestamos[[#This Row],[ID Libro]],Inventario_Libros!A:C,3,0),"Libro No Existe")</f>
        <v>Isabel Allende</v>
      </c>
      <c r="K373" t="str">
        <f>IFERROR(VLOOKUP(Prestamos[[#This Row],[ID Libro]],Inventario_Libros!A:D,4,0),"Libro No Existe")</f>
        <v>Novela</v>
      </c>
      <c r="L373">
        <f>IFERROR(VLOOKUP(Prestamos[[#This Row],[ID Libro]],Inventario_Libros!A:E,5,0),"Libro No Existe")</f>
        <v>1938</v>
      </c>
      <c r="M373" t="str">
        <f>_xlfn.XLOOKUP(D:D,Inventario_Libros!A:A,Inventario_Libros!G:G,"No Existe",0)</f>
        <v>Est-1</v>
      </c>
      <c r="N373" t="str">
        <f>IFERROR(VLOOKUP(Prestamos[[#This Row],[ID Libro]],Inventario_Libros!A:H,8,0),"Libro No Existe")</f>
        <v>Activo</v>
      </c>
    </row>
    <row r="374" spans="1:14" x14ac:dyDescent="0.3">
      <c r="A374" s="5" t="s">
        <v>901</v>
      </c>
      <c r="B374" s="1">
        <v>45791</v>
      </c>
      <c r="C374" s="1">
        <v>45808</v>
      </c>
      <c r="D374" s="4" t="s">
        <v>501</v>
      </c>
      <c r="E374" s="2" t="s">
        <v>251</v>
      </c>
      <c r="F374" s="2" t="s">
        <v>258</v>
      </c>
      <c r="G374" s="2" t="s">
        <v>257</v>
      </c>
      <c r="H374" s="3">
        <v>2</v>
      </c>
      <c r="I374" t="str">
        <f>IFERROR(VLOOKUP(Prestamos[[#This Row],[ID Libro]],Inventario_Libros!A:B,2,0),"Libro No Existe")</f>
        <v>Rebelión En La Granja</v>
      </c>
      <c r="J374" t="str">
        <f>IFERROR(VLOOKUP(Prestamos[[#This Row],[ID Libro]],Inventario_Libros!A:C,3,0),"Libro No Existe")</f>
        <v>George Orwell</v>
      </c>
      <c r="K374" t="str">
        <f>IFERROR(VLOOKUP(Prestamos[[#This Row],[ID Libro]],Inventario_Libros!A:D,4,0),"Libro No Existe")</f>
        <v>Ciencia Ficción</v>
      </c>
      <c r="L374">
        <f>IFERROR(VLOOKUP(Prestamos[[#This Row],[ID Libro]],Inventario_Libros!A:E,5,0),"Libro No Existe")</f>
        <v>1999</v>
      </c>
      <c r="M374" t="str">
        <f>_xlfn.XLOOKUP(D:D,Inventario_Libros!A:A,Inventario_Libros!G:G,"No Existe",0)</f>
        <v>Est-1</v>
      </c>
      <c r="N374" t="str">
        <f>IFERROR(VLOOKUP(Prestamos[[#This Row],[ID Libro]],Inventario_Libros!A:H,8,0),"Libro No Existe")</f>
        <v>Retirado</v>
      </c>
    </row>
    <row r="375" spans="1:14" x14ac:dyDescent="0.3">
      <c r="A375" s="5" t="s">
        <v>902</v>
      </c>
      <c r="B375" s="1">
        <v>45763</v>
      </c>
      <c r="C375" s="1">
        <v>45780</v>
      </c>
      <c r="D375" s="4" t="s">
        <v>502</v>
      </c>
      <c r="E375" s="2" t="s">
        <v>262</v>
      </c>
      <c r="F375" s="2" t="s">
        <v>263</v>
      </c>
      <c r="G375" s="2" t="s">
        <v>257</v>
      </c>
      <c r="H375" s="3">
        <v>2</v>
      </c>
      <c r="I375" t="str">
        <f>IFERROR(VLOOKUP(Prestamos[[#This Row],[ID Libro]],Inventario_Libros!A:B,2,0),"Libro No Existe")</f>
        <v>Hamlet</v>
      </c>
      <c r="J375" t="str">
        <f>IFERROR(VLOOKUP(Prestamos[[#This Row],[ID Libro]],Inventario_Libros!A:C,3,0),"Libro No Existe")</f>
        <v>William Shakespeare</v>
      </c>
      <c r="K375" t="str">
        <f>IFERROR(VLOOKUP(Prestamos[[#This Row],[ID Libro]],Inventario_Libros!A:D,4,0),"Libro No Existe")</f>
        <v>Clásicos</v>
      </c>
      <c r="L375">
        <f>IFERROR(VLOOKUP(Prestamos[[#This Row],[ID Libro]],Inventario_Libros!A:E,5,0),"Libro No Existe")</f>
        <v>1880</v>
      </c>
      <c r="M375" t="str">
        <f>_xlfn.XLOOKUP(D:D,Inventario_Libros!A:A,Inventario_Libros!G:G,"No Existe",0)</f>
        <v>B-2</v>
      </c>
      <c r="N375" t="str">
        <f>IFERROR(VLOOKUP(Prestamos[[#This Row],[ID Libro]],Inventario_Libros!A:H,8,0),"Libro No Existe")</f>
        <v>Activo</v>
      </c>
    </row>
    <row r="376" spans="1:14" x14ac:dyDescent="0.3">
      <c r="A376" s="5" t="s">
        <v>903</v>
      </c>
      <c r="B376" s="1">
        <v>45973</v>
      </c>
      <c r="C376" s="1">
        <v>45990</v>
      </c>
      <c r="D376" s="4" t="s">
        <v>391</v>
      </c>
      <c r="E376" s="2" t="s">
        <v>273</v>
      </c>
      <c r="F376" s="2" t="s">
        <v>258</v>
      </c>
      <c r="G376" s="2" t="s">
        <v>257</v>
      </c>
      <c r="H376" s="3">
        <v>2</v>
      </c>
      <c r="I376" t="str">
        <f>IFERROR(VLOOKUP(Prestamos[[#This Row],[ID Libro]],Inventario_Libros!A:B,2,0),"Libro No Existe")</f>
        <v>El Código Da Vinci</v>
      </c>
      <c r="J376" t="str">
        <f>IFERROR(VLOOKUP(Prestamos[[#This Row],[ID Libro]],Inventario_Libros!A:C,3,0),"Libro No Existe")</f>
        <v>Dan Brown</v>
      </c>
      <c r="K376" t="str">
        <f>IFERROR(VLOOKUP(Prestamos[[#This Row],[ID Libro]],Inventario_Libros!A:D,4,0),"Libro No Existe")</f>
        <v>Misterio</v>
      </c>
      <c r="L376">
        <f>IFERROR(VLOOKUP(Prestamos[[#This Row],[ID Libro]],Inventario_Libros!A:E,5,0),"Libro No Existe")</f>
        <v>1935</v>
      </c>
      <c r="M376" t="str">
        <f>_xlfn.XLOOKUP(D:D,Inventario_Libros!A:A,Inventario_Libros!G:G,"No Existe",0)</f>
        <v>A-1</v>
      </c>
      <c r="N376" t="str">
        <f>IFERROR(VLOOKUP(Prestamos[[#This Row],[ID Libro]],Inventario_Libros!A:H,8,0),"Libro No Existe")</f>
        <v>Retirado</v>
      </c>
    </row>
    <row r="377" spans="1:14" x14ac:dyDescent="0.3">
      <c r="A377" s="5" t="s">
        <v>904</v>
      </c>
      <c r="B377" s="1">
        <v>45681</v>
      </c>
      <c r="C377" s="1">
        <v>45700</v>
      </c>
      <c r="D377" s="4" t="s">
        <v>501</v>
      </c>
      <c r="E377" s="2" t="s">
        <v>256</v>
      </c>
      <c r="F377" s="2" t="s">
        <v>263</v>
      </c>
      <c r="G377" s="2" t="s">
        <v>253</v>
      </c>
      <c r="H377" s="3">
        <v>4</v>
      </c>
      <c r="I377" t="str">
        <f>IFERROR(VLOOKUP(Prestamos[[#This Row],[ID Libro]],Inventario_Libros!A:B,2,0),"Libro No Existe")</f>
        <v>Rebelión En La Granja</v>
      </c>
      <c r="J377" t="str">
        <f>IFERROR(VLOOKUP(Prestamos[[#This Row],[ID Libro]],Inventario_Libros!A:C,3,0),"Libro No Existe")</f>
        <v>George Orwell</v>
      </c>
      <c r="K377" t="str">
        <f>IFERROR(VLOOKUP(Prestamos[[#This Row],[ID Libro]],Inventario_Libros!A:D,4,0),"Libro No Existe")</f>
        <v>Ciencia Ficción</v>
      </c>
      <c r="L377">
        <f>IFERROR(VLOOKUP(Prestamos[[#This Row],[ID Libro]],Inventario_Libros!A:E,5,0),"Libro No Existe")</f>
        <v>1999</v>
      </c>
      <c r="M377" t="str">
        <f>_xlfn.XLOOKUP(D:D,Inventario_Libros!A:A,Inventario_Libros!G:G,"No Existe",0)</f>
        <v>Est-1</v>
      </c>
      <c r="N377" t="str">
        <f>IFERROR(VLOOKUP(Prestamos[[#This Row],[ID Libro]],Inventario_Libros!A:H,8,0),"Libro No Existe")</f>
        <v>Retirado</v>
      </c>
    </row>
    <row r="378" spans="1:14" x14ac:dyDescent="0.3">
      <c r="A378" s="5" t="s">
        <v>905</v>
      </c>
      <c r="B378" s="1">
        <v>45928</v>
      </c>
      <c r="C378" s="1">
        <v>45947</v>
      </c>
      <c r="D378" s="4" t="s">
        <v>503</v>
      </c>
      <c r="E378" s="2" t="s">
        <v>273</v>
      </c>
      <c r="F378" s="2" t="s">
        <v>258</v>
      </c>
      <c r="G378" s="2" t="s">
        <v>279</v>
      </c>
      <c r="H378" s="3" t="s">
        <v>289</v>
      </c>
      <c r="I378" t="str">
        <f>IFERROR(VLOOKUP(Prestamos[[#This Row],[ID Libro]],Inventario_Libros!A:B,2,0),"Libro No Existe")</f>
        <v>Macbeth</v>
      </c>
      <c r="J378" t="str">
        <f>IFERROR(VLOOKUP(Prestamos[[#This Row],[ID Libro]],Inventario_Libros!A:C,3,0),"Libro No Existe")</f>
        <v>William Shakespeare</v>
      </c>
      <c r="K378" t="str">
        <f>IFERROR(VLOOKUP(Prestamos[[#This Row],[ID Libro]],Inventario_Libros!A:D,4,0),"Libro No Existe")</f>
        <v>Clásicos</v>
      </c>
      <c r="L378">
        <f>IFERROR(VLOOKUP(Prestamos[[#This Row],[ID Libro]],Inventario_Libros!A:E,5,0),"Libro No Existe")</f>
        <v>1966</v>
      </c>
      <c r="M378" t="str">
        <f>_xlfn.XLOOKUP(D:D,Inventario_Libros!A:A,Inventario_Libros!G:G,"No Existe",0)</f>
        <v>No Asignado</v>
      </c>
      <c r="N378" t="str">
        <f>IFERROR(VLOOKUP(Prestamos[[#This Row],[ID Libro]],Inventario_Libros!A:H,8,0),"Libro No Existe")</f>
        <v>Activo</v>
      </c>
    </row>
    <row r="379" spans="1:14" x14ac:dyDescent="0.3">
      <c r="A379" s="5" t="s">
        <v>906</v>
      </c>
      <c r="B379" s="1">
        <v>45668</v>
      </c>
      <c r="C379" s="1" t="s">
        <v>289</v>
      </c>
      <c r="D379" s="4" t="s">
        <v>334</v>
      </c>
      <c r="E379" s="2" t="s">
        <v>277</v>
      </c>
      <c r="F379" s="2" t="s">
        <v>263</v>
      </c>
      <c r="G379" s="2" t="s">
        <v>257</v>
      </c>
      <c r="H379" s="3">
        <v>5</v>
      </c>
      <c r="I379" t="str">
        <f>IFERROR(VLOOKUP(Prestamos[[#This Row],[ID Libro]],Inventario_Libros!A:B,2,0),"Libro No Existe")</f>
        <v>Rayuela</v>
      </c>
      <c r="J379" t="str">
        <f>IFERROR(VLOOKUP(Prestamos[[#This Row],[ID Libro]],Inventario_Libros!A:C,3,0),"Libro No Existe")</f>
        <v>Julio Cortázar</v>
      </c>
      <c r="K379" t="str">
        <f>IFERROR(VLOOKUP(Prestamos[[#This Row],[ID Libro]],Inventario_Libros!A:D,4,0),"Libro No Existe")</f>
        <v>Novela</v>
      </c>
      <c r="L379">
        <f>IFERROR(VLOOKUP(Prestamos[[#This Row],[ID Libro]],Inventario_Libros!A:E,5,0),"Libro No Existe")</f>
        <v>2018</v>
      </c>
      <c r="M379" t="str">
        <f>_xlfn.XLOOKUP(D:D,Inventario_Libros!A:A,Inventario_Libros!G:G,"No Existe",0)</f>
        <v>B-2</v>
      </c>
      <c r="N379" t="str">
        <f>IFERROR(VLOOKUP(Prestamos[[#This Row],[ID Libro]],Inventario_Libros!A:H,8,0),"Libro No Existe")</f>
        <v>Retirado</v>
      </c>
    </row>
    <row r="380" spans="1:14" x14ac:dyDescent="0.3">
      <c r="A380" s="5" t="s">
        <v>907</v>
      </c>
      <c r="B380" s="1">
        <v>45719</v>
      </c>
      <c r="C380" s="1">
        <v>45736</v>
      </c>
      <c r="D380" s="4" t="s">
        <v>504</v>
      </c>
      <c r="E380" s="2" t="s">
        <v>267</v>
      </c>
      <c r="F380" s="2" t="s">
        <v>258</v>
      </c>
      <c r="G380" s="2" t="s">
        <v>257</v>
      </c>
      <c r="H380" s="3">
        <v>2</v>
      </c>
      <c r="I380" t="str">
        <f>IFERROR(VLOOKUP(Prestamos[[#This Row],[ID Libro]],Inventario_Libros!A:B,2,0),"Libro No Existe")</f>
        <v>La Sombra Del Viento</v>
      </c>
      <c r="J380" t="str">
        <f>IFERROR(VLOOKUP(Prestamos[[#This Row],[ID Libro]],Inventario_Libros!A:C,3,0),"Libro No Existe")</f>
        <v>Carlos Ruiz Zafón</v>
      </c>
      <c r="K380" t="str">
        <f>IFERROR(VLOOKUP(Prestamos[[#This Row],[ID Libro]],Inventario_Libros!A:D,4,0),"Libro No Existe")</f>
        <v>Misterio</v>
      </c>
      <c r="L380">
        <f>IFERROR(VLOOKUP(Prestamos[[#This Row],[ID Libro]],Inventario_Libros!A:E,5,0),"Libro No Existe")</f>
        <v>1944</v>
      </c>
      <c r="M380" t="str">
        <f>_xlfn.XLOOKUP(D:D,Inventario_Libros!A:A,Inventario_Libros!G:G,"No Existe",0)</f>
        <v>Est-1</v>
      </c>
      <c r="N380" t="str">
        <f>IFERROR(VLOOKUP(Prestamos[[#This Row],[ID Libro]],Inventario_Libros!A:H,8,0),"Libro No Existe")</f>
        <v>Activo</v>
      </c>
    </row>
    <row r="381" spans="1:14" x14ac:dyDescent="0.3">
      <c r="A381" s="5" t="s">
        <v>908</v>
      </c>
      <c r="B381" s="1">
        <v>45847</v>
      </c>
      <c r="C381" s="1">
        <v>45867</v>
      </c>
      <c r="D381" s="4" t="s">
        <v>354</v>
      </c>
      <c r="E381" s="2" t="s">
        <v>259</v>
      </c>
      <c r="F381" s="2" t="s">
        <v>275</v>
      </c>
      <c r="G381" s="2" t="s">
        <v>253</v>
      </c>
      <c r="H381" s="3">
        <v>5</v>
      </c>
      <c r="I381" t="str">
        <f>IFERROR(VLOOKUP(Prestamos[[#This Row],[ID Libro]],Inventario_Libros!A:B,2,0),"Libro No Existe")</f>
        <v>La Sombra Del Viento</v>
      </c>
      <c r="J381" t="str">
        <f>IFERROR(VLOOKUP(Prestamos[[#This Row],[ID Libro]],Inventario_Libros!A:C,3,0),"Libro No Existe")</f>
        <v>Carlos Ruiz Zafón</v>
      </c>
      <c r="K381" t="str">
        <f>IFERROR(VLOOKUP(Prestamos[[#This Row],[ID Libro]],Inventario_Libros!A:D,4,0),"Libro No Existe")</f>
        <v>Misterio</v>
      </c>
      <c r="L381">
        <f>IFERROR(VLOOKUP(Prestamos[[#This Row],[ID Libro]],Inventario_Libros!A:E,5,0),"Libro No Existe")</f>
        <v>2022</v>
      </c>
      <c r="M381" t="str">
        <f>_xlfn.XLOOKUP(D:D,Inventario_Libros!A:A,Inventario_Libros!G:G,"No Existe",0)</f>
        <v>Est-1</v>
      </c>
      <c r="N381" t="str">
        <f>IFERROR(VLOOKUP(Prestamos[[#This Row],[ID Libro]],Inventario_Libros!A:H,8,0),"Libro No Existe")</f>
        <v>Activo</v>
      </c>
    </row>
    <row r="382" spans="1:14" x14ac:dyDescent="0.3">
      <c r="A382" s="5" t="s">
        <v>909</v>
      </c>
      <c r="B382" s="1">
        <v>45676</v>
      </c>
      <c r="C382" s="1" t="s">
        <v>289</v>
      </c>
      <c r="D382" s="4" t="s">
        <v>503</v>
      </c>
      <c r="E382" s="2" t="s">
        <v>273</v>
      </c>
      <c r="F382" s="2" t="s">
        <v>263</v>
      </c>
      <c r="G382" s="2" t="s">
        <v>257</v>
      </c>
      <c r="H382" s="3">
        <v>5</v>
      </c>
      <c r="I382" t="str">
        <f>IFERROR(VLOOKUP(Prestamos[[#This Row],[ID Libro]],Inventario_Libros!A:B,2,0),"Libro No Existe")</f>
        <v>Macbeth</v>
      </c>
      <c r="J382" t="str">
        <f>IFERROR(VLOOKUP(Prestamos[[#This Row],[ID Libro]],Inventario_Libros!A:C,3,0),"Libro No Existe")</f>
        <v>William Shakespeare</v>
      </c>
      <c r="K382" t="str">
        <f>IFERROR(VLOOKUP(Prestamos[[#This Row],[ID Libro]],Inventario_Libros!A:D,4,0),"Libro No Existe")</f>
        <v>Clásicos</v>
      </c>
      <c r="L382">
        <f>IFERROR(VLOOKUP(Prestamos[[#This Row],[ID Libro]],Inventario_Libros!A:E,5,0),"Libro No Existe")</f>
        <v>1966</v>
      </c>
      <c r="M382" t="str">
        <f>_xlfn.XLOOKUP(D:D,Inventario_Libros!A:A,Inventario_Libros!G:G,"No Existe",0)</f>
        <v>No Asignado</v>
      </c>
      <c r="N382" t="str">
        <f>IFERROR(VLOOKUP(Prestamos[[#This Row],[ID Libro]],Inventario_Libros!A:H,8,0),"Libro No Existe")</f>
        <v>Activo</v>
      </c>
    </row>
    <row r="383" spans="1:14" x14ac:dyDescent="0.3">
      <c r="A383" s="5" t="s">
        <v>910</v>
      </c>
      <c r="B383" s="1">
        <v>45724</v>
      </c>
      <c r="C383" s="1">
        <v>45744</v>
      </c>
      <c r="D383" s="4" t="s">
        <v>446</v>
      </c>
      <c r="E383" s="2" t="s">
        <v>262</v>
      </c>
      <c r="F383" s="2" t="s">
        <v>275</v>
      </c>
      <c r="G383" s="2" t="s">
        <v>257</v>
      </c>
      <c r="H383" s="3">
        <v>5</v>
      </c>
      <c r="I383" t="str">
        <f>IFERROR(VLOOKUP(Prestamos[[#This Row],[ID Libro]],Inventario_Libros!A:B,2,0),"Libro No Existe")</f>
        <v>Los Detectives Salvajes</v>
      </c>
      <c r="J383" t="str">
        <f>IFERROR(VLOOKUP(Prestamos[[#This Row],[ID Libro]],Inventario_Libros!A:C,3,0),"Libro No Existe")</f>
        <v>Roberto Bolaño</v>
      </c>
      <c r="K383" t="str">
        <f>IFERROR(VLOOKUP(Prestamos[[#This Row],[ID Libro]],Inventario_Libros!A:D,4,0),"Libro No Existe")</f>
        <v>Novela</v>
      </c>
      <c r="L383">
        <f>IFERROR(VLOOKUP(Prestamos[[#This Row],[ID Libro]],Inventario_Libros!A:E,5,0),"Libro No Existe")</f>
        <v>1899</v>
      </c>
      <c r="M383" t="str">
        <f>_xlfn.XLOOKUP(D:D,Inventario_Libros!A:A,Inventario_Libros!G:G,"No Existe",0)</f>
        <v>A-1</v>
      </c>
      <c r="N383" t="str">
        <f>IFERROR(VLOOKUP(Prestamos[[#This Row],[ID Libro]],Inventario_Libros!A:H,8,0),"Libro No Existe")</f>
        <v>Retirado</v>
      </c>
    </row>
    <row r="384" spans="1:14" x14ac:dyDescent="0.3">
      <c r="A384" s="5" t="s">
        <v>911</v>
      </c>
      <c r="B384" s="1">
        <v>45819</v>
      </c>
      <c r="C384" s="1">
        <v>45839</v>
      </c>
      <c r="D384" s="4" t="s">
        <v>488</v>
      </c>
      <c r="E384" s="2" t="s">
        <v>272</v>
      </c>
      <c r="F384" s="2" t="s">
        <v>258</v>
      </c>
      <c r="G384" s="2" t="s">
        <v>253</v>
      </c>
      <c r="H384" s="3">
        <v>5</v>
      </c>
      <c r="I384" t="str">
        <f>IFERROR(VLOOKUP(Prestamos[[#This Row],[ID Libro]],Inventario_Libros!A:B,2,0),"Libro No Existe")</f>
        <v>Matar A Un Ruiseñor</v>
      </c>
      <c r="J384" t="str">
        <f>IFERROR(VLOOKUP(Prestamos[[#This Row],[ID Libro]],Inventario_Libros!A:C,3,0),"Libro No Existe")</f>
        <v>Harper Lee</v>
      </c>
      <c r="K384" t="str">
        <f>IFERROR(VLOOKUP(Prestamos[[#This Row],[ID Libro]],Inventario_Libros!A:D,4,0),"Libro No Existe")</f>
        <v>Novela</v>
      </c>
      <c r="L384">
        <f>IFERROR(VLOOKUP(Prestamos[[#This Row],[ID Libro]],Inventario_Libros!A:E,5,0),"Libro No Existe")</f>
        <v>1972</v>
      </c>
      <c r="M384" t="str">
        <f>_xlfn.XLOOKUP(D:D,Inventario_Libros!A:A,Inventario_Libros!G:G,"No Existe",0)</f>
        <v>B-2</v>
      </c>
      <c r="N384" t="str">
        <f>IFERROR(VLOOKUP(Prestamos[[#This Row],[ID Libro]],Inventario_Libros!A:H,8,0),"Libro No Existe")</f>
        <v>Retirado</v>
      </c>
    </row>
    <row r="385" spans="1:14" x14ac:dyDescent="0.3">
      <c r="A385" s="5" t="s">
        <v>912</v>
      </c>
      <c r="B385" s="1">
        <v>45733</v>
      </c>
      <c r="C385" s="1">
        <v>45753</v>
      </c>
      <c r="D385" s="4" t="s">
        <v>349</v>
      </c>
      <c r="E385" s="2" t="s">
        <v>270</v>
      </c>
      <c r="F385" s="2" t="s">
        <v>263</v>
      </c>
      <c r="G385" s="2" t="s">
        <v>257</v>
      </c>
      <c r="H385" s="3">
        <v>5</v>
      </c>
      <c r="I385" t="str">
        <f>IFERROR(VLOOKUP(Prestamos[[#This Row],[ID Libro]],Inventario_Libros!A:B,2,0),"Libro No Existe")</f>
        <v>Los Detectives Salvajes</v>
      </c>
      <c r="J385" t="str">
        <f>IFERROR(VLOOKUP(Prestamos[[#This Row],[ID Libro]],Inventario_Libros!A:C,3,0),"Libro No Existe")</f>
        <v>Roberto Bolaño</v>
      </c>
      <c r="K385" t="str">
        <f>IFERROR(VLOOKUP(Prestamos[[#This Row],[ID Libro]],Inventario_Libros!A:D,4,0),"Libro No Existe")</f>
        <v>Novela</v>
      </c>
      <c r="L385">
        <f>IFERROR(VLOOKUP(Prestamos[[#This Row],[ID Libro]],Inventario_Libros!A:E,5,0),"Libro No Existe")</f>
        <v>1914</v>
      </c>
      <c r="M385" t="str">
        <f>_xlfn.XLOOKUP(D:D,Inventario_Libros!A:A,Inventario_Libros!G:G,"No Existe",0)</f>
        <v>C-3</v>
      </c>
      <c r="N385" t="str">
        <f>IFERROR(VLOOKUP(Prestamos[[#This Row],[ID Libro]],Inventario_Libros!A:H,8,0),"Libro No Existe")</f>
        <v>Retirado</v>
      </c>
    </row>
    <row r="386" spans="1:14" x14ac:dyDescent="0.3">
      <c r="A386" s="5" t="s">
        <v>913</v>
      </c>
      <c r="B386" s="1">
        <v>45909</v>
      </c>
      <c r="C386" s="1">
        <v>45929</v>
      </c>
      <c r="D386" s="4" t="s">
        <v>505</v>
      </c>
      <c r="E386" s="2" t="s">
        <v>272</v>
      </c>
      <c r="F386" s="2" t="s">
        <v>275</v>
      </c>
      <c r="G386" s="2" t="s">
        <v>253</v>
      </c>
      <c r="H386" s="3">
        <v>5</v>
      </c>
      <c r="I386" t="str">
        <f>IFERROR(VLOOKUP(Prestamos[[#This Row],[ID Libro]],Inventario_Libros!A:B,2,0),"Libro No Existe")</f>
        <v>La Ciudad Y Los Perros</v>
      </c>
      <c r="J386" t="str">
        <f>IFERROR(VLOOKUP(Prestamos[[#This Row],[ID Libro]],Inventario_Libros!A:C,3,0),"Libro No Existe")</f>
        <v>Mario Vargas Llosa</v>
      </c>
      <c r="K386" t="str">
        <f>IFERROR(VLOOKUP(Prestamos[[#This Row],[ID Libro]],Inventario_Libros!A:D,4,0),"Libro No Existe")</f>
        <v>Novela</v>
      </c>
      <c r="L386">
        <f>IFERROR(VLOOKUP(Prestamos[[#This Row],[ID Libro]],Inventario_Libros!A:E,5,0),"Libro No Existe")</f>
        <v>2018</v>
      </c>
      <c r="M386" t="str">
        <f>_xlfn.XLOOKUP(D:D,Inventario_Libros!A:A,Inventario_Libros!G:G,"No Existe",0)</f>
        <v>Est-1</v>
      </c>
      <c r="N386" t="str">
        <f>IFERROR(VLOOKUP(Prestamos[[#This Row],[ID Libro]],Inventario_Libros!A:H,8,0),"Libro No Existe")</f>
        <v>Retirado</v>
      </c>
    </row>
    <row r="387" spans="1:14" x14ac:dyDescent="0.3">
      <c r="A387" s="5" t="s">
        <v>914</v>
      </c>
      <c r="B387" s="1">
        <v>45742</v>
      </c>
      <c r="C387" s="1">
        <v>45762</v>
      </c>
      <c r="D387" s="4" t="s">
        <v>436</v>
      </c>
      <c r="E387" s="2" t="s">
        <v>266</v>
      </c>
      <c r="F387" s="2" t="s">
        <v>275</v>
      </c>
      <c r="G387" s="2" t="s">
        <v>253</v>
      </c>
      <c r="H387" s="3">
        <v>5</v>
      </c>
      <c r="I387" t="str">
        <f>IFERROR(VLOOKUP(Prestamos[[#This Row],[ID Libro]],Inventario_Libros!A:B,2,0),"Libro No Existe")</f>
        <v>Los Detectives Salvajes</v>
      </c>
      <c r="J387" t="str">
        <f>IFERROR(VLOOKUP(Prestamos[[#This Row],[ID Libro]],Inventario_Libros!A:C,3,0),"Libro No Existe")</f>
        <v>Roberto Bolaño</v>
      </c>
      <c r="K387" t="str">
        <f>IFERROR(VLOOKUP(Prestamos[[#This Row],[ID Libro]],Inventario_Libros!A:D,4,0),"Libro No Existe")</f>
        <v>Novela</v>
      </c>
      <c r="L387">
        <f>IFERROR(VLOOKUP(Prestamos[[#This Row],[ID Libro]],Inventario_Libros!A:E,5,0),"Libro No Existe")</f>
        <v>1978</v>
      </c>
      <c r="M387" t="str">
        <f>_xlfn.XLOOKUP(D:D,Inventario_Libros!A:A,Inventario_Libros!G:G,"No Existe",0)</f>
        <v>Est-1</v>
      </c>
      <c r="N387" t="str">
        <f>IFERROR(VLOOKUP(Prestamos[[#This Row],[ID Libro]],Inventario_Libros!A:H,8,0),"Libro No Existe")</f>
        <v>Retirado</v>
      </c>
    </row>
    <row r="388" spans="1:14" x14ac:dyDescent="0.3">
      <c r="A388" s="5" t="s">
        <v>915</v>
      </c>
      <c r="B388" s="1">
        <v>45841</v>
      </c>
      <c r="C388" s="1">
        <v>45861</v>
      </c>
      <c r="D388" s="4" t="s">
        <v>395</v>
      </c>
      <c r="E388" s="2" t="s">
        <v>288</v>
      </c>
      <c r="F388" s="2" t="s">
        <v>255</v>
      </c>
      <c r="G388" s="2" t="s">
        <v>253</v>
      </c>
      <c r="H388" s="3">
        <v>5</v>
      </c>
      <c r="I388" t="str">
        <f>IFERROR(VLOOKUP(Prestamos[[#This Row],[ID Libro]],Inventario_Libros!A:B,2,0),"Libro No Existe")</f>
        <v>Orgullo Y Prejuicio</v>
      </c>
      <c r="J388" t="str">
        <f>IFERROR(VLOOKUP(Prestamos[[#This Row],[ID Libro]],Inventario_Libros!A:C,3,0),"Libro No Existe")</f>
        <v>Jane Austen</v>
      </c>
      <c r="K388" t="str">
        <f>IFERROR(VLOOKUP(Prestamos[[#This Row],[ID Libro]],Inventario_Libros!A:D,4,0),"Libro No Existe")</f>
        <v>Novela</v>
      </c>
      <c r="L388">
        <f>IFERROR(VLOOKUP(Prestamos[[#This Row],[ID Libro]],Inventario_Libros!A:E,5,0),"Libro No Existe")</f>
        <v>2019</v>
      </c>
      <c r="M388" t="str">
        <f>_xlfn.XLOOKUP(D:D,Inventario_Libros!A:A,Inventario_Libros!G:G,"No Existe",0)</f>
        <v>Est-1</v>
      </c>
      <c r="N388" t="str">
        <f>IFERROR(VLOOKUP(Prestamos[[#This Row],[ID Libro]],Inventario_Libros!A:H,8,0),"Libro No Existe")</f>
        <v>Retirado</v>
      </c>
    </row>
    <row r="389" spans="1:14" x14ac:dyDescent="0.3">
      <c r="A389" s="5" t="s">
        <v>916</v>
      </c>
      <c r="B389" s="1">
        <v>45849</v>
      </c>
      <c r="C389" s="1">
        <v>45867</v>
      </c>
      <c r="D389" s="4" t="s">
        <v>506</v>
      </c>
      <c r="E389" s="2" t="s">
        <v>272</v>
      </c>
      <c r="F389" s="2" t="s">
        <v>258</v>
      </c>
      <c r="G389" s="2" t="s">
        <v>257</v>
      </c>
      <c r="H389" s="3">
        <v>3</v>
      </c>
      <c r="I389" t="str">
        <f>IFERROR(VLOOKUP(Prestamos[[#This Row],[ID Libro]],Inventario_Libros!A:B,2,0),"Libro No Existe")</f>
        <v>Libro No Existe</v>
      </c>
      <c r="J389" t="str">
        <f>IFERROR(VLOOKUP(Prestamos[[#This Row],[ID Libro]],Inventario_Libros!A:C,3,0),"Libro No Existe")</f>
        <v>Libro No Existe</v>
      </c>
      <c r="K389" t="str">
        <f>IFERROR(VLOOKUP(Prestamos[[#This Row],[ID Libro]],Inventario_Libros!A:D,4,0),"Libro No Existe")</f>
        <v>Libro No Existe</v>
      </c>
      <c r="L389" t="str">
        <f>IFERROR(VLOOKUP(Prestamos[[#This Row],[ID Libro]],Inventario_Libros!A:E,5,0),"Libro No Existe")</f>
        <v>Libro No Existe</v>
      </c>
      <c r="M389" t="str">
        <f>_xlfn.XLOOKUP(D:D,Inventario_Libros!A:A,Inventario_Libros!G:G,"No Existe",0)</f>
        <v>No Existe</v>
      </c>
      <c r="N389" t="str">
        <f>IFERROR(VLOOKUP(Prestamos[[#This Row],[ID Libro]],Inventario_Libros!A:H,8,0),"Libro No Existe")</f>
        <v>Libro No Existe</v>
      </c>
    </row>
    <row r="390" spans="1:14" x14ac:dyDescent="0.3">
      <c r="A390" s="5" t="s">
        <v>917</v>
      </c>
      <c r="B390" s="1">
        <v>45906</v>
      </c>
      <c r="C390" s="1">
        <v>45927</v>
      </c>
      <c r="D390" s="4" t="s">
        <v>462</v>
      </c>
      <c r="E390" s="2" t="s">
        <v>281</v>
      </c>
      <c r="F390" s="2" t="s">
        <v>263</v>
      </c>
      <c r="G390" s="2" t="s">
        <v>253</v>
      </c>
      <c r="H390" s="3">
        <v>6</v>
      </c>
      <c r="I390" t="str">
        <f>IFERROR(VLOOKUP(Prestamos[[#This Row],[ID Libro]],Inventario_Libros!A:B,2,0),"Libro No Existe")</f>
        <v>Macbeth</v>
      </c>
      <c r="J390" t="str">
        <f>IFERROR(VLOOKUP(Prestamos[[#This Row],[ID Libro]],Inventario_Libros!A:C,3,0),"Libro No Existe")</f>
        <v>William Shakespeare</v>
      </c>
      <c r="K390" t="str">
        <f>IFERROR(VLOOKUP(Prestamos[[#This Row],[ID Libro]],Inventario_Libros!A:D,4,0),"Libro No Existe")</f>
        <v>Clásicos</v>
      </c>
      <c r="L390">
        <f>IFERROR(VLOOKUP(Prestamos[[#This Row],[ID Libro]],Inventario_Libros!A:E,5,0),"Libro No Existe")</f>
        <v>1955</v>
      </c>
      <c r="M390" t="str">
        <f>_xlfn.XLOOKUP(D:D,Inventario_Libros!A:A,Inventario_Libros!G:G,"No Existe",0)</f>
        <v>Est-1</v>
      </c>
      <c r="N390" t="str">
        <f>IFERROR(VLOOKUP(Prestamos[[#This Row],[ID Libro]],Inventario_Libros!A:H,8,0),"Libro No Existe")</f>
        <v>Activo</v>
      </c>
    </row>
    <row r="391" spans="1:14" x14ac:dyDescent="0.3">
      <c r="A391" s="5" t="s">
        <v>918</v>
      </c>
      <c r="B391" s="1">
        <v>45856</v>
      </c>
      <c r="C391" s="1">
        <v>45877</v>
      </c>
      <c r="D391" s="4" t="s">
        <v>372</v>
      </c>
      <c r="E391" s="2" t="s">
        <v>266</v>
      </c>
      <c r="F391" s="2" t="s">
        <v>275</v>
      </c>
      <c r="G391" s="2" t="s">
        <v>253</v>
      </c>
      <c r="H391" s="3">
        <v>6</v>
      </c>
      <c r="I391" t="str">
        <f>IFERROR(VLOOKUP(Prestamos[[#This Row],[ID Libro]],Inventario_Libros!A:B,2,0),"Libro No Existe")</f>
        <v>Don Quijote De La Mancha</v>
      </c>
      <c r="J391" t="str">
        <f>IFERROR(VLOOKUP(Prestamos[[#This Row],[ID Libro]],Inventario_Libros!A:C,3,0),"Libro No Existe")</f>
        <v>Miguel De Cervantes</v>
      </c>
      <c r="K391" t="str">
        <f>IFERROR(VLOOKUP(Prestamos[[#This Row],[ID Libro]],Inventario_Libros!A:D,4,0),"Libro No Existe")</f>
        <v>Novela</v>
      </c>
      <c r="L391">
        <f>IFERROR(VLOOKUP(Prestamos[[#This Row],[ID Libro]],Inventario_Libros!A:E,5,0),"Libro No Existe")</f>
        <v>1944</v>
      </c>
      <c r="M391" t="str">
        <f>_xlfn.XLOOKUP(D:D,Inventario_Libros!A:A,Inventario_Libros!G:G,"No Existe",0)</f>
        <v>B-2</v>
      </c>
      <c r="N391" t="str">
        <f>IFERROR(VLOOKUP(Prestamos[[#This Row],[ID Libro]],Inventario_Libros!A:H,8,0),"Libro No Existe")</f>
        <v>Activo</v>
      </c>
    </row>
    <row r="392" spans="1:14" x14ac:dyDescent="0.3">
      <c r="A392" s="5" t="s">
        <v>919</v>
      </c>
      <c r="B392" s="1">
        <v>45675</v>
      </c>
      <c r="C392" s="1">
        <v>45696</v>
      </c>
      <c r="D392" s="4" t="s">
        <v>395</v>
      </c>
      <c r="E392" s="2" t="s">
        <v>266</v>
      </c>
      <c r="F392" s="2" t="s">
        <v>258</v>
      </c>
      <c r="G392" s="2" t="s">
        <v>279</v>
      </c>
      <c r="H392" s="3" t="s">
        <v>289</v>
      </c>
      <c r="I392" t="str">
        <f>IFERROR(VLOOKUP(Prestamos[[#This Row],[ID Libro]],Inventario_Libros!A:B,2,0),"Libro No Existe")</f>
        <v>Orgullo Y Prejuicio</v>
      </c>
      <c r="J392" t="str">
        <f>IFERROR(VLOOKUP(Prestamos[[#This Row],[ID Libro]],Inventario_Libros!A:C,3,0),"Libro No Existe")</f>
        <v>Jane Austen</v>
      </c>
      <c r="K392" t="str">
        <f>IFERROR(VLOOKUP(Prestamos[[#This Row],[ID Libro]],Inventario_Libros!A:D,4,0),"Libro No Existe")</f>
        <v>Novela</v>
      </c>
      <c r="L392">
        <f>IFERROR(VLOOKUP(Prestamos[[#This Row],[ID Libro]],Inventario_Libros!A:E,5,0),"Libro No Existe")</f>
        <v>2019</v>
      </c>
      <c r="M392" t="str">
        <f>_xlfn.XLOOKUP(D:D,Inventario_Libros!A:A,Inventario_Libros!G:G,"No Existe",0)</f>
        <v>Est-1</v>
      </c>
      <c r="N392" t="str">
        <f>IFERROR(VLOOKUP(Prestamos[[#This Row],[ID Libro]],Inventario_Libros!A:H,8,0),"Libro No Existe")</f>
        <v>Retirado</v>
      </c>
    </row>
    <row r="393" spans="1:14" x14ac:dyDescent="0.3">
      <c r="A393" s="5" t="s">
        <v>920</v>
      </c>
      <c r="B393" s="1">
        <v>45848</v>
      </c>
      <c r="C393" s="1">
        <v>45869</v>
      </c>
      <c r="D393" s="4" t="s">
        <v>476</v>
      </c>
      <c r="E393" s="2" t="s">
        <v>265</v>
      </c>
      <c r="F393" s="2" t="s">
        <v>263</v>
      </c>
      <c r="G393" s="2" t="s">
        <v>279</v>
      </c>
      <c r="H393" s="3" t="s">
        <v>289</v>
      </c>
      <c r="I393" t="str">
        <f>IFERROR(VLOOKUP(Prestamos[[#This Row],[ID Libro]],Inventario_Libros!A:B,2,0),"Libro No Existe")</f>
        <v>Pedro Páramo</v>
      </c>
      <c r="J393" t="str">
        <f>IFERROR(VLOOKUP(Prestamos[[#This Row],[ID Libro]],Inventario_Libros!A:C,3,0),"Libro No Existe")</f>
        <v>Juan Rulfo</v>
      </c>
      <c r="K393" t="str">
        <f>IFERROR(VLOOKUP(Prestamos[[#This Row],[ID Libro]],Inventario_Libros!A:D,4,0),"Libro No Existe")</f>
        <v>Novela</v>
      </c>
      <c r="L393">
        <f>IFERROR(VLOOKUP(Prestamos[[#This Row],[ID Libro]],Inventario_Libros!A:E,5,0),"Libro No Existe")</f>
        <v>1934</v>
      </c>
      <c r="M393" t="str">
        <f>_xlfn.XLOOKUP(D:D,Inventario_Libros!A:A,Inventario_Libros!G:G,"No Existe",0)</f>
        <v>Est-1</v>
      </c>
      <c r="N393" t="str">
        <f>IFERROR(VLOOKUP(Prestamos[[#This Row],[ID Libro]],Inventario_Libros!A:H,8,0),"Libro No Existe")</f>
        <v>Activo</v>
      </c>
    </row>
    <row r="394" spans="1:14" x14ac:dyDescent="0.3">
      <c r="A394" s="5" t="s">
        <v>921</v>
      </c>
      <c r="B394" s="1">
        <v>45692</v>
      </c>
      <c r="C394" s="1">
        <v>45713</v>
      </c>
      <c r="D394" s="4" t="s">
        <v>389</v>
      </c>
      <c r="E394" s="2" t="s">
        <v>261</v>
      </c>
      <c r="F394" s="2" t="s">
        <v>263</v>
      </c>
      <c r="G394" s="2" t="s">
        <v>279</v>
      </c>
      <c r="H394" s="3" t="s">
        <v>289</v>
      </c>
      <c r="I394" t="str">
        <f>IFERROR(VLOOKUP(Prestamos[[#This Row],[ID Libro]],Inventario_Libros!A:B,2,0),"Libro No Existe")</f>
        <v>Crónica De Una Muerte Anunciada</v>
      </c>
      <c r="J394" t="str">
        <f>IFERROR(VLOOKUP(Prestamos[[#This Row],[ID Libro]],Inventario_Libros!A:C,3,0),"Libro No Existe")</f>
        <v>Gabriel García Márquez</v>
      </c>
      <c r="K394" t="str">
        <f>IFERROR(VLOOKUP(Prestamos[[#This Row],[ID Libro]],Inventario_Libros!A:D,4,0),"Libro No Existe")</f>
        <v>Novela</v>
      </c>
      <c r="L394">
        <f>IFERROR(VLOOKUP(Prestamos[[#This Row],[ID Libro]],Inventario_Libros!A:E,5,0),"Libro No Existe")</f>
        <v>1957</v>
      </c>
      <c r="M394" t="str">
        <f>_xlfn.XLOOKUP(D:D,Inventario_Libros!A:A,Inventario_Libros!G:G,"No Existe",0)</f>
        <v>Est-1</v>
      </c>
      <c r="N394" t="str">
        <f>IFERROR(VLOOKUP(Prestamos[[#This Row],[ID Libro]],Inventario_Libros!A:H,8,0),"Libro No Existe")</f>
        <v>Activo</v>
      </c>
    </row>
    <row r="395" spans="1:14" x14ac:dyDescent="0.3">
      <c r="A395" s="5" t="s">
        <v>922</v>
      </c>
      <c r="B395" s="1">
        <v>45724</v>
      </c>
      <c r="C395" s="1">
        <v>45741</v>
      </c>
      <c r="D395" s="4" t="s">
        <v>425</v>
      </c>
      <c r="E395" s="2" t="s">
        <v>267</v>
      </c>
      <c r="F395" s="2" t="s">
        <v>263</v>
      </c>
      <c r="G395" s="2" t="s">
        <v>257</v>
      </c>
      <c r="H395" s="3">
        <v>2</v>
      </c>
      <c r="I395" t="str">
        <f>IFERROR(VLOOKUP(Prestamos[[#This Row],[ID Libro]],Inventario_Libros!A:B,2,0),"Libro No Existe")</f>
        <v>La Odisea</v>
      </c>
      <c r="J395" t="str">
        <f>IFERROR(VLOOKUP(Prestamos[[#This Row],[ID Libro]],Inventario_Libros!A:C,3,0),"Libro No Existe")</f>
        <v>Homero</v>
      </c>
      <c r="K395" t="str">
        <f>IFERROR(VLOOKUP(Prestamos[[#This Row],[ID Libro]],Inventario_Libros!A:D,4,0),"Libro No Existe")</f>
        <v>Clásicos</v>
      </c>
      <c r="L395">
        <f>IFERROR(VLOOKUP(Prestamos[[#This Row],[ID Libro]],Inventario_Libros!A:E,5,0),"Libro No Existe")</f>
        <v>1978</v>
      </c>
      <c r="M395" t="str">
        <f>_xlfn.XLOOKUP(D:D,Inventario_Libros!A:A,Inventario_Libros!G:G,"No Existe",0)</f>
        <v>A-1</v>
      </c>
      <c r="N395" t="str">
        <f>IFERROR(VLOOKUP(Prestamos[[#This Row],[ID Libro]],Inventario_Libros!A:H,8,0),"Libro No Existe")</f>
        <v>Retirado</v>
      </c>
    </row>
    <row r="396" spans="1:14" x14ac:dyDescent="0.3">
      <c r="A396" s="5" t="s">
        <v>923</v>
      </c>
      <c r="B396" s="1">
        <v>45726</v>
      </c>
      <c r="C396" s="1">
        <v>45747</v>
      </c>
      <c r="D396" s="4" t="s">
        <v>419</v>
      </c>
      <c r="E396" s="2" t="s">
        <v>270</v>
      </c>
      <c r="F396" s="2" t="s">
        <v>255</v>
      </c>
      <c r="G396" s="2" t="s">
        <v>253</v>
      </c>
      <c r="H396" s="3">
        <v>6</v>
      </c>
      <c r="I396" t="str">
        <f>IFERROR(VLOOKUP(Prestamos[[#This Row],[ID Libro]],Inventario_Libros!A:B,2,0),"Libro No Existe")</f>
        <v>Matar A Un Ruiseñor</v>
      </c>
      <c r="J396" t="str">
        <f>IFERROR(VLOOKUP(Prestamos[[#This Row],[ID Libro]],Inventario_Libros!A:C,3,0),"Libro No Existe")</f>
        <v>Harper Lee</v>
      </c>
      <c r="K396" t="str">
        <f>IFERROR(VLOOKUP(Prestamos[[#This Row],[ID Libro]],Inventario_Libros!A:D,4,0),"Libro No Existe")</f>
        <v>Novela</v>
      </c>
      <c r="L396">
        <f>IFERROR(VLOOKUP(Prestamos[[#This Row],[ID Libro]],Inventario_Libros!A:E,5,0),"Libro No Existe")</f>
        <v>1939</v>
      </c>
      <c r="M396" t="str">
        <f>_xlfn.XLOOKUP(D:D,Inventario_Libros!A:A,Inventario_Libros!G:G,"No Existe",0)</f>
        <v>No Asignado</v>
      </c>
      <c r="N396" t="str">
        <f>IFERROR(VLOOKUP(Prestamos[[#This Row],[ID Libro]],Inventario_Libros!A:H,8,0),"Libro No Existe")</f>
        <v>Retirado</v>
      </c>
    </row>
    <row r="397" spans="1:14" x14ac:dyDescent="0.3">
      <c r="A397" s="5" t="s">
        <v>924</v>
      </c>
      <c r="B397" s="1">
        <v>45953</v>
      </c>
      <c r="C397" s="1">
        <v>45975</v>
      </c>
      <c r="D397" s="4" t="s">
        <v>345</v>
      </c>
      <c r="E397" s="2" t="s">
        <v>273</v>
      </c>
      <c r="F397" s="2" t="s">
        <v>255</v>
      </c>
      <c r="G397" s="2" t="s">
        <v>253</v>
      </c>
      <c r="H397" s="3">
        <v>7</v>
      </c>
      <c r="I397" t="str">
        <f>IFERROR(VLOOKUP(Prestamos[[#This Row],[ID Libro]],Inventario_Libros!A:B,2,0),"Libro No Existe")</f>
        <v>La Iliada</v>
      </c>
      <c r="J397" t="str">
        <f>IFERROR(VLOOKUP(Prestamos[[#This Row],[ID Libro]],Inventario_Libros!A:C,3,0),"Libro No Existe")</f>
        <v>Homero</v>
      </c>
      <c r="K397" t="str">
        <f>IFERROR(VLOOKUP(Prestamos[[#This Row],[ID Libro]],Inventario_Libros!A:D,4,0),"Libro No Existe")</f>
        <v>Clásicos</v>
      </c>
      <c r="L397">
        <f>IFERROR(VLOOKUP(Prestamos[[#This Row],[ID Libro]],Inventario_Libros!A:E,5,0),"Libro No Existe")</f>
        <v>1940</v>
      </c>
      <c r="M397" t="str">
        <f>_xlfn.XLOOKUP(D:D,Inventario_Libros!A:A,Inventario_Libros!G:G,"No Existe",0)</f>
        <v>B-2</v>
      </c>
      <c r="N397" t="str">
        <f>IFERROR(VLOOKUP(Prestamos[[#This Row],[ID Libro]],Inventario_Libros!A:H,8,0),"Libro No Existe")</f>
        <v>Retirado</v>
      </c>
    </row>
    <row r="398" spans="1:14" x14ac:dyDescent="0.3">
      <c r="A398" s="5" t="s">
        <v>925</v>
      </c>
      <c r="B398" s="1">
        <v>45743</v>
      </c>
      <c r="C398" s="1">
        <v>45765</v>
      </c>
      <c r="D398" s="4" t="s">
        <v>341</v>
      </c>
      <c r="E398" s="2" t="s">
        <v>278</v>
      </c>
      <c r="F398" s="2" t="s">
        <v>275</v>
      </c>
      <c r="G398" s="2" t="s">
        <v>253</v>
      </c>
      <c r="H398" s="3">
        <v>7</v>
      </c>
      <c r="I398" t="str">
        <f>IFERROR(VLOOKUP(Prestamos[[#This Row],[ID Libro]],Inventario_Libros!A:B,2,0),"Libro No Existe")</f>
        <v>Hamlet</v>
      </c>
      <c r="J398" t="str">
        <f>IFERROR(VLOOKUP(Prestamos[[#This Row],[ID Libro]],Inventario_Libros!A:C,3,0),"Libro No Existe")</f>
        <v>William Shakespeare</v>
      </c>
      <c r="K398" t="str">
        <f>IFERROR(VLOOKUP(Prestamos[[#This Row],[ID Libro]],Inventario_Libros!A:D,4,0),"Libro No Existe")</f>
        <v>Clásicos</v>
      </c>
      <c r="L398">
        <f>IFERROR(VLOOKUP(Prestamos[[#This Row],[ID Libro]],Inventario_Libros!A:E,5,0),"Libro No Existe")</f>
        <v>1905</v>
      </c>
      <c r="M398" t="str">
        <f>_xlfn.XLOOKUP(D:D,Inventario_Libros!A:A,Inventario_Libros!G:G,"No Existe",0)</f>
        <v>B-2</v>
      </c>
      <c r="N398" t="str">
        <f>IFERROR(VLOOKUP(Prestamos[[#This Row],[ID Libro]],Inventario_Libros!A:H,8,0),"Libro No Existe")</f>
        <v>Activo</v>
      </c>
    </row>
    <row r="399" spans="1:14" x14ac:dyDescent="0.3">
      <c r="A399" s="5" t="s">
        <v>926</v>
      </c>
      <c r="B399" s="1">
        <v>45953</v>
      </c>
      <c r="C399" s="1">
        <v>45975</v>
      </c>
      <c r="D399" s="4" t="s">
        <v>326</v>
      </c>
      <c r="E399" s="2" t="s">
        <v>254</v>
      </c>
      <c r="F399" s="2" t="s">
        <v>252</v>
      </c>
      <c r="G399" s="2" t="s">
        <v>253</v>
      </c>
      <c r="H399" s="3">
        <v>7</v>
      </c>
      <c r="I399" t="str">
        <f>IFERROR(VLOOKUP(Prestamos[[#This Row],[ID Libro]],Inventario_Libros!A:B,2,0),"Libro No Existe")</f>
        <v>Orgullo Y Prejuicio</v>
      </c>
      <c r="J399" t="str">
        <f>IFERROR(VLOOKUP(Prestamos[[#This Row],[ID Libro]],Inventario_Libros!A:C,3,0),"Libro No Existe")</f>
        <v>Jane Austen</v>
      </c>
      <c r="K399" t="str">
        <f>IFERROR(VLOOKUP(Prestamos[[#This Row],[ID Libro]],Inventario_Libros!A:D,4,0),"Libro No Existe")</f>
        <v>Novela</v>
      </c>
      <c r="L399">
        <f>IFERROR(VLOOKUP(Prestamos[[#This Row],[ID Libro]],Inventario_Libros!A:E,5,0),"Libro No Existe")</f>
        <v>2013</v>
      </c>
      <c r="M399" t="str">
        <f>_xlfn.XLOOKUP(D:D,Inventario_Libros!A:A,Inventario_Libros!G:G,"No Existe",0)</f>
        <v>Est-1</v>
      </c>
      <c r="N399" t="str">
        <f>IFERROR(VLOOKUP(Prestamos[[#This Row],[ID Libro]],Inventario_Libros!A:H,8,0),"Libro No Existe")</f>
        <v>Activo</v>
      </c>
    </row>
    <row r="400" spans="1:14" x14ac:dyDescent="0.3">
      <c r="A400" s="5" t="s">
        <v>927</v>
      </c>
      <c r="B400" s="1">
        <v>45973</v>
      </c>
      <c r="C400" s="1" t="s">
        <v>289</v>
      </c>
      <c r="D400" s="4" t="s">
        <v>505</v>
      </c>
      <c r="E400" s="2" t="s">
        <v>265</v>
      </c>
      <c r="F400" s="2" t="s">
        <v>263</v>
      </c>
      <c r="G400" s="2" t="s">
        <v>257</v>
      </c>
      <c r="H400" s="3">
        <v>5</v>
      </c>
      <c r="I400" t="str">
        <f>IFERROR(VLOOKUP(Prestamos[[#This Row],[ID Libro]],Inventario_Libros!A:B,2,0),"Libro No Existe")</f>
        <v>La Ciudad Y Los Perros</v>
      </c>
      <c r="J400" t="str">
        <f>IFERROR(VLOOKUP(Prestamos[[#This Row],[ID Libro]],Inventario_Libros!A:C,3,0),"Libro No Existe")</f>
        <v>Mario Vargas Llosa</v>
      </c>
      <c r="K400" t="str">
        <f>IFERROR(VLOOKUP(Prestamos[[#This Row],[ID Libro]],Inventario_Libros!A:D,4,0),"Libro No Existe")</f>
        <v>Novela</v>
      </c>
      <c r="L400">
        <f>IFERROR(VLOOKUP(Prestamos[[#This Row],[ID Libro]],Inventario_Libros!A:E,5,0),"Libro No Existe")</f>
        <v>2018</v>
      </c>
      <c r="M400" t="str">
        <f>_xlfn.XLOOKUP(D:D,Inventario_Libros!A:A,Inventario_Libros!G:G,"No Existe",0)</f>
        <v>Est-1</v>
      </c>
      <c r="N400" t="str">
        <f>IFERROR(VLOOKUP(Prestamos[[#This Row],[ID Libro]],Inventario_Libros!A:H,8,0),"Libro No Existe")</f>
        <v>Retirado</v>
      </c>
    </row>
    <row r="401" spans="1:14" x14ac:dyDescent="0.3">
      <c r="A401" s="5" t="s">
        <v>928</v>
      </c>
      <c r="B401" s="1">
        <v>45813</v>
      </c>
      <c r="C401" s="1">
        <v>45835</v>
      </c>
      <c r="D401" s="4" t="s">
        <v>424</v>
      </c>
      <c r="E401" s="2" t="s">
        <v>259</v>
      </c>
      <c r="F401" s="2" t="s">
        <v>263</v>
      </c>
      <c r="G401" s="2" t="s">
        <v>253</v>
      </c>
      <c r="H401" s="3">
        <v>7</v>
      </c>
      <c r="I401" t="str">
        <f>IFERROR(VLOOKUP(Prestamos[[#This Row],[ID Libro]],Inventario_Libros!A:B,2,0),"Libro No Existe")</f>
        <v>La Iliada</v>
      </c>
      <c r="J401" t="str">
        <f>IFERROR(VLOOKUP(Prestamos[[#This Row],[ID Libro]],Inventario_Libros!A:C,3,0),"Libro No Existe")</f>
        <v>Homero</v>
      </c>
      <c r="K401" t="str">
        <f>IFERROR(VLOOKUP(Prestamos[[#This Row],[ID Libro]],Inventario_Libros!A:D,4,0),"Libro No Existe")</f>
        <v>Clásicos</v>
      </c>
      <c r="L401">
        <f>IFERROR(VLOOKUP(Prestamos[[#This Row],[ID Libro]],Inventario_Libros!A:E,5,0),"Libro No Existe")</f>
        <v>1947</v>
      </c>
      <c r="M401" t="str">
        <f>_xlfn.XLOOKUP(D:D,Inventario_Libros!A:A,Inventario_Libros!G:G,"No Existe",0)</f>
        <v>A-1</v>
      </c>
      <c r="N401" t="str">
        <f>IFERROR(VLOOKUP(Prestamos[[#This Row],[ID Libro]],Inventario_Libros!A:H,8,0),"Libro No Existe")</f>
        <v>Activo</v>
      </c>
    </row>
    <row r="402" spans="1:14" x14ac:dyDescent="0.3">
      <c r="A402" s="5" t="s">
        <v>929</v>
      </c>
      <c r="B402" s="1">
        <v>45763</v>
      </c>
      <c r="C402" s="1">
        <v>45785</v>
      </c>
      <c r="D402" s="4" t="s">
        <v>481</v>
      </c>
      <c r="E402" s="2" t="s">
        <v>254</v>
      </c>
      <c r="F402" s="2" t="s">
        <v>275</v>
      </c>
      <c r="G402" s="2" t="s">
        <v>253</v>
      </c>
      <c r="H402" s="3">
        <v>7</v>
      </c>
      <c r="I402" t="str">
        <f>IFERROR(VLOOKUP(Prestamos[[#This Row],[ID Libro]],Inventario_Libros!A:B,2,0),"Libro No Existe")</f>
        <v>El Principito</v>
      </c>
      <c r="J402" t="str">
        <f>IFERROR(VLOOKUP(Prestamos[[#This Row],[ID Libro]],Inventario_Libros!A:C,3,0),"Libro No Existe")</f>
        <v>Antoine De Saint-Exupéry</v>
      </c>
      <c r="K402" t="str">
        <f>IFERROR(VLOOKUP(Prestamos[[#This Row],[ID Libro]],Inventario_Libros!A:D,4,0),"Libro No Existe")</f>
        <v>Literatura Infantil / Fábula Filosófica</v>
      </c>
      <c r="L402">
        <f>IFERROR(VLOOKUP(Prestamos[[#This Row],[ID Libro]],Inventario_Libros!A:E,5,0),"Libro No Existe")</f>
        <v>1993</v>
      </c>
      <c r="M402" t="str">
        <f>_xlfn.XLOOKUP(D:D,Inventario_Libros!A:A,Inventario_Libros!G:G,"No Existe",0)</f>
        <v>C-3</v>
      </c>
      <c r="N402" t="str">
        <f>IFERROR(VLOOKUP(Prestamos[[#This Row],[ID Libro]],Inventario_Libros!A:H,8,0),"Libro No Existe")</f>
        <v>Activo</v>
      </c>
    </row>
    <row r="403" spans="1:14" x14ac:dyDescent="0.3">
      <c r="A403" s="5" t="s">
        <v>930</v>
      </c>
      <c r="B403" s="1">
        <v>45749</v>
      </c>
      <c r="C403" s="1">
        <v>45767</v>
      </c>
      <c r="D403" s="4" t="s">
        <v>358</v>
      </c>
      <c r="E403" s="2" t="s">
        <v>261</v>
      </c>
      <c r="F403" s="2" t="s">
        <v>263</v>
      </c>
      <c r="G403" s="2" t="s">
        <v>257</v>
      </c>
      <c r="H403" s="3">
        <v>3</v>
      </c>
      <c r="I403" t="str">
        <f>IFERROR(VLOOKUP(Prestamos[[#This Row],[ID Libro]],Inventario_Libros!A:B,2,0),"Libro No Existe")</f>
        <v>Los Detectives Salvajes</v>
      </c>
      <c r="J403" t="str">
        <f>IFERROR(VLOOKUP(Prestamos[[#This Row],[ID Libro]],Inventario_Libros!A:C,3,0),"Libro No Existe")</f>
        <v>Roberto Bolaño</v>
      </c>
      <c r="K403" t="str">
        <f>IFERROR(VLOOKUP(Prestamos[[#This Row],[ID Libro]],Inventario_Libros!A:D,4,0),"Libro No Existe")</f>
        <v>Novela</v>
      </c>
      <c r="L403">
        <f>IFERROR(VLOOKUP(Prestamos[[#This Row],[ID Libro]],Inventario_Libros!A:E,5,0),"Libro No Existe")</f>
        <v>1897</v>
      </c>
      <c r="M403" t="str">
        <f>_xlfn.XLOOKUP(D:D,Inventario_Libros!A:A,Inventario_Libros!G:G,"No Existe",0)</f>
        <v>B-2</v>
      </c>
      <c r="N403" t="str">
        <f>IFERROR(VLOOKUP(Prestamos[[#This Row],[ID Libro]],Inventario_Libros!A:H,8,0),"Libro No Existe")</f>
        <v>Retirado</v>
      </c>
    </row>
    <row r="404" spans="1:14" x14ac:dyDescent="0.3">
      <c r="A404" s="5" t="s">
        <v>931</v>
      </c>
      <c r="B404" s="1">
        <v>45661</v>
      </c>
      <c r="C404" s="1">
        <v>45683</v>
      </c>
      <c r="D404" s="4" t="s">
        <v>499</v>
      </c>
      <c r="E404" s="2" t="s">
        <v>271</v>
      </c>
      <c r="F404" s="2" t="s">
        <v>263</v>
      </c>
      <c r="G404" s="2" t="s">
        <v>253</v>
      </c>
      <c r="H404" s="3">
        <v>7</v>
      </c>
      <c r="I404" t="str">
        <f>IFERROR(VLOOKUP(Prestamos[[#This Row],[ID Libro]],Inventario_Libros!A:B,2,0),"Libro No Existe")</f>
        <v>Crónica De Una Muerte Anunciada</v>
      </c>
      <c r="J404" t="str">
        <f>IFERROR(VLOOKUP(Prestamos[[#This Row],[ID Libro]],Inventario_Libros!A:C,3,0),"Libro No Existe")</f>
        <v>Gabriel García Márquez</v>
      </c>
      <c r="K404" t="str">
        <f>IFERROR(VLOOKUP(Prestamos[[#This Row],[ID Libro]],Inventario_Libros!A:D,4,0),"Libro No Existe")</f>
        <v>Novela</v>
      </c>
      <c r="L404">
        <f>IFERROR(VLOOKUP(Prestamos[[#This Row],[ID Libro]],Inventario_Libros!A:E,5,0),"Libro No Existe")</f>
        <v>1956</v>
      </c>
      <c r="M404" t="str">
        <f>_xlfn.XLOOKUP(D:D,Inventario_Libros!A:A,Inventario_Libros!G:G,"No Existe",0)</f>
        <v>A-1</v>
      </c>
      <c r="N404" t="str">
        <f>IFERROR(VLOOKUP(Prestamos[[#This Row],[ID Libro]],Inventario_Libros!A:H,8,0),"Libro No Existe")</f>
        <v>Activo</v>
      </c>
    </row>
    <row r="405" spans="1:14" x14ac:dyDescent="0.3">
      <c r="A405" s="5" t="s">
        <v>932</v>
      </c>
      <c r="B405" s="1">
        <v>45887</v>
      </c>
      <c r="C405" s="1">
        <v>45904</v>
      </c>
      <c r="D405" s="4" t="s">
        <v>381</v>
      </c>
      <c r="E405" s="2" t="s">
        <v>264</v>
      </c>
      <c r="F405" s="2" t="s">
        <v>258</v>
      </c>
      <c r="G405" s="2" t="s">
        <v>257</v>
      </c>
      <c r="H405" s="3">
        <v>2</v>
      </c>
      <c r="I405" t="str">
        <f>IFERROR(VLOOKUP(Prestamos[[#This Row],[ID Libro]],Inventario_Libros!A:B,2,0),"Libro No Existe")</f>
        <v>Rebelión En La Granja</v>
      </c>
      <c r="J405" t="str">
        <f>IFERROR(VLOOKUP(Prestamos[[#This Row],[ID Libro]],Inventario_Libros!A:C,3,0),"Libro No Existe")</f>
        <v>George Orwell</v>
      </c>
      <c r="K405" t="str">
        <f>IFERROR(VLOOKUP(Prestamos[[#This Row],[ID Libro]],Inventario_Libros!A:D,4,0),"Libro No Existe")</f>
        <v>Ciencia Ficción</v>
      </c>
      <c r="L405">
        <f>IFERROR(VLOOKUP(Prestamos[[#This Row],[ID Libro]],Inventario_Libros!A:E,5,0),"Libro No Existe")</f>
        <v>1995</v>
      </c>
      <c r="M405" t="str">
        <f>_xlfn.XLOOKUP(D:D,Inventario_Libros!A:A,Inventario_Libros!G:G,"No Existe",0)</f>
        <v>A-1</v>
      </c>
      <c r="N405" t="str">
        <f>IFERROR(VLOOKUP(Prestamos[[#This Row],[ID Libro]],Inventario_Libros!A:H,8,0),"Libro No Existe")</f>
        <v>Activo</v>
      </c>
    </row>
    <row r="406" spans="1:14" x14ac:dyDescent="0.3">
      <c r="A406" s="5" t="s">
        <v>933</v>
      </c>
      <c r="B406" s="1">
        <v>45786</v>
      </c>
      <c r="C406" s="1">
        <v>45806</v>
      </c>
      <c r="D406" s="4" t="s">
        <v>483</v>
      </c>
      <c r="E406" s="2" t="s">
        <v>269</v>
      </c>
      <c r="F406" s="2" t="s">
        <v>255</v>
      </c>
      <c r="G406" s="2" t="s">
        <v>257</v>
      </c>
      <c r="H406" s="3">
        <v>5</v>
      </c>
      <c r="I406" t="str">
        <f>IFERROR(VLOOKUP(Prestamos[[#This Row],[ID Libro]],Inventario_Libros!A:B,2,0),"Libro No Existe")</f>
        <v>La Casa De Los Espíritus</v>
      </c>
      <c r="J406" t="str">
        <f>IFERROR(VLOOKUP(Prestamos[[#This Row],[ID Libro]],Inventario_Libros!A:C,3,0),"Libro No Existe")</f>
        <v>Isabel Allende</v>
      </c>
      <c r="K406" t="str">
        <f>IFERROR(VLOOKUP(Prestamos[[#This Row],[ID Libro]],Inventario_Libros!A:D,4,0),"Libro No Existe")</f>
        <v>Novela</v>
      </c>
      <c r="L406">
        <f>IFERROR(VLOOKUP(Prestamos[[#This Row],[ID Libro]],Inventario_Libros!A:E,5,0),"Libro No Existe")</f>
        <v>1924</v>
      </c>
      <c r="M406" t="str">
        <f>_xlfn.XLOOKUP(D:D,Inventario_Libros!A:A,Inventario_Libros!G:G,"No Existe",0)</f>
        <v>A-1</v>
      </c>
      <c r="N406" t="str">
        <f>IFERROR(VLOOKUP(Prestamos[[#This Row],[ID Libro]],Inventario_Libros!A:H,8,0),"Libro No Existe")</f>
        <v>Activo</v>
      </c>
    </row>
    <row r="407" spans="1:14" x14ac:dyDescent="0.3">
      <c r="A407" s="5" t="s">
        <v>934</v>
      </c>
      <c r="B407" s="1">
        <v>45819</v>
      </c>
      <c r="C407" s="1">
        <v>45839</v>
      </c>
      <c r="D407" s="4" t="s">
        <v>351</v>
      </c>
      <c r="E407" s="2" t="s">
        <v>265</v>
      </c>
      <c r="F407" s="2" t="s">
        <v>275</v>
      </c>
      <c r="G407" s="2" t="s">
        <v>257</v>
      </c>
      <c r="H407" s="3">
        <v>5</v>
      </c>
      <c r="I407" t="str">
        <f>IFERROR(VLOOKUP(Prestamos[[#This Row],[ID Libro]],Inventario_Libros!A:B,2,0),"Libro No Existe")</f>
        <v>Breve Historia Del Tiempo</v>
      </c>
      <c r="J407" t="str">
        <f>IFERROR(VLOOKUP(Prestamos[[#This Row],[ID Libro]],Inventario_Libros!A:C,3,0),"Libro No Existe")</f>
        <v>Stephen Hawking</v>
      </c>
      <c r="K407" t="str">
        <f>IFERROR(VLOOKUP(Prestamos[[#This Row],[ID Libro]],Inventario_Libros!A:D,4,0),"Libro No Existe")</f>
        <v>Divulgación Científica / Cosmología</v>
      </c>
      <c r="L407">
        <f>IFERROR(VLOOKUP(Prestamos[[#This Row],[ID Libro]],Inventario_Libros!A:E,5,0),"Libro No Existe")</f>
        <v>1945</v>
      </c>
      <c r="M407" t="str">
        <f>_xlfn.XLOOKUP(D:D,Inventario_Libros!A:A,Inventario_Libros!G:G,"No Existe",0)</f>
        <v>C-3</v>
      </c>
      <c r="N407" t="str">
        <f>IFERROR(VLOOKUP(Prestamos[[#This Row],[ID Libro]],Inventario_Libros!A:H,8,0),"Libro No Existe")</f>
        <v>Retirado</v>
      </c>
    </row>
    <row r="408" spans="1:14" x14ac:dyDescent="0.3">
      <c r="A408" s="5" t="s">
        <v>935</v>
      </c>
      <c r="B408" s="1">
        <v>45825</v>
      </c>
      <c r="C408" s="1">
        <v>45850</v>
      </c>
      <c r="D408" s="4" t="s">
        <v>445</v>
      </c>
      <c r="E408" s="2" t="s">
        <v>271</v>
      </c>
      <c r="F408" s="2" t="s">
        <v>258</v>
      </c>
      <c r="G408" s="2" t="s">
        <v>257</v>
      </c>
      <c r="H408" s="3">
        <v>10</v>
      </c>
      <c r="I408" t="str">
        <f>IFERROR(VLOOKUP(Prestamos[[#This Row],[ID Libro]],Inventario_Libros!A:B,2,0),"Libro No Existe")</f>
        <v>La Casa De Los Espíritus</v>
      </c>
      <c r="J408" t="str">
        <f>IFERROR(VLOOKUP(Prestamos[[#This Row],[ID Libro]],Inventario_Libros!A:C,3,0),"Libro No Existe")</f>
        <v>Isabel Allende</v>
      </c>
      <c r="K408" t="str">
        <f>IFERROR(VLOOKUP(Prestamos[[#This Row],[ID Libro]],Inventario_Libros!A:D,4,0),"Libro No Existe")</f>
        <v>Novela</v>
      </c>
      <c r="L408">
        <f>IFERROR(VLOOKUP(Prestamos[[#This Row],[ID Libro]],Inventario_Libros!A:E,5,0),"Libro No Existe")</f>
        <v>1977</v>
      </c>
      <c r="M408" t="str">
        <f>_xlfn.XLOOKUP(D:D,Inventario_Libros!A:A,Inventario_Libros!G:G,"No Existe",0)</f>
        <v>A-1</v>
      </c>
      <c r="N408" t="str">
        <f>IFERROR(VLOOKUP(Prestamos[[#This Row],[ID Libro]],Inventario_Libros!A:H,8,0),"Libro No Existe")</f>
        <v>Activo</v>
      </c>
    </row>
    <row r="409" spans="1:14" x14ac:dyDescent="0.3">
      <c r="A409" s="5" t="s">
        <v>936</v>
      </c>
      <c r="B409" s="1">
        <v>45709</v>
      </c>
      <c r="C409" s="1">
        <v>45729</v>
      </c>
      <c r="D409" s="4" t="s">
        <v>507</v>
      </c>
      <c r="E409" s="2" t="s">
        <v>274</v>
      </c>
      <c r="F409" s="2" t="s">
        <v>258</v>
      </c>
      <c r="G409" s="2" t="s">
        <v>257</v>
      </c>
      <c r="H409" s="3">
        <v>5</v>
      </c>
      <c r="I409" t="str">
        <f>IFERROR(VLOOKUP(Prestamos[[#This Row],[ID Libro]],Inventario_Libros!A:B,2,0),"Libro No Existe")</f>
        <v>El Túnel</v>
      </c>
      <c r="J409" t="str">
        <f>IFERROR(VLOOKUP(Prestamos[[#This Row],[ID Libro]],Inventario_Libros!A:C,3,0),"Libro No Existe")</f>
        <v>Ernesto Sabato</v>
      </c>
      <c r="K409" t="str">
        <f>IFERROR(VLOOKUP(Prestamos[[#This Row],[ID Libro]],Inventario_Libros!A:D,4,0),"Libro No Existe")</f>
        <v>Novela</v>
      </c>
      <c r="L409">
        <f>IFERROR(VLOOKUP(Prestamos[[#This Row],[ID Libro]],Inventario_Libros!A:E,5,0),"Libro No Existe")</f>
        <v>1943</v>
      </c>
      <c r="M409" t="str">
        <f>_xlfn.XLOOKUP(D:D,Inventario_Libros!A:A,Inventario_Libros!G:G,"No Existe",0)</f>
        <v>Est-1</v>
      </c>
      <c r="N409" t="str">
        <f>IFERROR(VLOOKUP(Prestamos[[#This Row],[ID Libro]],Inventario_Libros!A:H,8,0),"Libro No Existe")</f>
        <v>Retirado</v>
      </c>
    </row>
    <row r="410" spans="1:14" x14ac:dyDescent="0.3">
      <c r="A410" s="5" t="s">
        <v>937</v>
      </c>
      <c r="B410" s="1">
        <v>45987</v>
      </c>
      <c r="C410" s="1">
        <v>46003</v>
      </c>
      <c r="D410" s="4" t="s">
        <v>319</v>
      </c>
      <c r="E410" s="2" t="s">
        <v>251</v>
      </c>
      <c r="F410" s="2" t="s">
        <v>258</v>
      </c>
      <c r="G410" s="2" t="s">
        <v>257</v>
      </c>
      <c r="H410" s="3">
        <v>1</v>
      </c>
      <c r="I410" t="str">
        <f>IFERROR(VLOOKUP(Prestamos[[#This Row],[ID Libro]],Inventario_Libros!A:B,2,0),"Libro No Existe")</f>
        <v>Crónica De Una Muerte Anunciada</v>
      </c>
      <c r="J410" t="str">
        <f>IFERROR(VLOOKUP(Prestamos[[#This Row],[ID Libro]],Inventario_Libros!A:C,3,0),"Libro No Existe")</f>
        <v>Gabriel García Márquez</v>
      </c>
      <c r="K410" t="str">
        <f>IFERROR(VLOOKUP(Prestamos[[#This Row],[ID Libro]],Inventario_Libros!A:D,4,0),"Libro No Existe")</f>
        <v>Novela</v>
      </c>
      <c r="L410">
        <f>IFERROR(VLOOKUP(Prestamos[[#This Row],[ID Libro]],Inventario_Libros!A:E,5,0),"Libro No Existe")</f>
        <v>1929</v>
      </c>
      <c r="M410" t="str">
        <f>_xlfn.XLOOKUP(D:D,Inventario_Libros!A:A,Inventario_Libros!G:G,"No Existe",0)</f>
        <v>Est-1</v>
      </c>
      <c r="N410" t="str">
        <f>IFERROR(VLOOKUP(Prestamos[[#This Row],[ID Libro]],Inventario_Libros!A:H,8,0),"Libro No Existe")</f>
        <v>Activo</v>
      </c>
    </row>
    <row r="411" spans="1:14" x14ac:dyDescent="0.3">
      <c r="A411" s="5" t="s">
        <v>938</v>
      </c>
      <c r="B411" s="1">
        <v>45827</v>
      </c>
      <c r="C411" s="1">
        <v>45850</v>
      </c>
      <c r="D411" s="4" t="s">
        <v>461</v>
      </c>
      <c r="E411" s="2" t="s">
        <v>277</v>
      </c>
      <c r="F411" s="2" t="s">
        <v>263</v>
      </c>
      <c r="G411" s="2" t="s">
        <v>279</v>
      </c>
      <c r="H411" s="3" t="s">
        <v>289</v>
      </c>
      <c r="I411" t="str">
        <f>IFERROR(VLOOKUP(Prestamos[[#This Row],[ID Libro]],Inventario_Libros!A:B,2,0),"Libro No Existe")</f>
        <v>La Ciudad Y Los Perros</v>
      </c>
      <c r="J411" t="str">
        <f>IFERROR(VLOOKUP(Prestamos[[#This Row],[ID Libro]],Inventario_Libros!A:C,3,0),"Libro No Existe")</f>
        <v>Mario Vargas Llosa</v>
      </c>
      <c r="K411" t="str">
        <f>IFERROR(VLOOKUP(Prestamos[[#This Row],[ID Libro]],Inventario_Libros!A:D,4,0),"Libro No Existe")</f>
        <v>Novela</v>
      </c>
      <c r="L411">
        <f>IFERROR(VLOOKUP(Prestamos[[#This Row],[ID Libro]],Inventario_Libros!A:E,5,0),"Libro No Existe")</f>
        <v>2009</v>
      </c>
      <c r="M411" t="str">
        <f>_xlfn.XLOOKUP(D:D,Inventario_Libros!A:A,Inventario_Libros!G:G,"No Existe",0)</f>
        <v>Est-1</v>
      </c>
      <c r="N411" t="str">
        <f>IFERROR(VLOOKUP(Prestamos[[#This Row],[ID Libro]],Inventario_Libros!A:H,8,0),"Libro No Existe")</f>
        <v>Retirado</v>
      </c>
    </row>
    <row r="412" spans="1:14" x14ac:dyDescent="0.3">
      <c r="A412" s="5" t="s">
        <v>939</v>
      </c>
      <c r="B412" s="1">
        <v>45775</v>
      </c>
      <c r="C412" s="1">
        <v>45800</v>
      </c>
      <c r="D412" s="4" t="s">
        <v>508</v>
      </c>
      <c r="E412" s="2" t="s">
        <v>271</v>
      </c>
      <c r="F412" s="2" t="s">
        <v>263</v>
      </c>
      <c r="G412" s="2" t="s">
        <v>257</v>
      </c>
      <c r="H412" s="3">
        <v>10</v>
      </c>
      <c r="I412" t="str">
        <f>IFERROR(VLOOKUP(Prestamos[[#This Row],[ID Libro]],Inventario_Libros!A:B,2,0),"Libro No Existe")</f>
        <v>Libro No Existe</v>
      </c>
      <c r="J412" t="str">
        <f>IFERROR(VLOOKUP(Prestamos[[#This Row],[ID Libro]],Inventario_Libros!A:C,3,0),"Libro No Existe")</f>
        <v>Libro No Existe</v>
      </c>
      <c r="K412" t="str">
        <f>IFERROR(VLOOKUP(Prestamos[[#This Row],[ID Libro]],Inventario_Libros!A:D,4,0),"Libro No Existe")</f>
        <v>Libro No Existe</v>
      </c>
      <c r="L412" t="str">
        <f>IFERROR(VLOOKUP(Prestamos[[#This Row],[ID Libro]],Inventario_Libros!A:E,5,0),"Libro No Existe")</f>
        <v>Libro No Existe</v>
      </c>
      <c r="M412" t="str">
        <f>_xlfn.XLOOKUP(D:D,Inventario_Libros!A:A,Inventario_Libros!G:G,"No Existe",0)</f>
        <v>No Existe</v>
      </c>
      <c r="N412" t="str">
        <f>IFERROR(VLOOKUP(Prestamos[[#This Row],[ID Libro]],Inventario_Libros!A:H,8,0),"Libro No Existe")</f>
        <v>Libro No Existe</v>
      </c>
    </row>
    <row r="413" spans="1:14" x14ac:dyDescent="0.3">
      <c r="A413" s="5" t="s">
        <v>940</v>
      </c>
      <c r="B413" s="1">
        <v>45849</v>
      </c>
      <c r="C413" s="1">
        <v>45872</v>
      </c>
      <c r="D413" s="4" t="s">
        <v>400</v>
      </c>
      <c r="E413" s="2" t="s">
        <v>267</v>
      </c>
      <c r="F413" s="2" t="s">
        <v>263</v>
      </c>
      <c r="G413" s="2" t="s">
        <v>279</v>
      </c>
      <c r="H413" s="3" t="s">
        <v>289</v>
      </c>
      <c r="I413" t="str">
        <f>IFERROR(VLOOKUP(Prestamos[[#This Row],[ID Libro]],Inventario_Libros!A:B,2,0),"Libro No Existe")</f>
        <v>El Principito</v>
      </c>
      <c r="J413" t="str">
        <f>IFERROR(VLOOKUP(Prestamos[[#This Row],[ID Libro]],Inventario_Libros!A:C,3,0),"Libro No Existe")</f>
        <v>Antoine De Saint-Exupéry</v>
      </c>
      <c r="K413" t="str">
        <f>IFERROR(VLOOKUP(Prestamos[[#This Row],[ID Libro]],Inventario_Libros!A:D,4,0),"Libro No Existe")</f>
        <v>Literatura Infantil / Fábula Filosófica</v>
      </c>
      <c r="L413">
        <f>IFERROR(VLOOKUP(Prestamos[[#This Row],[ID Libro]],Inventario_Libros!A:E,5,0),"Libro No Existe")</f>
        <v>2000</v>
      </c>
      <c r="M413" t="str">
        <f>_xlfn.XLOOKUP(D:D,Inventario_Libros!A:A,Inventario_Libros!G:G,"No Existe",0)</f>
        <v>A-1</v>
      </c>
      <c r="N413" t="str">
        <f>IFERROR(VLOOKUP(Prestamos[[#This Row],[ID Libro]],Inventario_Libros!A:H,8,0),"Libro No Existe")</f>
        <v>Retirado</v>
      </c>
    </row>
    <row r="414" spans="1:14" x14ac:dyDescent="0.3">
      <c r="A414" s="5" t="s">
        <v>941</v>
      </c>
      <c r="B414" s="1">
        <v>45945</v>
      </c>
      <c r="C414" s="1">
        <v>45968</v>
      </c>
      <c r="D414" s="4" t="s">
        <v>375</v>
      </c>
      <c r="E414" s="2" t="s">
        <v>262</v>
      </c>
      <c r="F414" s="2" t="s">
        <v>263</v>
      </c>
      <c r="G414" s="2" t="s">
        <v>253</v>
      </c>
      <c r="H414" s="3">
        <v>8</v>
      </c>
      <c r="I414" t="str">
        <f>IFERROR(VLOOKUP(Prestamos[[#This Row],[ID Libro]],Inventario_Libros!A:B,2,0),"Libro No Existe")</f>
        <v>Matadero Cinco</v>
      </c>
      <c r="J414" t="str">
        <f>IFERROR(VLOOKUP(Prestamos[[#This Row],[ID Libro]],Inventario_Libros!A:C,3,0),"Libro No Existe")</f>
        <v>Kurt Vonnegut</v>
      </c>
      <c r="K414" t="str">
        <f>IFERROR(VLOOKUP(Prestamos[[#This Row],[ID Libro]],Inventario_Libros!A:D,4,0),"Libro No Existe")</f>
        <v>Ciencia Ficción</v>
      </c>
      <c r="L414">
        <f>IFERROR(VLOOKUP(Prestamos[[#This Row],[ID Libro]],Inventario_Libros!A:E,5,0),"Libro No Existe")</f>
        <v>1923</v>
      </c>
      <c r="M414" t="str">
        <f>_xlfn.XLOOKUP(D:D,Inventario_Libros!A:A,Inventario_Libros!G:G,"No Existe",0)</f>
        <v>Est-1</v>
      </c>
      <c r="N414" t="str">
        <f>IFERROR(VLOOKUP(Prestamos[[#This Row],[ID Libro]],Inventario_Libros!A:H,8,0),"Libro No Existe")</f>
        <v>Retirado</v>
      </c>
    </row>
    <row r="415" spans="1:14" x14ac:dyDescent="0.3">
      <c r="A415" s="5" t="s">
        <v>942</v>
      </c>
      <c r="B415" s="1">
        <v>45765</v>
      </c>
      <c r="C415" s="1">
        <v>45788</v>
      </c>
      <c r="D415" s="4" t="s">
        <v>493</v>
      </c>
      <c r="E415" s="2" t="s">
        <v>262</v>
      </c>
      <c r="F415" s="2" t="s">
        <v>275</v>
      </c>
      <c r="G415" s="2" t="s">
        <v>253</v>
      </c>
      <c r="H415" s="3">
        <v>8</v>
      </c>
      <c r="I415" t="str">
        <f>IFERROR(VLOOKUP(Prestamos[[#This Row],[ID Libro]],Inventario_Libros!A:B,2,0),"Libro No Existe")</f>
        <v>1984</v>
      </c>
      <c r="J415" t="str">
        <f>IFERROR(VLOOKUP(Prestamos[[#This Row],[ID Libro]],Inventario_Libros!A:C,3,0),"Libro No Existe")</f>
        <v>George Orwell</v>
      </c>
      <c r="K415" t="str">
        <f>IFERROR(VLOOKUP(Prestamos[[#This Row],[ID Libro]],Inventario_Libros!A:D,4,0),"Libro No Existe")</f>
        <v>Ciencia Ficción</v>
      </c>
      <c r="L415">
        <f>IFERROR(VLOOKUP(Prestamos[[#This Row],[ID Libro]],Inventario_Libros!A:E,5,0),"Libro No Existe")</f>
        <v>1962</v>
      </c>
      <c r="M415" t="str">
        <f>_xlfn.XLOOKUP(D:D,Inventario_Libros!A:A,Inventario_Libros!G:G,"No Existe",0)</f>
        <v>C-3</v>
      </c>
      <c r="N415" t="str">
        <f>IFERROR(VLOOKUP(Prestamos[[#This Row],[ID Libro]],Inventario_Libros!A:H,8,0),"Libro No Existe")</f>
        <v>Activo</v>
      </c>
    </row>
    <row r="416" spans="1:14" x14ac:dyDescent="0.3">
      <c r="A416" s="5" t="s">
        <v>943</v>
      </c>
      <c r="B416" s="1">
        <v>45982</v>
      </c>
      <c r="C416" s="1">
        <v>45999</v>
      </c>
      <c r="D416" s="4" t="s">
        <v>319</v>
      </c>
      <c r="E416" s="2" t="s">
        <v>260</v>
      </c>
      <c r="F416" s="2" t="s">
        <v>258</v>
      </c>
      <c r="G416" s="2" t="s">
        <v>257</v>
      </c>
      <c r="H416" s="3">
        <v>2</v>
      </c>
      <c r="I416" t="str">
        <f>IFERROR(VLOOKUP(Prestamos[[#This Row],[ID Libro]],Inventario_Libros!A:B,2,0),"Libro No Existe")</f>
        <v>Crónica De Una Muerte Anunciada</v>
      </c>
      <c r="J416" t="str">
        <f>IFERROR(VLOOKUP(Prestamos[[#This Row],[ID Libro]],Inventario_Libros!A:C,3,0),"Libro No Existe")</f>
        <v>Gabriel García Márquez</v>
      </c>
      <c r="K416" t="str">
        <f>IFERROR(VLOOKUP(Prestamos[[#This Row],[ID Libro]],Inventario_Libros!A:D,4,0),"Libro No Existe")</f>
        <v>Novela</v>
      </c>
      <c r="L416">
        <f>IFERROR(VLOOKUP(Prestamos[[#This Row],[ID Libro]],Inventario_Libros!A:E,5,0),"Libro No Existe")</f>
        <v>1929</v>
      </c>
      <c r="M416" t="str">
        <f>_xlfn.XLOOKUP(D:D,Inventario_Libros!A:A,Inventario_Libros!G:G,"No Existe",0)</f>
        <v>Est-1</v>
      </c>
      <c r="N416" t="str">
        <f>IFERROR(VLOOKUP(Prestamos[[#This Row],[ID Libro]],Inventario_Libros!A:H,8,0),"Libro No Existe")</f>
        <v>Activo</v>
      </c>
    </row>
    <row r="417" spans="1:14" x14ac:dyDescent="0.3">
      <c r="A417" s="5" t="s">
        <v>944</v>
      </c>
      <c r="B417" s="1">
        <v>45921</v>
      </c>
      <c r="C417" s="1">
        <v>45941</v>
      </c>
      <c r="D417" s="4" t="s">
        <v>419</v>
      </c>
      <c r="E417" s="2" t="s">
        <v>256</v>
      </c>
      <c r="F417" s="2" t="s">
        <v>275</v>
      </c>
      <c r="G417" s="2" t="s">
        <v>257</v>
      </c>
      <c r="H417" s="3">
        <v>5</v>
      </c>
      <c r="I417" t="str">
        <f>IFERROR(VLOOKUP(Prestamos[[#This Row],[ID Libro]],Inventario_Libros!A:B,2,0),"Libro No Existe")</f>
        <v>Matar A Un Ruiseñor</v>
      </c>
      <c r="J417" t="str">
        <f>IFERROR(VLOOKUP(Prestamos[[#This Row],[ID Libro]],Inventario_Libros!A:C,3,0),"Libro No Existe")</f>
        <v>Harper Lee</v>
      </c>
      <c r="K417" t="str">
        <f>IFERROR(VLOOKUP(Prestamos[[#This Row],[ID Libro]],Inventario_Libros!A:D,4,0),"Libro No Existe")</f>
        <v>Novela</v>
      </c>
      <c r="L417">
        <f>IFERROR(VLOOKUP(Prestamos[[#This Row],[ID Libro]],Inventario_Libros!A:E,5,0),"Libro No Existe")</f>
        <v>1939</v>
      </c>
      <c r="M417" t="str">
        <f>_xlfn.XLOOKUP(D:D,Inventario_Libros!A:A,Inventario_Libros!G:G,"No Existe",0)</f>
        <v>No Asignado</v>
      </c>
      <c r="N417" t="str">
        <f>IFERROR(VLOOKUP(Prestamos[[#This Row],[ID Libro]],Inventario_Libros!A:H,8,0),"Libro No Existe")</f>
        <v>Retirado</v>
      </c>
    </row>
    <row r="418" spans="1:14" x14ac:dyDescent="0.3">
      <c r="A418" s="5" t="s">
        <v>945</v>
      </c>
      <c r="B418" s="1">
        <v>45776</v>
      </c>
      <c r="C418" s="1">
        <v>45801</v>
      </c>
      <c r="D418" s="4" t="s">
        <v>509</v>
      </c>
      <c r="E418" s="2" t="s">
        <v>256</v>
      </c>
      <c r="F418" s="2" t="s">
        <v>258</v>
      </c>
      <c r="G418" s="2" t="s">
        <v>257</v>
      </c>
      <c r="H418" s="3">
        <v>10</v>
      </c>
      <c r="I418" t="str">
        <f>IFERROR(VLOOKUP(Prestamos[[#This Row],[ID Libro]],Inventario_Libros!A:B,2,0),"Libro No Existe")</f>
        <v>Don Quijote De La Mancha</v>
      </c>
      <c r="J418" t="str">
        <f>IFERROR(VLOOKUP(Prestamos[[#This Row],[ID Libro]],Inventario_Libros!A:C,3,0),"Libro No Existe")</f>
        <v>Miguel De Cervantes</v>
      </c>
      <c r="K418" t="str">
        <f>IFERROR(VLOOKUP(Prestamos[[#This Row],[ID Libro]],Inventario_Libros!A:D,4,0),"Libro No Existe")</f>
        <v>Novela</v>
      </c>
      <c r="L418">
        <f>IFERROR(VLOOKUP(Prestamos[[#This Row],[ID Libro]],Inventario_Libros!A:E,5,0),"Libro No Existe")</f>
        <v>1947</v>
      </c>
      <c r="M418" t="str">
        <f>_xlfn.XLOOKUP(D:D,Inventario_Libros!A:A,Inventario_Libros!G:G,"No Existe",0)</f>
        <v>Est-1</v>
      </c>
      <c r="N418" t="str">
        <f>IFERROR(VLOOKUP(Prestamos[[#This Row],[ID Libro]],Inventario_Libros!A:H,8,0),"Libro No Existe")</f>
        <v>Retirado</v>
      </c>
    </row>
    <row r="419" spans="1:14" x14ac:dyDescent="0.3">
      <c r="A419" s="5" t="s">
        <v>946</v>
      </c>
      <c r="B419" s="1">
        <v>45919</v>
      </c>
      <c r="C419" s="1">
        <v>45943</v>
      </c>
      <c r="D419" s="4" t="s">
        <v>410</v>
      </c>
      <c r="E419" s="2" t="s">
        <v>251</v>
      </c>
      <c r="F419" s="2" t="s">
        <v>275</v>
      </c>
      <c r="G419" s="2" t="s">
        <v>279</v>
      </c>
      <c r="H419" s="3" t="s">
        <v>289</v>
      </c>
      <c r="I419" t="str">
        <f>IFERROR(VLOOKUP(Prestamos[[#This Row],[ID Libro]],Inventario_Libros!A:B,2,0),"Libro No Existe")</f>
        <v>Rayuela</v>
      </c>
      <c r="J419" t="str">
        <f>IFERROR(VLOOKUP(Prestamos[[#This Row],[ID Libro]],Inventario_Libros!A:C,3,0),"Libro No Existe")</f>
        <v>Julio Cortázar</v>
      </c>
      <c r="K419" t="str">
        <f>IFERROR(VLOOKUP(Prestamos[[#This Row],[ID Libro]],Inventario_Libros!A:D,4,0),"Libro No Existe")</f>
        <v>Novela</v>
      </c>
      <c r="L419">
        <f>IFERROR(VLOOKUP(Prestamos[[#This Row],[ID Libro]],Inventario_Libros!A:E,5,0),"Libro No Existe")</f>
        <v>1986</v>
      </c>
      <c r="M419" t="str">
        <f>_xlfn.XLOOKUP(D:D,Inventario_Libros!A:A,Inventario_Libros!G:G,"No Existe",0)</f>
        <v>Est-1</v>
      </c>
      <c r="N419" t="str">
        <f>IFERROR(VLOOKUP(Prestamos[[#This Row],[ID Libro]],Inventario_Libros!A:H,8,0),"Libro No Existe")</f>
        <v>Retirado</v>
      </c>
    </row>
    <row r="420" spans="1:14" x14ac:dyDescent="0.3">
      <c r="A420" s="5" t="s">
        <v>947</v>
      </c>
      <c r="B420" s="1">
        <v>45752</v>
      </c>
      <c r="C420" s="1">
        <v>45776</v>
      </c>
      <c r="D420" s="4" t="s">
        <v>416</v>
      </c>
      <c r="E420" s="2" t="s">
        <v>270</v>
      </c>
      <c r="F420" s="2" t="s">
        <v>258</v>
      </c>
      <c r="G420" s="2" t="s">
        <v>253</v>
      </c>
      <c r="H420" s="3">
        <v>9</v>
      </c>
      <c r="I420" t="str">
        <f>IFERROR(VLOOKUP(Prestamos[[#This Row],[ID Libro]],Inventario_Libros!A:B,2,0),"Libro No Existe")</f>
        <v>La Tregua</v>
      </c>
      <c r="J420" t="str">
        <f>IFERROR(VLOOKUP(Prestamos[[#This Row],[ID Libro]],Inventario_Libros!A:C,3,0),"Libro No Existe")</f>
        <v>Mario Benedetti</v>
      </c>
      <c r="K420" t="str">
        <f>IFERROR(VLOOKUP(Prestamos[[#This Row],[ID Libro]],Inventario_Libros!A:D,4,0),"Libro No Existe")</f>
        <v>Novela</v>
      </c>
      <c r="L420">
        <f>IFERROR(VLOOKUP(Prestamos[[#This Row],[ID Libro]],Inventario_Libros!A:E,5,0),"Libro No Existe")</f>
        <v>2003</v>
      </c>
      <c r="M420" t="str">
        <f>_xlfn.XLOOKUP(D:D,Inventario_Libros!A:A,Inventario_Libros!G:G,"No Existe",0)</f>
        <v>C-3</v>
      </c>
      <c r="N420" t="str">
        <f>IFERROR(VLOOKUP(Prestamos[[#This Row],[ID Libro]],Inventario_Libros!A:H,8,0),"Libro No Existe")</f>
        <v>Activo</v>
      </c>
    </row>
    <row r="421" spans="1:14" x14ac:dyDescent="0.3">
      <c r="A421" s="5" t="s">
        <v>948</v>
      </c>
      <c r="B421" s="1">
        <v>45796</v>
      </c>
      <c r="C421" s="1">
        <v>45820</v>
      </c>
      <c r="D421" s="4" t="s">
        <v>510</v>
      </c>
      <c r="E421" s="2" t="s">
        <v>259</v>
      </c>
      <c r="F421" s="2" t="s">
        <v>275</v>
      </c>
      <c r="G421" s="2" t="s">
        <v>279</v>
      </c>
      <c r="H421" s="3" t="s">
        <v>289</v>
      </c>
      <c r="I421" t="str">
        <f>IFERROR(VLOOKUP(Prestamos[[#This Row],[ID Libro]],Inventario_Libros!A:B,2,0),"Libro No Existe")</f>
        <v>Libro No Existe</v>
      </c>
      <c r="J421" t="str">
        <f>IFERROR(VLOOKUP(Prestamos[[#This Row],[ID Libro]],Inventario_Libros!A:C,3,0),"Libro No Existe")</f>
        <v>Libro No Existe</v>
      </c>
      <c r="K421" t="str">
        <f>IFERROR(VLOOKUP(Prestamos[[#This Row],[ID Libro]],Inventario_Libros!A:D,4,0),"Libro No Existe")</f>
        <v>Libro No Existe</v>
      </c>
      <c r="L421" t="str">
        <f>IFERROR(VLOOKUP(Prestamos[[#This Row],[ID Libro]],Inventario_Libros!A:E,5,0),"Libro No Existe")</f>
        <v>Libro No Existe</v>
      </c>
      <c r="M421" t="str">
        <f>_xlfn.XLOOKUP(D:D,Inventario_Libros!A:A,Inventario_Libros!G:G,"No Existe",0)</f>
        <v>No Existe</v>
      </c>
      <c r="N421" t="str">
        <f>IFERROR(VLOOKUP(Prestamos[[#This Row],[ID Libro]],Inventario_Libros!A:H,8,0),"Libro No Existe")</f>
        <v>Libro No Existe</v>
      </c>
    </row>
    <row r="422" spans="1:14" x14ac:dyDescent="0.3">
      <c r="A422" s="5" t="s">
        <v>949</v>
      </c>
      <c r="B422" s="1">
        <v>45798</v>
      </c>
      <c r="C422" s="1">
        <v>45822</v>
      </c>
      <c r="D422" s="4" t="s">
        <v>394</v>
      </c>
      <c r="E422" s="2" t="s">
        <v>256</v>
      </c>
      <c r="F422" s="2" t="s">
        <v>258</v>
      </c>
      <c r="G422" s="2" t="s">
        <v>279</v>
      </c>
      <c r="H422" s="3" t="s">
        <v>289</v>
      </c>
      <c r="I422" t="str">
        <f>IFERROR(VLOOKUP(Prestamos[[#This Row],[ID Libro]],Inventario_Libros!A:B,2,0),"Libro No Existe")</f>
        <v>Matadero Cinco</v>
      </c>
      <c r="J422" t="str">
        <f>IFERROR(VLOOKUP(Prestamos[[#This Row],[ID Libro]],Inventario_Libros!A:C,3,0),"Libro No Existe")</f>
        <v>Kurt Vonnegut</v>
      </c>
      <c r="K422" t="str">
        <f>IFERROR(VLOOKUP(Prestamos[[#This Row],[ID Libro]],Inventario_Libros!A:D,4,0),"Libro No Existe")</f>
        <v>Ciencia Ficción</v>
      </c>
      <c r="L422">
        <f>IFERROR(VLOOKUP(Prestamos[[#This Row],[ID Libro]],Inventario_Libros!A:E,5,0),"Libro No Existe")</f>
        <v>1977</v>
      </c>
      <c r="M422" t="str">
        <f>_xlfn.XLOOKUP(D:D,Inventario_Libros!A:A,Inventario_Libros!G:G,"No Existe",0)</f>
        <v>A-1</v>
      </c>
      <c r="N422" t="str">
        <f>IFERROR(VLOOKUP(Prestamos[[#This Row],[ID Libro]],Inventario_Libros!A:H,8,0),"Libro No Existe")</f>
        <v>Activo</v>
      </c>
    </row>
    <row r="423" spans="1:14" x14ac:dyDescent="0.3">
      <c r="A423" s="5" t="s">
        <v>950</v>
      </c>
      <c r="B423" s="1">
        <v>45728</v>
      </c>
      <c r="C423" s="1">
        <v>45752</v>
      </c>
      <c r="D423" s="4" t="s">
        <v>423</v>
      </c>
      <c r="E423" s="2" t="s">
        <v>264</v>
      </c>
      <c r="F423" s="2" t="s">
        <v>263</v>
      </c>
      <c r="G423" s="2" t="s">
        <v>253</v>
      </c>
      <c r="H423" s="3">
        <v>9</v>
      </c>
      <c r="I423" t="str">
        <f>IFERROR(VLOOKUP(Prestamos[[#This Row],[ID Libro]],Inventario_Libros!A:B,2,0),"Libro No Existe")</f>
        <v>Orgullo Y Prejuicio</v>
      </c>
      <c r="J423" t="str">
        <f>IFERROR(VLOOKUP(Prestamos[[#This Row],[ID Libro]],Inventario_Libros!A:C,3,0),"Libro No Existe")</f>
        <v>Jane Austen</v>
      </c>
      <c r="K423" t="str">
        <f>IFERROR(VLOOKUP(Prestamos[[#This Row],[ID Libro]],Inventario_Libros!A:D,4,0),"Libro No Existe")</f>
        <v>Novela</v>
      </c>
      <c r="L423">
        <f>IFERROR(VLOOKUP(Prestamos[[#This Row],[ID Libro]],Inventario_Libros!A:E,5,0),"Libro No Existe")</f>
        <v>2009</v>
      </c>
      <c r="M423" t="str">
        <f>_xlfn.XLOOKUP(D:D,Inventario_Libros!A:A,Inventario_Libros!G:G,"No Existe",0)</f>
        <v>Est-1</v>
      </c>
      <c r="N423" t="str">
        <f>IFERROR(VLOOKUP(Prestamos[[#This Row],[ID Libro]],Inventario_Libros!A:H,8,0),"Libro No Existe")</f>
        <v>Retirado</v>
      </c>
    </row>
    <row r="424" spans="1:14" x14ac:dyDescent="0.3">
      <c r="A424" s="5" t="s">
        <v>951</v>
      </c>
      <c r="B424" s="1">
        <v>45854</v>
      </c>
      <c r="C424" s="1">
        <v>45878</v>
      </c>
      <c r="D424" s="4" t="s">
        <v>326</v>
      </c>
      <c r="E424" s="2" t="s">
        <v>266</v>
      </c>
      <c r="F424" s="2" t="s">
        <v>258</v>
      </c>
      <c r="G424" s="2" t="s">
        <v>253</v>
      </c>
      <c r="H424" s="3">
        <v>9</v>
      </c>
      <c r="I424" t="str">
        <f>IFERROR(VLOOKUP(Prestamos[[#This Row],[ID Libro]],Inventario_Libros!A:B,2,0),"Libro No Existe")</f>
        <v>Orgullo Y Prejuicio</v>
      </c>
      <c r="J424" t="str">
        <f>IFERROR(VLOOKUP(Prestamos[[#This Row],[ID Libro]],Inventario_Libros!A:C,3,0),"Libro No Existe")</f>
        <v>Jane Austen</v>
      </c>
      <c r="K424" t="str">
        <f>IFERROR(VLOOKUP(Prestamos[[#This Row],[ID Libro]],Inventario_Libros!A:D,4,0),"Libro No Existe")</f>
        <v>Novela</v>
      </c>
      <c r="L424">
        <f>IFERROR(VLOOKUP(Prestamos[[#This Row],[ID Libro]],Inventario_Libros!A:E,5,0),"Libro No Existe")</f>
        <v>2013</v>
      </c>
      <c r="M424" t="str">
        <f>_xlfn.XLOOKUP(D:D,Inventario_Libros!A:A,Inventario_Libros!G:G,"No Existe",0)</f>
        <v>Est-1</v>
      </c>
      <c r="N424" t="str">
        <f>IFERROR(VLOOKUP(Prestamos[[#This Row],[ID Libro]],Inventario_Libros!A:H,8,0),"Libro No Existe")</f>
        <v>Activo</v>
      </c>
    </row>
    <row r="425" spans="1:14" x14ac:dyDescent="0.3">
      <c r="A425" s="5" t="s">
        <v>952</v>
      </c>
      <c r="B425" s="1">
        <v>45925</v>
      </c>
      <c r="C425" s="1">
        <v>45943</v>
      </c>
      <c r="D425" s="4" t="s">
        <v>374</v>
      </c>
      <c r="E425" s="2" t="s">
        <v>267</v>
      </c>
      <c r="F425" s="2" t="s">
        <v>263</v>
      </c>
      <c r="G425" s="2" t="s">
        <v>257</v>
      </c>
      <c r="H425" s="3">
        <v>3</v>
      </c>
      <c r="I425" t="str">
        <f>IFERROR(VLOOKUP(Prestamos[[#This Row],[ID Libro]],Inventario_Libros!A:B,2,0),"Libro No Existe")</f>
        <v>La Casa De Los Espíritus</v>
      </c>
      <c r="J425" t="str">
        <f>IFERROR(VLOOKUP(Prestamos[[#This Row],[ID Libro]],Inventario_Libros!A:C,3,0),"Libro No Existe")</f>
        <v>Isabel Allende</v>
      </c>
      <c r="K425" t="str">
        <f>IFERROR(VLOOKUP(Prestamos[[#This Row],[ID Libro]],Inventario_Libros!A:D,4,0),"Libro No Existe")</f>
        <v>Novela</v>
      </c>
      <c r="L425">
        <f>IFERROR(VLOOKUP(Prestamos[[#This Row],[ID Libro]],Inventario_Libros!A:E,5,0),"Libro No Existe")</f>
        <v>1938</v>
      </c>
      <c r="M425" t="str">
        <f>_xlfn.XLOOKUP(D:D,Inventario_Libros!A:A,Inventario_Libros!G:G,"No Existe",0)</f>
        <v>Est-1</v>
      </c>
      <c r="N425" t="str">
        <f>IFERROR(VLOOKUP(Prestamos[[#This Row],[ID Libro]],Inventario_Libros!A:H,8,0),"Libro No Existe")</f>
        <v>Activo</v>
      </c>
    </row>
    <row r="426" spans="1:14" x14ac:dyDescent="0.3">
      <c r="A426" s="5" t="s">
        <v>953</v>
      </c>
      <c r="B426" s="1">
        <v>45806</v>
      </c>
      <c r="C426" s="1">
        <v>45830</v>
      </c>
      <c r="D426" s="4" t="s">
        <v>376</v>
      </c>
      <c r="E426" s="2" t="s">
        <v>251</v>
      </c>
      <c r="F426" s="2" t="s">
        <v>258</v>
      </c>
      <c r="G426" s="2" t="s">
        <v>279</v>
      </c>
      <c r="H426" s="3" t="s">
        <v>289</v>
      </c>
      <c r="I426" t="str">
        <f>IFERROR(VLOOKUP(Prestamos[[#This Row],[ID Libro]],Inventario_Libros!A:B,2,0),"Libro No Existe")</f>
        <v>El Amor En Los Tiempos Del Cólera</v>
      </c>
      <c r="J426" t="str">
        <f>IFERROR(VLOOKUP(Prestamos[[#This Row],[ID Libro]],Inventario_Libros!A:C,3,0),"Libro No Existe")</f>
        <v>Gabriel García Márquez</v>
      </c>
      <c r="K426" t="str">
        <f>IFERROR(VLOOKUP(Prestamos[[#This Row],[ID Libro]],Inventario_Libros!A:D,4,0),"Libro No Existe")</f>
        <v>Novela</v>
      </c>
      <c r="L426">
        <f>IFERROR(VLOOKUP(Prestamos[[#This Row],[ID Libro]],Inventario_Libros!A:E,5,0),"Libro No Existe")</f>
        <v>1936</v>
      </c>
      <c r="M426" t="str">
        <f>_xlfn.XLOOKUP(D:D,Inventario_Libros!A:A,Inventario_Libros!G:G,"No Existe",0)</f>
        <v>Est-1</v>
      </c>
      <c r="N426" t="str">
        <f>IFERROR(VLOOKUP(Prestamos[[#This Row],[ID Libro]],Inventario_Libros!A:H,8,0),"Libro No Existe")</f>
        <v>Activo</v>
      </c>
    </row>
    <row r="427" spans="1:14" x14ac:dyDescent="0.3">
      <c r="A427" s="5" t="s">
        <v>954</v>
      </c>
      <c r="B427" s="1">
        <v>45851</v>
      </c>
      <c r="C427" s="1">
        <v>45875</v>
      </c>
      <c r="D427" s="4" t="s">
        <v>356</v>
      </c>
      <c r="E427" s="2" t="s">
        <v>264</v>
      </c>
      <c r="F427" s="2" t="s">
        <v>263</v>
      </c>
      <c r="G427" s="2" t="s">
        <v>253</v>
      </c>
      <c r="H427" s="3">
        <v>9</v>
      </c>
      <c r="I427" t="str">
        <f>IFERROR(VLOOKUP(Prestamos[[#This Row],[ID Libro]],Inventario_Libros!A:B,2,0),"Libro No Existe")</f>
        <v>Pedro Páramo</v>
      </c>
      <c r="J427" t="str">
        <f>IFERROR(VLOOKUP(Prestamos[[#This Row],[ID Libro]],Inventario_Libros!A:C,3,0),"Libro No Existe")</f>
        <v>Juan Rulfo</v>
      </c>
      <c r="K427" t="str">
        <f>IFERROR(VLOOKUP(Prestamos[[#This Row],[ID Libro]],Inventario_Libros!A:D,4,0),"Libro No Existe")</f>
        <v>Novela</v>
      </c>
      <c r="L427">
        <f>IFERROR(VLOOKUP(Prestamos[[#This Row],[ID Libro]],Inventario_Libros!A:E,5,0),"Libro No Existe")</f>
        <v>1934</v>
      </c>
      <c r="M427" t="str">
        <f>_xlfn.XLOOKUP(D:D,Inventario_Libros!A:A,Inventario_Libros!G:G,"No Existe",0)</f>
        <v>Est-1</v>
      </c>
      <c r="N427" t="str">
        <f>IFERROR(VLOOKUP(Prestamos[[#This Row],[ID Libro]],Inventario_Libros!A:H,8,0),"Libro No Existe")</f>
        <v>Retirado</v>
      </c>
    </row>
    <row r="428" spans="1:14" x14ac:dyDescent="0.3">
      <c r="A428" s="5" t="s">
        <v>955</v>
      </c>
      <c r="B428" s="1">
        <v>45936</v>
      </c>
      <c r="C428" s="1">
        <v>45961</v>
      </c>
      <c r="D428" s="4" t="s">
        <v>341</v>
      </c>
      <c r="E428" s="2" t="s">
        <v>271</v>
      </c>
      <c r="F428" s="2" t="s">
        <v>263</v>
      </c>
      <c r="G428" s="2" t="s">
        <v>253</v>
      </c>
      <c r="H428" s="3">
        <v>10</v>
      </c>
      <c r="I428" t="str">
        <f>IFERROR(VLOOKUP(Prestamos[[#This Row],[ID Libro]],Inventario_Libros!A:B,2,0),"Libro No Existe")</f>
        <v>Hamlet</v>
      </c>
      <c r="J428" t="str">
        <f>IFERROR(VLOOKUP(Prestamos[[#This Row],[ID Libro]],Inventario_Libros!A:C,3,0),"Libro No Existe")</f>
        <v>William Shakespeare</v>
      </c>
      <c r="K428" t="str">
        <f>IFERROR(VLOOKUP(Prestamos[[#This Row],[ID Libro]],Inventario_Libros!A:D,4,0),"Libro No Existe")</f>
        <v>Clásicos</v>
      </c>
      <c r="L428">
        <f>IFERROR(VLOOKUP(Prestamos[[#This Row],[ID Libro]],Inventario_Libros!A:E,5,0),"Libro No Existe")</f>
        <v>1905</v>
      </c>
      <c r="M428" t="str">
        <f>_xlfn.XLOOKUP(D:D,Inventario_Libros!A:A,Inventario_Libros!G:G,"No Existe",0)</f>
        <v>B-2</v>
      </c>
      <c r="N428" t="str">
        <f>IFERROR(VLOOKUP(Prestamos[[#This Row],[ID Libro]],Inventario_Libros!A:H,8,0),"Libro No Existe")</f>
        <v>Activo</v>
      </c>
    </row>
    <row r="429" spans="1:14" x14ac:dyDescent="0.3">
      <c r="A429" s="5" t="s">
        <v>956</v>
      </c>
      <c r="B429" s="1">
        <v>45763</v>
      </c>
      <c r="C429" s="1" t="s">
        <v>289</v>
      </c>
      <c r="D429" s="4" t="s">
        <v>437</v>
      </c>
      <c r="E429" s="2" t="s">
        <v>273</v>
      </c>
      <c r="F429" s="2" t="s">
        <v>275</v>
      </c>
      <c r="G429" s="2" t="s">
        <v>257</v>
      </c>
      <c r="H429" s="3">
        <v>5</v>
      </c>
      <c r="I429" t="str">
        <f>IFERROR(VLOOKUP(Prestamos[[#This Row],[ID Libro]],Inventario_Libros!A:B,2,0),"Libro No Existe")</f>
        <v>El Código Da Vinci</v>
      </c>
      <c r="J429" t="str">
        <f>IFERROR(VLOOKUP(Prestamos[[#This Row],[ID Libro]],Inventario_Libros!A:C,3,0),"Libro No Existe")</f>
        <v>Dan Brown</v>
      </c>
      <c r="K429" t="str">
        <f>IFERROR(VLOOKUP(Prestamos[[#This Row],[ID Libro]],Inventario_Libros!A:D,4,0),"Libro No Existe")</f>
        <v>Misterio</v>
      </c>
      <c r="L429">
        <f>IFERROR(VLOOKUP(Prestamos[[#This Row],[ID Libro]],Inventario_Libros!A:E,5,0),"Libro No Existe")</f>
        <v>1935</v>
      </c>
      <c r="M429" t="str">
        <f>_xlfn.XLOOKUP(D:D,Inventario_Libros!A:A,Inventario_Libros!G:G,"No Existe",0)</f>
        <v>B-2</v>
      </c>
      <c r="N429" t="str">
        <f>IFERROR(VLOOKUP(Prestamos[[#This Row],[ID Libro]],Inventario_Libros!A:H,8,0),"Libro No Existe")</f>
        <v>Retirado</v>
      </c>
    </row>
    <row r="430" spans="1:14" x14ac:dyDescent="0.3">
      <c r="A430" s="5" t="s">
        <v>957</v>
      </c>
      <c r="B430" s="1">
        <v>45792</v>
      </c>
      <c r="C430" s="1">
        <v>45817</v>
      </c>
      <c r="D430" s="4" t="s">
        <v>362</v>
      </c>
      <c r="E430" s="2" t="s">
        <v>270</v>
      </c>
      <c r="F430" s="2" t="s">
        <v>252</v>
      </c>
      <c r="G430" s="2" t="s">
        <v>253</v>
      </c>
      <c r="H430" s="3">
        <v>10</v>
      </c>
      <c r="I430" t="str">
        <f>IFERROR(VLOOKUP(Prestamos[[#This Row],[ID Libro]],Inventario_Libros!A:B,2,0),"Libro No Existe")</f>
        <v>Rebelión En La Granja</v>
      </c>
      <c r="J430" t="str">
        <f>IFERROR(VLOOKUP(Prestamos[[#This Row],[ID Libro]],Inventario_Libros!A:C,3,0),"Libro No Existe")</f>
        <v>George Orwell</v>
      </c>
      <c r="K430" t="str">
        <f>IFERROR(VLOOKUP(Prestamos[[#This Row],[ID Libro]],Inventario_Libros!A:D,4,0),"Libro No Existe")</f>
        <v>Ciencia Ficción</v>
      </c>
      <c r="L430">
        <f>IFERROR(VLOOKUP(Prestamos[[#This Row],[ID Libro]],Inventario_Libros!A:E,5,0),"Libro No Existe")</f>
        <v>1910</v>
      </c>
      <c r="M430" t="str">
        <f>_xlfn.XLOOKUP(D:D,Inventario_Libros!A:A,Inventario_Libros!G:G,"No Existe",0)</f>
        <v>Est-1</v>
      </c>
      <c r="N430" t="str">
        <f>IFERROR(VLOOKUP(Prestamos[[#This Row],[ID Libro]],Inventario_Libros!A:H,8,0),"Libro No Existe")</f>
        <v>Retirado</v>
      </c>
    </row>
    <row r="431" spans="1:14" x14ac:dyDescent="0.3">
      <c r="A431" s="5" t="s">
        <v>958</v>
      </c>
      <c r="B431" s="1">
        <v>45974</v>
      </c>
      <c r="C431" s="1">
        <v>45999</v>
      </c>
      <c r="D431" s="4" t="s">
        <v>380</v>
      </c>
      <c r="E431" s="2" t="s">
        <v>251</v>
      </c>
      <c r="F431" s="2" t="s">
        <v>275</v>
      </c>
      <c r="G431" s="2" t="s">
        <v>279</v>
      </c>
      <c r="H431" s="3" t="s">
        <v>289</v>
      </c>
      <c r="I431" t="str">
        <f>IFERROR(VLOOKUP(Prestamos[[#This Row],[ID Libro]],Inventario_Libros!A:B,2,0),"Libro No Existe")</f>
        <v>El Amor En Los Tiempos Del Cólera</v>
      </c>
      <c r="J431" t="str">
        <f>IFERROR(VLOOKUP(Prestamos[[#This Row],[ID Libro]],Inventario_Libros!A:C,3,0),"Libro No Existe")</f>
        <v>Gabriel García Márquez</v>
      </c>
      <c r="K431" t="str">
        <f>IFERROR(VLOOKUP(Prestamos[[#This Row],[ID Libro]],Inventario_Libros!A:D,4,0),"Libro No Existe")</f>
        <v>Novela</v>
      </c>
      <c r="L431">
        <f>IFERROR(VLOOKUP(Prestamos[[#This Row],[ID Libro]],Inventario_Libros!A:E,5,0),"Libro No Existe")</f>
        <v>1991</v>
      </c>
      <c r="M431" t="str">
        <f>_xlfn.XLOOKUP(D:D,Inventario_Libros!A:A,Inventario_Libros!G:G,"No Existe",0)</f>
        <v>C-3</v>
      </c>
      <c r="N431" t="str">
        <f>IFERROR(VLOOKUP(Prestamos[[#This Row],[ID Libro]],Inventario_Libros!A:H,8,0),"Libro No Existe")</f>
        <v>Activo</v>
      </c>
    </row>
    <row r="432" spans="1:14" x14ac:dyDescent="0.3">
      <c r="A432" s="5" t="s">
        <v>959</v>
      </c>
      <c r="B432" s="1">
        <v>45785</v>
      </c>
      <c r="C432" s="1">
        <v>45805</v>
      </c>
      <c r="D432" s="4" t="s">
        <v>484</v>
      </c>
      <c r="E432" s="2" t="s">
        <v>270</v>
      </c>
      <c r="F432" s="2" t="s">
        <v>263</v>
      </c>
      <c r="G432" s="2" t="s">
        <v>257</v>
      </c>
      <c r="H432" s="3">
        <v>5</v>
      </c>
      <c r="I432" t="str">
        <f>IFERROR(VLOOKUP(Prestamos[[#This Row],[ID Libro]],Inventario_Libros!A:B,2,0),"Libro No Existe")</f>
        <v>La Casa De Los Espíritus</v>
      </c>
      <c r="J432" t="str">
        <f>IFERROR(VLOOKUP(Prestamos[[#This Row],[ID Libro]],Inventario_Libros!A:C,3,0),"Libro No Existe")</f>
        <v>Isabel Allende</v>
      </c>
      <c r="K432" t="str">
        <f>IFERROR(VLOOKUP(Prestamos[[#This Row],[ID Libro]],Inventario_Libros!A:D,4,0),"Libro No Existe")</f>
        <v>Novela</v>
      </c>
      <c r="L432">
        <f>IFERROR(VLOOKUP(Prestamos[[#This Row],[ID Libro]],Inventario_Libros!A:E,5,0),"Libro No Existe")</f>
        <v>1887</v>
      </c>
      <c r="M432" t="str">
        <f>_xlfn.XLOOKUP(D:D,Inventario_Libros!A:A,Inventario_Libros!G:G,"No Existe",0)</f>
        <v>Est-1</v>
      </c>
      <c r="N432" t="str">
        <f>IFERROR(VLOOKUP(Prestamos[[#This Row],[ID Libro]],Inventario_Libros!A:H,8,0),"Libro No Existe")</f>
        <v>Retirado</v>
      </c>
    </row>
    <row r="433" spans="1:14" x14ac:dyDescent="0.3">
      <c r="A433" s="5" t="s">
        <v>960</v>
      </c>
      <c r="B433" s="1">
        <v>45733</v>
      </c>
      <c r="C433" s="1">
        <v>45750</v>
      </c>
      <c r="D433" s="4" t="s">
        <v>499</v>
      </c>
      <c r="E433" s="2" t="s">
        <v>272</v>
      </c>
      <c r="F433" s="2" t="s">
        <v>275</v>
      </c>
      <c r="G433" s="2" t="s">
        <v>257</v>
      </c>
      <c r="H433" s="3">
        <v>2</v>
      </c>
      <c r="I433" t="str">
        <f>IFERROR(VLOOKUP(Prestamos[[#This Row],[ID Libro]],Inventario_Libros!A:B,2,0),"Libro No Existe")</f>
        <v>Crónica De Una Muerte Anunciada</v>
      </c>
      <c r="J433" t="str">
        <f>IFERROR(VLOOKUP(Prestamos[[#This Row],[ID Libro]],Inventario_Libros!A:C,3,0),"Libro No Existe")</f>
        <v>Gabriel García Márquez</v>
      </c>
      <c r="K433" t="str">
        <f>IFERROR(VLOOKUP(Prestamos[[#This Row],[ID Libro]],Inventario_Libros!A:D,4,0),"Libro No Existe")</f>
        <v>Novela</v>
      </c>
      <c r="L433">
        <f>IFERROR(VLOOKUP(Prestamos[[#This Row],[ID Libro]],Inventario_Libros!A:E,5,0),"Libro No Existe")</f>
        <v>1956</v>
      </c>
      <c r="M433" t="str">
        <f>_xlfn.XLOOKUP(D:D,Inventario_Libros!A:A,Inventario_Libros!G:G,"No Existe",0)</f>
        <v>A-1</v>
      </c>
      <c r="N433" t="str">
        <f>IFERROR(VLOOKUP(Prestamos[[#This Row],[ID Libro]],Inventario_Libros!A:H,8,0),"Libro No Existe")</f>
        <v>Activo</v>
      </c>
    </row>
    <row r="434" spans="1:14" x14ac:dyDescent="0.3">
      <c r="A434" s="5" t="s">
        <v>961</v>
      </c>
      <c r="B434" s="1">
        <v>45780</v>
      </c>
      <c r="C434" s="1">
        <v>45805</v>
      </c>
      <c r="D434" s="4" t="s">
        <v>511</v>
      </c>
      <c r="E434" s="2" t="s">
        <v>281</v>
      </c>
      <c r="F434" s="2" t="s">
        <v>258</v>
      </c>
      <c r="G434" s="2" t="s">
        <v>279</v>
      </c>
      <c r="H434" s="3" t="s">
        <v>289</v>
      </c>
      <c r="I434" t="str">
        <f>IFERROR(VLOOKUP(Prestamos[[#This Row],[ID Libro]],Inventario_Libros!A:B,2,0),"Libro No Existe")</f>
        <v>Rayuela</v>
      </c>
      <c r="J434" t="str">
        <f>IFERROR(VLOOKUP(Prestamos[[#This Row],[ID Libro]],Inventario_Libros!A:C,3,0),"Libro No Existe")</f>
        <v>Julio Cortázar</v>
      </c>
      <c r="K434" t="str">
        <f>IFERROR(VLOOKUP(Prestamos[[#This Row],[ID Libro]],Inventario_Libros!A:D,4,0),"Libro No Existe")</f>
        <v>Novela</v>
      </c>
      <c r="L434">
        <f>IFERROR(VLOOKUP(Prestamos[[#This Row],[ID Libro]],Inventario_Libros!A:E,5,0),"Libro No Existe")</f>
        <v>1894</v>
      </c>
      <c r="M434" t="str">
        <f>_xlfn.XLOOKUP(D:D,Inventario_Libros!A:A,Inventario_Libros!G:G,"No Existe",0)</f>
        <v>A-1</v>
      </c>
      <c r="N434" t="str">
        <f>IFERROR(VLOOKUP(Prestamos[[#This Row],[ID Libro]],Inventario_Libros!A:H,8,0),"Libro No Existe")</f>
        <v>Activo</v>
      </c>
    </row>
    <row r="435" spans="1:14" x14ac:dyDescent="0.3">
      <c r="A435" s="5" t="s">
        <v>962</v>
      </c>
      <c r="B435" s="1">
        <v>45703</v>
      </c>
      <c r="C435" s="1">
        <v>45723</v>
      </c>
      <c r="D435" s="4" t="s">
        <v>433</v>
      </c>
      <c r="E435" s="2" t="s">
        <v>272</v>
      </c>
      <c r="F435" s="2" t="s">
        <v>275</v>
      </c>
      <c r="G435" s="2" t="s">
        <v>257</v>
      </c>
      <c r="H435" s="3">
        <v>5</v>
      </c>
      <c r="I435" t="str">
        <f>IFERROR(VLOOKUP(Prestamos[[#This Row],[ID Libro]],Inventario_Libros!A:B,2,0),"Libro No Existe")</f>
        <v>Don Quijote De La Mancha</v>
      </c>
      <c r="J435" t="str">
        <f>IFERROR(VLOOKUP(Prestamos[[#This Row],[ID Libro]],Inventario_Libros!A:C,3,0),"Libro No Existe")</f>
        <v>Miguel De Cervantes</v>
      </c>
      <c r="K435" t="str">
        <f>IFERROR(VLOOKUP(Prestamos[[#This Row],[ID Libro]],Inventario_Libros!A:D,4,0),"Libro No Existe")</f>
        <v>Novela</v>
      </c>
      <c r="L435">
        <f>IFERROR(VLOOKUP(Prestamos[[#This Row],[ID Libro]],Inventario_Libros!A:E,5,0),"Libro No Existe")</f>
        <v>1889</v>
      </c>
      <c r="M435" t="str">
        <f>_xlfn.XLOOKUP(D:D,Inventario_Libros!A:A,Inventario_Libros!G:G,"No Existe",0)</f>
        <v>B-2</v>
      </c>
      <c r="N435" t="str">
        <f>IFERROR(VLOOKUP(Prestamos[[#This Row],[ID Libro]],Inventario_Libros!A:H,8,0),"Libro No Existe")</f>
        <v>Activo</v>
      </c>
    </row>
    <row r="436" spans="1:14" x14ac:dyDescent="0.3">
      <c r="A436" s="5" t="s">
        <v>963</v>
      </c>
      <c r="B436" s="1">
        <v>45708</v>
      </c>
      <c r="C436" s="1">
        <v>45724</v>
      </c>
      <c r="D436" s="4" t="s">
        <v>449</v>
      </c>
      <c r="E436" s="2" t="s">
        <v>277</v>
      </c>
      <c r="F436" s="2" t="s">
        <v>263</v>
      </c>
      <c r="G436" s="2" t="s">
        <v>257</v>
      </c>
      <c r="H436" s="3">
        <v>1</v>
      </c>
      <c r="I436" t="str">
        <f>IFERROR(VLOOKUP(Prestamos[[#This Row],[ID Libro]],Inventario_Libros!A:B,2,0),"Libro No Existe")</f>
        <v>Rebelión En La Granja</v>
      </c>
      <c r="J436" t="str">
        <f>IFERROR(VLOOKUP(Prestamos[[#This Row],[ID Libro]],Inventario_Libros!A:C,3,0),"Libro No Existe")</f>
        <v>George Orwell</v>
      </c>
      <c r="K436" t="str">
        <f>IFERROR(VLOOKUP(Prestamos[[#This Row],[ID Libro]],Inventario_Libros!A:D,4,0),"Libro No Existe")</f>
        <v>Ciencia Ficción</v>
      </c>
      <c r="L436">
        <f>IFERROR(VLOOKUP(Prestamos[[#This Row],[ID Libro]],Inventario_Libros!A:E,5,0),"Libro No Existe")</f>
        <v>1886</v>
      </c>
      <c r="M436" t="str">
        <f>_xlfn.XLOOKUP(D:D,Inventario_Libros!A:A,Inventario_Libros!G:G,"No Existe",0)</f>
        <v>Est-1</v>
      </c>
      <c r="N436" t="str">
        <f>IFERROR(VLOOKUP(Prestamos[[#This Row],[ID Libro]],Inventario_Libros!A:H,8,0),"Libro No Existe")</f>
        <v>Retirado</v>
      </c>
    </row>
    <row r="437" spans="1:14" x14ac:dyDescent="0.3">
      <c r="A437" s="5" t="s">
        <v>964</v>
      </c>
      <c r="B437" s="1">
        <v>45732</v>
      </c>
      <c r="C437" s="1">
        <v>45752</v>
      </c>
      <c r="D437" s="4" t="s">
        <v>377</v>
      </c>
      <c r="E437" s="2" t="s">
        <v>271</v>
      </c>
      <c r="F437" s="2" t="s">
        <v>275</v>
      </c>
      <c r="G437" s="2" t="s">
        <v>257</v>
      </c>
      <c r="H437" s="3">
        <v>5</v>
      </c>
      <c r="I437" t="str">
        <f>IFERROR(VLOOKUP(Prestamos[[#This Row],[ID Libro]],Inventario_Libros!A:B,2,0),"Libro No Existe")</f>
        <v>Orgullo Y Prejuicio</v>
      </c>
      <c r="J437" t="str">
        <f>IFERROR(VLOOKUP(Prestamos[[#This Row],[ID Libro]],Inventario_Libros!A:C,3,0),"Libro No Existe")</f>
        <v>Jane Austen</v>
      </c>
      <c r="K437" t="str">
        <f>IFERROR(VLOOKUP(Prestamos[[#This Row],[ID Libro]],Inventario_Libros!A:D,4,0),"Libro No Existe")</f>
        <v>Novela</v>
      </c>
      <c r="L437">
        <f>IFERROR(VLOOKUP(Prestamos[[#This Row],[ID Libro]],Inventario_Libros!A:E,5,0),"Libro No Existe")</f>
        <v>1934</v>
      </c>
      <c r="M437" t="str">
        <f>_xlfn.XLOOKUP(D:D,Inventario_Libros!A:A,Inventario_Libros!G:G,"No Existe",0)</f>
        <v>A-1</v>
      </c>
      <c r="N437" t="str">
        <f>IFERROR(VLOOKUP(Prestamos[[#This Row],[ID Libro]],Inventario_Libros!A:H,8,0),"Libro No Existe")</f>
        <v>Activo</v>
      </c>
    </row>
    <row r="438" spans="1:14" x14ac:dyDescent="0.3">
      <c r="A438" s="5" t="s">
        <v>965</v>
      </c>
      <c r="B438" s="1">
        <v>45841</v>
      </c>
      <c r="C438" s="1">
        <v>45867</v>
      </c>
      <c r="D438" s="4" t="s">
        <v>337</v>
      </c>
      <c r="E438" s="2" t="s">
        <v>265</v>
      </c>
      <c r="F438" s="2" t="s">
        <v>263</v>
      </c>
      <c r="G438" s="2" t="s">
        <v>279</v>
      </c>
      <c r="H438" s="3" t="s">
        <v>289</v>
      </c>
      <c r="I438" t="str">
        <f>IFERROR(VLOOKUP(Prestamos[[#This Row],[ID Libro]],Inventario_Libros!A:B,2,0),"Libro No Existe")</f>
        <v>Ficciones</v>
      </c>
      <c r="J438" t="str">
        <f>IFERROR(VLOOKUP(Prestamos[[#This Row],[ID Libro]],Inventario_Libros!A:C,3,0),"Libro No Existe")</f>
        <v>Jorge Luis Borges</v>
      </c>
      <c r="K438" t="str">
        <f>IFERROR(VLOOKUP(Prestamos[[#This Row],[ID Libro]],Inventario_Libros!A:D,4,0),"Libro No Existe")</f>
        <v>Cuentos / Fantasía Metafísica</v>
      </c>
      <c r="L438">
        <f>IFERROR(VLOOKUP(Prestamos[[#This Row],[ID Libro]],Inventario_Libros!A:E,5,0),"Libro No Existe")</f>
        <v>1997</v>
      </c>
      <c r="M438" t="str">
        <f>_xlfn.XLOOKUP(D:D,Inventario_Libros!A:A,Inventario_Libros!G:G,"No Existe",0)</f>
        <v>B-2</v>
      </c>
      <c r="N438" t="str">
        <f>IFERROR(VLOOKUP(Prestamos[[#This Row],[ID Libro]],Inventario_Libros!A:H,8,0),"Libro No Existe")</f>
        <v>Activo</v>
      </c>
    </row>
    <row r="439" spans="1:14" x14ac:dyDescent="0.3">
      <c r="A439" s="5" t="s">
        <v>966</v>
      </c>
      <c r="B439" s="1">
        <v>45914</v>
      </c>
      <c r="C439" s="1">
        <v>45940</v>
      </c>
      <c r="D439" s="4" t="s">
        <v>429</v>
      </c>
      <c r="E439" s="2" t="s">
        <v>267</v>
      </c>
      <c r="F439" s="2" t="s">
        <v>275</v>
      </c>
      <c r="G439" s="2" t="s">
        <v>253</v>
      </c>
      <c r="H439" s="3">
        <v>11</v>
      </c>
      <c r="I439" t="str">
        <f>IFERROR(VLOOKUP(Prestamos[[#This Row],[ID Libro]],Inventario_Libros!A:B,2,0),"Libro No Existe")</f>
        <v>Pedro Páramo</v>
      </c>
      <c r="J439" t="str">
        <f>IFERROR(VLOOKUP(Prestamos[[#This Row],[ID Libro]],Inventario_Libros!A:C,3,0),"Libro No Existe")</f>
        <v>Juan Rulfo</v>
      </c>
      <c r="K439" t="str">
        <f>IFERROR(VLOOKUP(Prestamos[[#This Row],[ID Libro]],Inventario_Libros!A:D,4,0),"Libro No Existe")</f>
        <v>Novela</v>
      </c>
      <c r="L439">
        <f>IFERROR(VLOOKUP(Prestamos[[#This Row],[ID Libro]],Inventario_Libros!A:E,5,0),"Libro No Existe")</f>
        <v>1924</v>
      </c>
      <c r="M439" t="str">
        <f>_xlfn.XLOOKUP(D:D,Inventario_Libros!A:A,Inventario_Libros!G:G,"No Existe",0)</f>
        <v>Est-1</v>
      </c>
      <c r="N439" t="str">
        <f>IFERROR(VLOOKUP(Prestamos[[#This Row],[ID Libro]],Inventario_Libros!A:H,8,0),"Libro No Existe")</f>
        <v>Retirado</v>
      </c>
    </row>
    <row r="440" spans="1:14" x14ac:dyDescent="0.3">
      <c r="A440" s="5" t="s">
        <v>967</v>
      </c>
      <c r="B440" s="1">
        <v>45731</v>
      </c>
      <c r="C440" s="1">
        <v>45749</v>
      </c>
      <c r="D440" s="4" t="s">
        <v>386</v>
      </c>
      <c r="E440" s="2" t="s">
        <v>261</v>
      </c>
      <c r="F440" s="2" t="s">
        <v>255</v>
      </c>
      <c r="G440" s="2" t="s">
        <v>257</v>
      </c>
      <c r="H440" s="3">
        <v>3</v>
      </c>
      <c r="I440" t="str">
        <f>IFERROR(VLOOKUP(Prestamos[[#This Row],[ID Libro]],Inventario_Libros!A:B,2,0),"Libro No Existe")</f>
        <v>El Amor En Los Tiempos Del Cólera</v>
      </c>
      <c r="J440" t="str">
        <f>IFERROR(VLOOKUP(Prestamos[[#This Row],[ID Libro]],Inventario_Libros!A:C,3,0),"Libro No Existe")</f>
        <v>Gabriel García Márquez</v>
      </c>
      <c r="K440" t="str">
        <f>IFERROR(VLOOKUP(Prestamos[[#This Row],[ID Libro]],Inventario_Libros!A:D,4,0),"Libro No Existe")</f>
        <v>Novela</v>
      </c>
      <c r="L440">
        <f>IFERROR(VLOOKUP(Prestamos[[#This Row],[ID Libro]],Inventario_Libros!A:E,5,0),"Libro No Existe")</f>
        <v>1954</v>
      </c>
      <c r="M440" t="str">
        <f>_xlfn.XLOOKUP(D:D,Inventario_Libros!A:A,Inventario_Libros!G:G,"No Existe",0)</f>
        <v>B-2</v>
      </c>
      <c r="N440" t="str">
        <f>IFERROR(VLOOKUP(Prestamos[[#This Row],[ID Libro]],Inventario_Libros!A:H,8,0),"Libro No Existe")</f>
        <v>Retirado</v>
      </c>
    </row>
    <row r="441" spans="1:14" x14ac:dyDescent="0.3">
      <c r="A441" s="5" t="s">
        <v>968</v>
      </c>
      <c r="B441" s="1">
        <v>45917</v>
      </c>
      <c r="C441" s="1">
        <v>45935</v>
      </c>
      <c r="D441" s="4" t="s">
        <v>391</v>
      </c>
      <c r="E441" s="2" t="s">
        <v>260</v>
      </c>
      <c r="F441" s="2" t="s">
        <v>255</v>
      </c>
      <c r="G441" s="2" t="s">
        <v>257</v>
      </c>
      <c r="H441" s="3">
        <v>3</v>
      </c>
      <c r="I441" t="str">
        <f>IFERROR(VLOOKUP(Prestamos[[#This Row],[ID Libro]],Inventario_Libros!A:B,2,0),"Libro No Existe")</f>
        <v>El Código Da Vinci</v>
      </c>
      <c r="J441" t="str">
        <f>IFERROR(VLOOKUP(Prestamos[[#This Row],[ID Libro]],Inventario_Libros!A:C,3,0),"Libro No Existe")</f>
        <v>Dan Brown</v>
      </c>
      <c r="K441" t="str">
        <f>IFERROR(VLOOKUP(Prestamos[[#This Row],[ID Libro]],Inventario_Libros!A:D,4,0),"Libro No Existe")</f>
        <v>Misterio</v>
      </c>
      <c r="L441">
        <f>IFERROR(VLOOKUP(Prestamos[[#This Row],[ID Libro]],Inventario_Libros!A:E,5,0),"Libro No Existe")</f>
        <v>1935</v>
      </c>
      <c r="M441" t="str">
        <f>_xlfn.XLOOKUP(D:D,Inventario_Libros!A:A,Inventario_Libros!G:G,"No Existe",0)</f>
        <v>A-1</v>
      </c>
      <c r="N441" t="str">
        <f>IFERROR(VLOOKUP(Prestamos[[#This Row],[ID Libro]],Inventario_Libros!A:H,8,0),"Libro No Existe")</f>
        <v>Retirado</v>
      </c>
    </row>
    <row r="442" spans="1:14" x14ac:dyDescent="0.3">
      <c r="A442" s="5" t="s">
        <v>969</v>
      </c>
      <c r="B442" s="1">
        <v>45759</v>
      </c>
      <c r="C442" s="1">
        <v>45785</v>
      </c>
      <c r="D442" s="4" t="s">
        <v>458</v>
      </c>
      <c r="E442" s="2" t="s">
        <v>274</v>
      </c>
      <c r="F442" s="2" t="s">
        <v>263</v>
      </c>
      <c r="G442" s="2" t="s">
        <v>253</v>
      </c>
      <c r="H442" s="3">
        <v>11</v>
      </c>
      <c r="I442" t="str">
        <f>IFERROR(VLOOKUP(Prestamos[[#This Row],[ID Libro]],Inventario_Libros!A:B,2,0),"Libro No Existe")</f>
        <v>Don Quijote De La Mancha</v>
      </c>
      <c r="J442" t="str">
        <f>IFERROR(VLOOKUP(Prestamos[[#This Row],[ID Libro]],Inventario_Libros!A:C,3,0),"Libro No Existe")</f>
        <v>Miguel De Cervantes</v>
      </c>
      <c r="K442" t="str">
        <f>IFERROR(VLOOKUP(Prestamos[[#This Row],[ID Libro]],Inventario_Libros!A:D,4,0),"Libro No Existe")</f>
        <v>Novela</v>
      </c>
      <c r="L442">
        <f>IFERROR(VLOOKUP(Prestamos[[#This Row],[ID Libro]],Inventario_Libros!A:E,5,0),"Libro No Existe")</f>
        <v>1933</v>
      </c>
      <c r="M442" t="str">
        <f>_xlfn.XLOOKUP(D:D,Inventario_Libros!A:A,Inventario_Libros!G:G,"No Existe",0)</f>
        <v>B-2</v>
      </c>
      <c r="N442" t="str">
        <f>IFERROR(VLOOKUP(Prestamos[[#This Row],[ID Libro]],Inventario_Libros!A:H,8,0),"Libro No Existe")</f>
        <v>Retirado</v>
      </c>
    </row>
    <row r="443" spans="1:14" x14ac:dyDescent="0.3">
      <c r="A443" s="5" t="s">
        <v>970</v>
      </c>
      <c r="B443" s="1">
        <v>45945</v>
      </c>
      <c r="C443" s="1">
        <v>45971</v>
      </c>
      <c r="D443" s="4" t="s">
        <v>409</v>
      </c>
      <c r="E443" s="2" t="s">
        <v>259</v>
      </c>
      <c r="F443" s="2" t="s">
        <v>263</v>
      </c>
      <c r="G443" s="2" t="s">
        <v>279</v>
      </c>
      <c r="H443" s="3" t="s">
        <v>289</v>
      </c>
      <c r="I443" t="str">
        <f>IFERROR(VLOOKUP(Prestamos[[#This Row],[ID Libro]],Inventario_Libros!A:B,2,0),"Libro No Existe")</f>
        <v>Crónica De Una Muerte Anunciada</v>
      </c>
      <c r="J443" t="str">
        <f>IFERROR(VLOOKUP(Prestamos[[#This Row],[ID Libro]],Inventario_Libros!A:C,3,0),"Libro No Existe")</f>
        <v>Gabriel García Márquez</v>
      </c>
      <c r="K443" t="str">
        <f>IFERROR(VLOOKUP(Prestamos[[#This Row],[ID Libro]],Inventario_Libros!A:D,4,0),"Libro No Existe")</f>
        <v>Novela</v>
      </c>
      <c r="L443">
        <f>IFERROR(VLOOKUP(Prestamos[[#This Row],[ID Libro]],Inventario_Libros!A:E,5,0),"Libro No Existe")</f>
        <v>1930</v>
      </c>
      <c r="M443" t="str">
        <f>_xlfn.XLOOKUP(D:D,Inventario_Libros!A:A,Inventario_Libros!G:G,"No Existe",0)</f>
        <v>A-1</v>
      </c>
      <c r="N443" t="str">
        <f>IFERROR(VLOOKUP(Prestamos[[#This Row],[ID Libro]],Inventario_Libros!A:H,8,0),"Libro No Existe")</f>
        <v>Retirado</v>
      </c>
    </row>
    <row r="444" spans="1:14" x14ac:dyDescent="0.3">
      <c r="A444" s="5" t="s">
        <v>971</v>
      </c>
      <c r="B444" s="1">
        <v>45793</v>
      </c>
      <c r="C444" s="1">
        <v>45809</v>
      </c>
      <c r="D444" s="4" t="s">
        <v>318</v>
      </c>
      <c r="E444" s="2" t="s">
        <v>270</v>
      </c>
      <c r="F444" s="2" t="s">
        <v>263</v>
      </c>
      <c r="G444" s="2" t="s">
        <v>257</v>
      </c>
      <c r="H444" s="3">
        <v>1</v>
      </c>
      <c r="I444" t="str">
        <f>IFERROR(VLOOKUP(Prestamos[[#This Row],[ID Libro]],Inventario_Libros!A:B,2,0),"Libro No Existe")</f>
        <v>Ficciones</v>
      </c>
      <c r="J444" t="str">
        <f>IFERROR(VLOOKUP(Prestamos[[#This Row],[ID Libro]],Inventario_Libros!A:C,3,0),"Libro No Existe")</f>
        <v>Jorge Luis Borges</v>
      </c>
      <c r="K444" t="str">
        <f>IFERROR(VLOOKUP(Prestamos[[#This Row],[ID Libro]],Inventario_Libros!A:D,4,0),"Libro No Existe")</f>
        <v>Cuentos / Fantasía Metafísica</v>
      </c>
      <c r="L444">
        <f>IFERROR(VLOOKUP(Prestamos[[#This Row],[ID Libro]],Inventario_Libros!A:E,5,0),"Libro No Existe")</f>
        <v>1990</v>
      </c>
      <c r="M444" t="str">
        <f>_xlfn.XLOOKUP(D:D,Inventario_Libros!A:A,Inventario_Libros!G:G,"No Existe",0)</f>
        <v>A-1</v>
      </c>
      <c r="N444" t="str">
        <f>IFERROR(VLOOKUP(Prestamos[[#This Row],[ID Libro]],Inventario_Libros!A:H,8,0),"Libro No Existe")</f>
        <v>Retirado</v>
      </c>
    </row>
    <row r="445" spans="1:14" x14ac:dyDescent="0.3">
      <c r="A445" s="5" t="s">
        <v>972</v>
      </c>
      <c r="B445" s="1">
        <v>45740</v>
      </c>
      <c r="C445" s="1">
        <v>45765</v>
      </c>
      <c r="D445" s="4" t="s">
        <v>467</v>
      </c>
      <c r="E445" s="2" t="s">
        <v>264</v>
      </c>
      <c r="F445" s="2" t="s">
        <v>255</v>
      </c>
      <c r="G445" s="2" t="s">
        <v>257</v>
      </c>
      <c r="H445" s="3">
        <v>10</v>
      </c>
      <c r="I445" t="str">
        <f>IFERROR(VLOOKUP(Prestamos[[#This Row],[ID Libro]],Inventario_Libros!A:B,2,0),"Libro No Existe")</f>
        <v>La Iliada</v>
      </c>
      <c r="J445" t="str">
        <f>IFERROR(VLOOKUP(Prestamos[[#This Row],[ID Libro]],Inventario_Libros!A:C,3,0),"Libro No Existe")</f>
        <v>Homero</v>
      </c>
      <c r="K445" t="str">
        <f>IFERROR(VLOOKUP(Prestamos[[#This Row],[ID Libro]],Inventario_Libros!A:D,4,0),"Libro No Existe")</f>
        <v>Clásicos</v>
      </c>
      <c r="L445">
        <f>IFERROR(VLOOKUP(Prestamos[[#This Row],[ID Libro]],Inventario_Libros!A:E,5,0),"Libro No Existe")</f>
        <v>1947</v>
      </c>
      <c r="M445" t="str">
        <f>_xlfn.XLOOKUP(D:D,Inventario_Libros!A:A,Inventario_Libros!G:G,"No Existe",0)</f>
        <v>A-1</v>
      </c>
      <c r="N445" t="str">
        <f>IFERROR(VLOOKUP(Prestamos[[#This Row],[ID Libro]],Inventario_Libros!A:H,8,0),"Libro No Existe")</f>
        <v>Activo</v>
      </c>
    </row>
    <row r="446" spans="1:14" x14ac:dyDescent="0.3">
      <c r="A446" s="5" t="s">
        <v>973</v>
      </c>
      <c r="B446" s="1">
        <v>45788</v>
      </c>
      <c r="C446" s="1">
        <v>45806</v>
      </c>
      <c r="D446" s="4" t="s">
        <v>375</v>
      </c>
      <c r="E446" s="2" t="s">
        <v>262</v>
      </c>
      <c r="F446" s="2" t="s">
        <v>258</v>
      </c>
      <c r="G446" s="2" t="s">
        <v>257</v>
      </c>
      <c r="H446" s="3">
        <v>3</v>
      </c>
      <c r="I446" t="str">
        <f>IFERROR(VLOOKUP(Prestamos[[#This Row],[ID Libro]],Inventario_Libros!A:B,2,0),"Libro No Existe")</f>
        <v>Matadero Cinco</v>
      </c>
      <c r="J446" t="str">
        <f>IFERROR(VLOOKUP(Prestamos[[#This Row],[ID Libro]],Inventario_Libros!A:C,3,0),"Libro No Existe")</f>
        <v>Kurt Vonnegut</v>
      </c>
      <c r="K446" t="str">
        <f>IFERROR(VLOOKUP(Prestamos[[#This Row],[ID Libro]],Inventario_Libros!A:D,4,0),"Libro No Existe")</f>
        <v>Ciencia Ficción</v>
      </c>
      <c r="L446">
        <f>IFERROR(VLOOKUP(Prestamos[[#This Row],[ID Libro]],Inventario_Libros!A:E,5,0),"Libro No Existe")</f>
        <v>1923</v>
      </c>
      <c r="M446" t="str">
        <f>_xlfn.XLOOKUP(D:D,Inventario_Libros!A:A,Inventario_Libros!G:G,"No Existe",0)</f>
        <v>Est-1</v>
      </c>
      <c r="N446" t="str">
        <f>IFERROR(VLOOKUP(Prestamos[[#This Row],[ID Libro]],Inventario_Libros!A:H,8,0),"Libro No Existe")</f>
        <v>Retirado</v>
      </c>
    </row>
    <row r="447" spans="1:14" x14ac:dyDescent="0.3">
      <c r="A447" s="5" t="s">
        <v>974</v>
      </c>
      <c r="B447" s="1">
        <v>45973</v>
      </c>
      <c r="C447" s="1">
        <v>45999</v>
      </c>
      <c r="D447" s="4" t="s">
        <v>341</v>
      </c>
      <c r="E447" s="2" t="s">
        <v>267</v>
      </c>
      <c r="F447" s="2" t="s">
        <v>263</v>
      </c>
      <c r="G447" s="2" t="s">
        <v>253</v>
      </c>
      <c r="H447" s="3">
        <v>11</v>
      </c>
      <c r="I447" t="str">
        <f>IFERROR(VLOOKUP(Prestamos[[#This Row],[ID Libro]],Inventario_Libros!A:B,2,0),"Libro No Existe")</f>
        <v>Hamlet</v>
      </c>
      <c r="J447" t="str">
        <f>IFERROR(VLOOKUP(Prestamos[[#This Row],[ID Libro]],Inventario_Libros!A:C,3,0),"Libro No Existe")</f>
        <v>William Shakespeare</v>
      </c>
      <c r="K447" t="str">
        <f>IFERROR(VLOOKUP(Prestamos[[#This Row],[ID Libro]],Inventario_Libros!A:D,4,0),"Libro No Existe")</f>
        <v>Clásicos</v>
      </c>
      <c r="L447">
        <f>IFERROR(VLOOKUP(Prestamos[[#This Row],[ID Libro]],Inventario_Libros!A:E,5,0),"Libro No Existe")</f>
        <v>1905</v>
      </c>
      <c r="M447" t="str">
        <f>_xlfn.XLOOKUP(D:D,Inventario_Libros!A:A,Inventario_Libros!G:G,"No Existe",0)</f>
        <v>B-2</v>
      </c>
      <c r="N447" t="str">
        <f>IFERROR(VLOOKUP(Prestamos[[#This Row],[ID Libro]],Inventario_Libros!A:H,8,0),"Libro No Existe")</f>
        <v>Activo</v>
      </c>
    </row>
    <row r="448" spans="1:14" x14ac:dyDescent="0.3">
      <c r="A448" s="5" t="s">
        <v>975</v>
      </c>
      <c r="B448" s="1">
        <v>45834</v>
      </c>
      <c r="C448" s="1">
        <v>45851</v>
      </c>
      <c r="D448" s="4" t="s">
        <v>512</v>
      </c>
      <c r="E448" s="2" t="s">
        <v>270</v>
      </c>
      <c r="F448" s="2" t="s">
        <v>258</v>
      </c>
      <c r="G448" s="2" t="s">
        <v>257</v>
      </c>
      <c r="H448" s="3">
        <v>2</v>
      </c>
      <c r="I448" t="str">
        <f>IFERROR(VLOOKUP(Prestamos[[#This Row],[ID Libro]],Inventario_Libros!A:B,2,0),"Libro No Existe")</f>
        <v>Don Quijote De La Mancha</v>
      </c>
      <c r="J448" t="str">
        <f>IFERROR(VLOOKUP(Prestamos[[#This Row],[ID Libro]],Inventario_Libros!A:C,3,0),"Libro No Existe")</f>
        <v>Miguel De Cervantes</v>
      </c>
      <c r="K448" t="str">
        <f>IFERROR(VLOOKUP(Prestamos[[#This Row],[ID Libro]],Inventario_Libros!A:D,4,0),"Libro No Existe")</f>
        <v>Novela</v>
      </c>
      <c r="L448">
        <f>IFERROR(VLOOKUP(Prestamos[[#This Row],[ID Libro]],Inventario_Libros!A:E,5,0),"Libro No Existe")</f>
        <v>1900</v>
      </c>
      <c r="M448" t="str">
        <f>_xlfn.XLOOKUP(D:D,Inventario_Libros!A:A,Inventario_Libros!G:G,"No Existe",0)</f>
        <v>Est-1</v>
      </c>
      <c r="N448" t="str">
        <f>IFERROR(VLOOKUP(Prestamos[[#This Row],[ID Libro]],Inventario_Libros!A:H,8,0),"Libro No Existe")</f>
        <v>Retirado</v>
      </c>
    </row>
    <row r="449" spans="1:14" x14ac:dyDescent="0.3">
      <c r="A449" s="5" t="s">
        <v>976</v>
      </c>
      <c r="B449" s="1">
        <v>45827</v>
      </c>
      <c r="C449" s="1">
        <v>45844</v>
      </c>
      <c r="D449" s="4" t="s">
        <v>359</v>
      </c>
      <c r="E449" s="2" t="s">
        <v>272</v>
      </c>
      <c r="F449" s="2" t="s">
        <v>275</v>
      </c>
      <c r="G449" s="2" t="s">
        <v>257</v>
      </c>
      <c r="H449" s="3">
        <v>2</v>
      </c>
      <c r="I449" t="str">
        <f>IFERROR(VLOOKUP(Prestamos[[#This Row],[ID Libro]],Inventario_Libros!A:B,2,0),"Libro No Existe")</f>
        <v>Pedro Páramo</v>
      </c>
      <c r="J449" t="str">
        <f>IFERROR(VLOOKUP(Prestamos[[#This Row],[ID Libro]],Inventario_Libros!A:C,3,0),"Libro No Existe")</f>
        <v>Juan Rulfo</v>
      </c>
      <c r="K449" t="str">
        <f>IFERROR(VLOOKUP(Prestamos[[#This Row],[ID Libro]],Inventario_Libros!A:D,4,0),"Libro No Existe")</f>
        <v>Novela</v>
      </c>
      <c r="L449">
        <f>IFERROR(VLOOKUP(Prestamos[[#This Row],[ID Libro]],Inventario_Libros!A:E,5,0),"Libro No Existe")</f>
        <v>1920</v>
      </c>
      <c r="M449" t="str">
        <f>_xlfn.XLOOKUP(D:D,Inventario_Libros!A:A,Inventario_Libros!G:G,"No Existe",0)</f>
        <v>No Asignado</v>
      </c>
      <c r="N449" t="str">
        <f>IFERROR(VLOOKUP(Prestamos[[#This Row],[ID Libro]],Inventario_Libros!A:H,8,0),"Libro No Existe")</f>
        <v>Retirado</v>
      </c>
    </row>
    <row r="450" spans="1:14" x14ac:dyDescent="0.3">
      <c r="A450" s="5" t="s">
        <v>977</v>
      </c>
      <c r="B450" s="1">
        <v>45835</v>
      </c>
      <c r="C450" s="1">
        <v>45861</v>
      </c>
      <c r="D450" s="4" t="s">
        <v>435</v>
      </c>
      <c r="E450" s="2" t="s">
        <v>264</v>
      </c>
      <c r="F450" s="2" t="s">
        <v>258</v>
      </c>
      <c r="G450" s="2" t="s">
        <v>253</v>
      </c>
      <c r="H450" s="3">
        <v>11</v>
      </c>
      <c r="I450" t="str">
        <f>IFERROR(VLOOKUP(Prestamos[[#This Row],[ID Libro]],Inventario_Libros!A:B,2,0),"Libro No Existe")</f>
        <v>El Túnel</v>
      </c>
      <c r="J450" t="str">
        <f>IFERROR(VLOOKUP(Prestamos[[#This Row],[ID Libro]],Inventario_Libros!A:C,3,0),"Libro No Existe")</f>
        <v>Ernesto Sabato</v>
      </c>
      <c r="K450" t="str">
        <f>IFERROR(VLOOKUP(Prestamos[[#This Row],[ID Libro]],Inventario_Libros!A:D,4,0),"Libro No Existe")</f>
        <v>Novela</v>
      </c>
      <c r="L450">
        <f>IFERROR(VLOOKUP(Prestamos[[#This Row],[ID Libro]],Inventario_Libros!A:E,5,0),"Libro No Existe")</f>
        <v>1972</v>
      </c>
      <c r="M450" t="str">
        <f>_xlfn.XLOOKUP(D:D,Inventario_Libros!A:A,Inventario_Libros!G:G,"No Existe",0)</f>
        <v>Est-1</v>
      </c>
      <c r="N450" t="str">
        <f>IFERROR(VLOOKUP(Prestamos[[#This Row],[ID Libro]],Inventario_Libros!A:H,8,0),"Libro No Existe")</f>
        <v>Retirado</v>
      </c>
    </row>
    <row r="451" spans="1:14" x14ac:dyDescent="0.3">
      <c r="A451" s="5" t="s">
        <v>978</v>
      </c>
      <c r="B451" s="1">
        <v>45849</v>
      </c>
      <c r="C451" s="1">
        <v>45875</v>
      </c>
      <c r="D451" s="4" t="s">
        <v>347</v>
      </c>
      <c r="E451" s="2" t="s">
        <v>274</v>
      </c>
      <c r="F451" s="2" t="s">
        <v>275</v>
      </c>
      <c r="G451" s="2" t="s">
        <v>253</v>
      </c>
      <c r="H451" s="3">
        <v>11</v>
      </c>
      <c r="I451" t="str">
        <f>IFERROR(VLOOKUP(Prestamos[[#This Row],[ID Libro]],Inventario_Libros!A:B,2,0),"Libro No Existe")</f>
        <v>Ficciones</v>
      </c>
      <c r="J451" t="str">
        <f>IFERROR(VLOOKUP(Prestamos[[#This Row],[ID Libro]],Inventario_Libros!A:C,3,0),"Libro No Existe")</f>
        <v>Jorge Luis Borges</v>
      </c>
      <c r="K451" t="str">
        <f>IFERROR(VLOOKUP(Prestamos[[#This Row],[ID Libro]],Inventario_Libros!A:D,4,0),"Libro No Existe")</f>
        <v>Cuentos / Fantasía Metafísica</v>
      </c>
      <c r="L451">
        <f>IFERROR(VLOOKUP(Prestamos[[#This Row],[ID Libro]],Inventario_Libros!A:E,5,0),"Libro No Existe")</f>
        <v>1939</v>
      </c>
      <c r="M451" t="str">
        <f>_xlfn.XLOOKUP(D:D,Inventario_Libros!A:A,Inventario_Libros!G:G,"No Existe",0)</f>
        <v>A-1</v>
      </c>
      <c r="N451" t="str">
        <f>IFERROR(VLOOKUP(Prestamos[[#This Row],[ID Libro]],Inventario_Libros!A:H,8,0),"Libro No Existe")</f>
        <v>Activo</v>
      </c>
    </row>
    <row r="452" spans="1:14" x14ac:dyDescent="0.3">
      <c r="A452" s="5" t="s">
        <v>979</v>
      </c>
      <c r="B452" s="1">
        <v>45705</v>
      </c>
      <c r="C452" s="1">
        <v>45731</v>
      </c>
      <c r="D452" s="4" t="s">
        <v>513</v>
      </c>
      <c r="E452" s="2" t="s">
        <v>270</v>
      </c>
      <c r="F452" s="2" t="s">
        <v>258</v>
      </c>
      <c r="G452" s="2" t="s">
        <v>279</v>
      </c>
      <c r="H452" s="3" t="s">
        <v>289</v>
      </c>
      <c r="I452" t="str">
        <f>IFERROR(VLOOKUP(Prestamos[[#This Row],[ID Libro]],Inventario_Libros!A:B,2,0),"Libro No Existe")</f>
        <v>El Aleph</v>
      </c>
      <c r="J452" t="str">
        <f>IFERROR(VLOOKUP(Prestamos[[#This Row],[ID Libro]],Inventario_Libros!A:C,3,0),"Libro No Existe")</f>
        <v>Jorge Luis Borges</v>
      </c>
      <c r="K452" t="str">
        <f>IFERROR(VLOOKUP(Prestamos[[#This Row],[ID Libro]],Inventario_Libros!A:D,4,0),"Libro No Existe")</f>
        <v>Cuentos / Fantasía Metafísica</v>
      </c>
      <c r="L452">
        <f>IFERROR(VLOOKUP(Prestamos[[#This Row],[ID Libro]],Inventario_Libros!A:E,5,0),"Libro No Existe")</f>
        <v>1977</v>
      </c>
      <c r="M452" t="str">
        <f>_xlfn.XLOOKUP(D:D,Inventario_Libros!A:A,Inventario_Libros!G:G,"No Existe",0)</f>
        <v>No Asignado</v>
      </c>
      <c r="N452" t="str">
        <f>IFERROR(VLOOKUP(Prestamos[[#This Row],[ID Libro]],Inventario_Libros!A:H,8,0),"Libro No Existe")</f>
        <v>Activo</v>
      </c>
    </row>
    <row r="453" spans="1:14" x14ac:dyDescent="0.3">
      <c r="A453" s="5" t="s">
        <v>980</v>
      </c>
      <c r="B453" s="1">
        <v>45900</v>
      </c>
      <c r="C453" s="1">
        <v>45926</v>
      </c>
      <c r="D453" s="4" t="s">
        <v>398</v>
      </c>
      <c r="E453" s="2" t="s">
        <v>251</v>
      </c>
      <c r="F453" s="2" t="s">
        <v>275</v>
      </c>
      <c r="G453" s="2" t="s">
        <v>253</v>
      </c>
      <c r="H453" s="3">
        <v>11</v>
      </c>
      <c r="I453" t="str">
        <f>IFERROR(VLOOKUP(Prestamos[[#This Row],[ID Libro]],Inventario_Libros!A:B,2,0),"Libro No Existe")</f>
        <v>Don Quijote De La Mancha</v>
      </c>
      <c r="J453" t="str">
        <f>IFERROR(VLOOKUP(Prestamos[[#This Row],[ID Libro]],Inventario_Libros!A:C,3,0),"Libro No Existe")</f>
        <v>Miguel De Cervantes</v>
      </c>
      <c r="K453" t="str">
        <f>IFERROR(VLOOKUP(Prestamos[[#This Row],[ID Libro]],Inventario_Libros!A:D,4,0),"Libro No Existe")</f>
        <v>Novela</v>
      </c>
      <c r="L453">
        <f>IFERROR(VLOOKUP(Prestamos[[#This Row],[ID Libro]],Inventario_Libros!A:E,5,0),"Libro No Existe")</f>
        <v>1926</v>
      </c>
      <c r="M453" t="str">
        <f>_xlfn.XLOOKUP(D:D,Inventario_Libros!A:A,Inventario_Libros!G:G,"No Existe",0)</f>
        <v>Est-1</v>
      </c>
      <c r="N453" t="str">
        <f>IFERROR(VLOOKUP(Prestamos[[#This Row],[ID Libro]],Inventario_Libros!A:H,8,0),"Libro No Existe")</f>
        <v>Activo</v>
      </c>
    </row>
    <row r="454" spans="1:14" x14ac:dyDescent="0.3">
      <c r="A454" s="5" t="s">
        <v>981</v>
      </c>
      <c r="B454" s="1">
        <v>45930</v>
      </c>
      <c r="C454" s="1">
        <v>45956</v>
      </c>
      <c r="D454" s="4" t="s">
        <v>344</v>
      </c>
      <c r="E454" s="2" t="s">
        <v>264</v>
      </c>
      <c r="F454" s="2" t="s">
        <v>258</v>
      </c>
      <c r="G454" s="2" t="s">
        <v>279</v>
      </c>
      <c r="H454" s="3" t="s">
        <v>289</v>
      </c>
      <c r="I454" t="str">
        <f>IFERROR(VLOOKUP(Prestamos[[#This Row],[ID Libro]],Inventario_Libros!A:B,2,0),"Libro No Existe")</f>
        <v>Matar A Un Ruiseñor</v>
      </c>
      <c r="J454" t="str">
        <f>IFERROR(VLOOKUP(Prestamos[[#This Row],[ID Libro]],Inventario_Libros!A:C,3,0),"Libro No Existe")</f>
        <v>Harper Lee</v>
      </c>
      <c r="K454" t="str">
        <f>IFERROR(VLOOKUP(Prestamos[[#This Row],[ID Libro]],Inventario_Libros!A:D,4,0),"Libro No Existe")</f>
        <v>Novela</v>
      </c>
      <c r="L454">
        <f>IFERROR(VLOOKUP(Prestamos[[#This Row],[ID Libro]],Inventario_Libros!A:E,5,0),"Libro No Existe")</f>
        <v>1981</v>
      </c>
      <c r="M454" t="str">
        <f>_xlfn.XLOOKUP(D:D,Inventario_Libros!A:A,Inventario_Libros!G:G,"No Existe",0)</f>
        <v>C-3</v>
      </c>
      <c r="N454" t="str">
        <f>IFERROR(VLOOKUP(Prestamos[[#This Row],[ID Libro]],Inventario_Libros!A:H,8,0),"Libro No Existe")</f>
        <v>Retirado</v>
      </c>
    </row>
    <row r="455" spans="1:14" x14ac:dyDescent="0.3">
      <c r="A455" s="5" t="s">
        <v>982</v>
      </c>
      <c r="B455" s="1">
        <v>45878</v>
      </c>
      <c r="C455" s="1">
        <v>45905</v>
      </c>
      <c r="D455" s="4" t="s">
        <v>514</v>
      </c>
      <c r="E455" s="2" t="s">
        <v>266</v>
      </c>
      <c r="F455" s="2" t="s">
        <v>263</v>
      </c>
      <c r="G455" s="2" t="s">
        <v>253</v>
      </c>
      <c r="H455" s="3">
        <v>12</v>
      </c>
      <c r="I455" t="str">
        <f>IFERROR(VLOOKUP(Prestamos[[#This Row],[ID Libro]],Inventario_Libros!A:B,2,0),"Libro No Existe")</f>
        <v>Pedro Páramo</v>
      </c>
      <c r="J455" t="str">
        <f>IFERROR(VLOOKUP(Prestamos[[#This Row],[ID Libro]],Inventario_Libros!A:C,3,0),"Libro No Existe")</f>
        <v>Juan Rulfo</v>
      </c>
      <c r="K455" t="str">
        <f>IFERROR(VLOOKUP(Prestamos[[#This Row],[ID Libro]],Inventario_Libros!A:D,4,0),"Libro No Existe")</f>
        <v>Novela</v>
      </c>
      <c r="L455">
        <f>IFERROR(VLOOKUP(Prestamos[[#This Row],[ID Libro]],Inventario_Libros!A:E,5,0),"Libro No Existe")</f>
        <v>1912</v>
      </c>
      <c r="M455" t="str">
        <f>_xlfn.XLOOKUP(D:D,Inventario_Libros!A:A,Inventario_Libros!G:G,"No Existe",0)</f>
        <v>A-1</v>
      </c>
      <c r="N455" t="str">
        <f>IFERROR(VLOOKUP(Prestamos[[#This Row],[ID Libro]],Inventario_Libros!A:H,8,0),"Libro No Existe")</f>
        <v>Activo</v>
      </c>
    </row>
    <row r="456" spans="1:14" x14ac:dyDescent="0.3">
      <c r="A456" s="5" t="s">
        <v>983</v>
      </c>
      <c r="B456" s="1">
        <v>45931</v>
      </c>
      <c r="C456" s="1" t="s">
        <v>289</v>
      </c>
      <c r="D456" s="4" t="s">
        <v>373</v>
      </c>
      <c r="E456" s="2" t="s">
        <v>272</v>
      </c>
      <c r="F456" s="2" t="s">
        <v>275</v>
      </c>
      <c r="G456" s="2" t="s">
        <v>257</v>
      </c>
      <c r="H456" s="3">
        <v>5</v>
      </c>
      <c r="I456" t="str">
        <f>IFERROR(VLOOKUP(Prestamos[[#This Row],[ID Libro]],Inventario_Libros!A:B,2,0),"Libro No Existe")</f>
        <v>Ficciones</v>
      </c>
      <c r="J456" t="str">
        <f>IFERROR(VLOOKUP(Prestamos[[#This Row],[ID Libro]],Inventario_Libros!A:C,3,0),"Libro No Existe")</f>
        <v>Jorge Luis Borges</v>
      </c>
      <c r="K456" t="str">
        <f>IFERROR(VLOOKUP(Prestamos[[#This Row],[ID Libro]],Inventario_Libros!A:D,4,0),"Libro No Existe")</f>
        <v>Cuentos / Fantasía Metafísica</v>
      </c>
      <c r="L456">
        <f>IFERROR(VLOOKUP(Prestamos[[#This Row],[ID Libro]],Inventario_Libros!A:E,5,0),"Libro No Existe")</f>
        <v>1990</v>
      </c>
      <c r="M456" t="str">
        <f>_xlfn.XLOOKUP(D:D,Inventario_Libros!A:A,Inventario_Libros!G:G,"No Existe",0)</f>
        <v>B-2</v>
      </c>
      <c r="N456" t="str">
        <f>IFERROR(VLOOKUP(Prestamos[[#This Row],[ID Libro]],Inventario_Libros!A:H,8,0),"Libro No Existe")</f>
        <v>Retirado</v>
      </c>
    </row>
    <row r="457" spans="1:14" x14ac:dyDescent="0.3">
      <c r="A457" s="5" t="s">
        <v>984</v>
      </c>
      <c r="B457" s="1">
        <v>45910</v>
      </c>
      <c r="C457" s="1" t="s">
        <v>289</v>
      </c>
      <c r="D457" s="4" t="s">
        <v>413</v>
      </c>
      <c r="E457" s="2" t="s">
        <v>265</v>
      </c>
      <c r="F457" s="2" t="s">
        <v>252</v>
      </c>
      <c r="G457" s="2" t="s">
        <v>257</v>
      </c>
      <c r="H457" s="3">
        <v>5</v>
      </c>
      <c r="I457" t="str">
        <f>IFERROR(VLOOKUP(Prestamos[[#This Row],[ID Libro]],Inventario_Libros!A:B,2,0),"Libro No Existe")</f>
        <v>Ficciones</v>
      </c>
      <c r="J457" t="str">
        <f>IFERROR(VLOOKUP(Prestamos[[#This Row],[ID Libro]],Inventario_Libros!A:C,3,0),"Libro No Existe")</f>
        <v>Jorge Luis Borges</v>
      </c>
      <c r="K457" t="str">
        <f>IFERROR(VLOOKUP(Prestamos[[#This Row],[ID Libro]],Inventario_Libros!A:D,4,0),"Libro No Existe")</f>
        <v>Cuentos / Fantasía Metafísica</v>
      </c>
      <c r="L457">
        <f>IFERROR(VLOOKUP(Prestamos[[#This Row],[ID Libro]],Inventario_Libros!A:E,5,0),"Libro No Existe")</f>
        <v>1953</v>
      </c>
      <c r="M457" t="str">
        <f>_xlfn.XLOOKUP(D:D,Inventario_Libros!A:A,Inventario_Libros!G:G,"No Existe",0)</f>
        <v>A-1</v>
      </c>
      <c r="N457" t="str">
        <f>IFERROR(VLOOKUP(Prestamos[[#This Row],[ID Libro]],Inventario_Libros!A:H,8,0),"Libro No Existe")</f>
        <v>Activo</v>
      </c>
    </row>
    <row r="458" spans="1:14" x14ac:dyDescent="0.3">
      <c r="A458" s="5" t="s">
        <v>985</v>
      </c>
      <c r="B458" s="1">
        <v>45732</v>
      </c>
      <c r="C458" s="1">
        <v>45759</v>
      </c>
      <c r="D458" s="4" t="s">
        <v>431</v>
      </c>
      <c r="E458" s="2" t="s">
        <v>271</v>
      </c>
      <c r="F458" s="2" t="s">
        <v>258</v>
      </c>
      <c r="G458" s="2" t="s">
        <v>279</v>
      </c>
      <c r="H458" s="3" t="s">
        <v>289</v>
      </c>
      <c r="I458" t="str">
        <f>IFERROR(VLOOKUP(Prestamos[[#This Row],[ID Libro]],Inventario_Libros!A:B,2,0),"Libro No Existe")</f>
        <v>Los Detectives Salvajes</v>
      </c>
      <c r="J458" t="str">
        <f>IFERROR(VLOOKUP(Prestamos[[#This Row],[ID Libro]],Inventario_Libros!A:C,3,0),"Libro No Existe")</f>
        <v>Roberto Bolaño</v>
      </c>
      <c r="K458" t="str">
        <f>IFERROR(VLOOKUP(Prestamos[[#This Row],[ID Libro]],Inventario_Libros!A:D,4,0),"Libro No Existe")</f>
        <v>Novela</v>
      </c>
      <c r="L458">
        <f>IFERROR(VLOOKUP(Prestamos[[#This Row],[ID Libro]],Inventario_Libros!A:E,5,0),"Libro No Existe")</f>
        <v>1956</v>
      </c>
      <c r="M458" t="str">
        <f>_xlfn.XLOOKUP(D:D,Inventario_Libros!A:A,Inventario_Libros!G:G,"No Existe",0)</f>
        <v>B-2</v>
      </c>
      <c r="N458" t="str">
        <f>IFERROR(VLOOKUP(Prestamos[[#This Row],[ID Libro]],Inventario_Libros!A:H,8,0),"Libro No Existe")</f>
        <v>Activo</v>
      </c>
    </row>
    <row r="459" spans="1:14" x14ac:dyDescent="0.3">
      <c r="A459" s="5" t="s">
        <v>986</v>
      </c>
      <c r="B459" s="1">
        <v>45732</v>
      </c>
      <c r="C459" s="1">
        <v>45759</v>
      </c>
      <c r="D459" s="4" t="s">
        <v>483</v>
      </c>
      <c r="E459" s="2" t="s">
        <v>260</v>
      </c>
      <c r="F459" s="2" t="s">
        <v>258</v>
      </c>
      <c r="G459" s="2" t="s">
        <v>253</v>
      </c>
      <c r="H459" s="3">
        <v>12</v>
      </c>
      <c r="I459" t="str">
        <f>IFERROR(VLOOKUP(Prestamos[[#This Row],[ID Libro]],Inventario_Libros!A:B,2,0),"Libro No Existe")</f>
        <v>La Casa De Los Espíritus</v>
      </c>
      <c r="J459" t="str">
        <f>IFERROR(VLOOKUP(Prestamos[[#This Row],[ID Libro]],Inventario_Libros!A:C,3,0),"Libro No Existe")</f>
        <v>Isabel Allende</v>
      </c>
      <c r="K459" t="str">
        <f>IFERROR(VLOOKUP(Prestamos[[#This Row],[ID Libro]],Inventario_Libros!A:D,4,0),"Libro No Existe")</f>
        <v>Novela</v>
      </c>
      <c r="L459">
        <f>IFERROR(VLOOKUP(Prestamos[[#This Row],[ID Libro]],Inventario_Libros!A:E,5,0),"Libro No Existe")</f>
        <v>1924</v>
      </c>
      <c r="M459" t="str">
        <f>_xlfn.XLOOKUP(D:D,Inventario_Libros!A:A,Inventario_Libros!G:G,"No Existe",0)</f>
        <v>A-1</v>
      </c>
      <c r="N459" t="str">
        <f>IFERROR(VLOOKUP(Prestamos[[#This Row],[ID Libro]],Inventario_Libros!A:H,8,0),"Libro No Existe")</f>
        <v>Activo</v>
      </c>
    </row>
    <row r="460" spans="1:14" x14ac:dyDescent="0.3">
      <c r="A460" s="5" t="s">
        <v>987</v>
      </c>
      <c r="B460" s="1">
        <v>45731</v>
      </c>
      <c r="C460" s="1">
        <v>45749</v>
      </c>
      <c r="D460" s="4" t="s">
        <v>375</v>
      </c>
      <c r="E460" s="2" t="s">
        <v>273</v>
      </c>
      <c r="F460" s="2" t="s">
        <v>275</v>
      </c>
      <c r="G460" s="2" t="s">
        <v>257</v>
      </c>
      <c r="H460" s="3">
        <v>3</v>
      </c>
      <c r="I460" t="str">
        <f>IFERROR(VLOOKUP(Prestamos[[#This Row],[ID Libro]],Inventario_Libros!A:B,2,0),"Libro No Existe")</f>
        <v>Matadero Cinco</v>
      </c>
      <c r="J460" t="str">
        <f>IFERROR(VLOOKUP(Prestamos[[#This Row],[ID Libro]],Inventario_Libros!A:C,3,0),"Libro No Existe")</f>
        <v>Kurt Vonnegut</v>
      </c>
      <c r="K460" t="str">
        <f>IFERROR(VLOOKUP(Prestamos[[#This Row],[ID Libro]],Inventario_Libros!A:D,4,0),"Libro No Existe")</f>
        <v>Ciencia Ficción</v>
      </c>
      <c r="L460">
        <f>IFERROR(VLOOKUP(Prestamos[[#This Row],[ID Libro]],Inventario_Libros!A:E,5,0),"Libro No Existe")</f>
        <v>1923</v>
      </c>
      <c r="M460" t="str">
        <f>_xlfn.XLOOKUP(D:D,Inventario_Libros!A:A,Inventario_Libros!G:G,"No Existe",0)</f>
        <v>Est-1</v>
      </c>
      <c r="N460" t="str">
        <f>IFERROR(VLOOKUP(Prestamos[[#This Row],[ID Libro]],Inventario_Libros!A:H,8,0),"Libro No Existe")</f>
        <v>Retirado</v>
      </c>
    </row>
    <row r="461" spans="1:14" x14ac:dyDescent="0.3">
      <c r="A461" s="5" t="s">
        <v>988</v>
      </c>
      <c r="B461" s="1">
        <v>45923</v>
      </c>
      <c r="C461" s="1">
        <v>45943</v>
      </c>
      <c r="D461" s="4" t="s">
        <v>432</v>
      </c>
      <c r="E461" s="2" t="s">
        <v>277</v>
      </c>
      <c r="F461" s="2" t="s">
        <v>252</v>
      </c>
      <c r="G461" s="2" t="s">
        <v>257</v>
      </c>
      <c r="H461" s="3">
        <v>5</v>
      </c>
      <c r="I461" t="str">
        <f>IFERROR(VLOOKUP(Prestamos[[#This Row],[ID Libro]],Inventario_Libros!A:B,2,0),"Libro No Existe")</f>
        <v>La Casa De Los Espíritus</v>
      </c>
      <c r="J461" t="str">
        <f>IFERROR(VLOOKUP(Prestamos[[#This Row],[ID Libro]],Inventario_Libros!A:C,3,0),"Libro No Existe")</f>
        <v>Isabel Allende</v>
      </c>
      <c r="K461" t="str">
        <f>IFERROR(VLOOKUP(Prestamos[[#This Row],[ID Libro]],Inventario_Libros!A:D,4,0),"Libro No Existe")</f>
        <v>Novela</v>
      </c>
      <c r="L461">
        <f>IFERROR(VLOOKUP(Prestamos[[#This Row],[ID Libro]],Inventario_Libros!A:E,5,0),"Libro No Existe")</f>
        <v>1894</v>
      </c>
      <c r="M461" t="str">
        <f>_xlfn.XLOOKUP(D:D,Inventario_Libros!A:A,Inventario_Libros!G:G,"No Existe",0)</f>
        <v>A-1</v>
      </c>
      <c r="N461" t="str">
        <f>IFERROR(VLOOKUP(Prestamos[[#This Row],[ID Libro]],Inventario_Libros!A:H,8,0),"Libro No Existe")</f>
        <v>Retirado</v>
      </c>
    </row>
    <row r="462" spans="1:14" x14ac:dyDescent="0.3">
      <c r="A462" s="5" t="s">
        <v>989</v>
      </c>
      <c r="B462" s="1">
        <v>45707</v>
      </c>
      <c r="C462" s="1" t="s">
        <v>289</v>
      </c>
      <c r="D462" s="4" t="s">
        <v>391</v>
      </c>
      <c r="E462" s="2" t="s">
        <v>278</v>
      </c>
      <c r="F462" s="2" t="s">
        <v>275</v>
      </c>
      <c r="G462" s="2" t="s">
        <v>257</v>
      </c>
      <c r="H462" s="3">
        <v>5</v>
      </c>
      <c r="I462" t="str">
        <f>IFERROR(VLOOKUP(Prestamos[[#This Row],[ID Libro]],Inventario_Libros!A:B,2,0),"Libro No Existe")</f>
        <v>El Código Da Vinci</v>
      </c>
      <c r="J462" t="str">
        <f>IFERROR(VLOOKUP(Prestamos[[#This Row],[ID Libro]],Inventario_Libros!A:C,3,0),"Libro No Existe")</f>
        <v>Dan Brown</v>
      </c>
      <c r="K462" t="str">
        <f>IFERROR(VLOOKUP(Prestamos[[#This Row],[ID Libro]],Inventario_Libros!A:D,4,0),"Libro No Existe")</f>
        <v>Misterio</v>
      </c>
      <c r="L462">
        <f>IFERROR(VLOOKUP(Prestamos[[#This Row],[ID Libro]],Inventario_Libros!A:E,5,0),"Libro No Existe")</f>
        <v>1935</v>
      </c>
      <c r="M462" t="str">
        <f>_xlfn.XLOOKUP(D:D,Inventario_Libros!A:A,Inventario_Libros!G:G,"No Existe",0)</f>
        <v>A-1</v>
      </c>
      <c r="N462" t="str">
        <f>IFERROR(VLOOKUP(Prestamos[[#This Row],[ID Libro]],Inventario_Libros!A:H,8,0),"Libro No Existe")</f>
        <v>Retirado</v>
      </c>
    </row>
    <row r="463" spans="1:14" x14ac:dyDescent="0.3">
      <c r="A463" s="5" t="s">
        <v>990</v>
      </c>
      <c r="B463" s="1">
        <v>45808</v>
      </c>
      <c r="C463" s="1">
        <v>45835</v>
      </c>
      <c r="D463" s="4" t="s">
        <v>394</v>
      </c>
      <c r="E463" s="2" t="s">
        <v>272</v>
      </c>
      <c r="F463" s="2" t="s">
        <v>258</v>
      </c>
      <c r="G463" s="2" t="s">
        <v>253</v>
      </c>
      <c r="H463" s="3">
        <v>12</v>
      </c>
      <c r="I463" t="str">
        <f>IFERROR(VLOOKUP(Prestamos[[#This Row],[ID Libro]],Inventario_Libros!A:B,2,0),"Libro No Existe")</f>
        <v>Matadero Cinco</v>
      </c>
      <c r="J463" t="str">
        <f>IFERROR(VLOOKUP(Prestamos[[#This Row],[ID Libro]],Inventario_Libros!A:C,3,0),"Libro No Existe")</f>
        <v>Kurt Vonnegut</v>
      </c>
      <c r="K463" t="str">
        <f>IFERROR(VLOOKUP(Prestamos[[#This Row],[ID Libro]],Inventario_Libros!A:D,4,0),"Libro No Existe")</f>
        <v>Ciencia Ficción</v>
      </c>
      <c r="L463">
        <f>IFERROR(VLOOKUP(Prestamos[[#This Row],[ID Libro]],Inventario_Libros!A:E,5,0),"Libro No Existe")</f>
        <v>1977</v>
      </c>
      <c r="M463" t="str">
        <f>_xlfn.XLOOKUP(D:D,Inventario_Libros!A:A,Inventario_Libros!G:G,"No Existe",0)</f>
        <v>A-1</v>
      </c>
      <c r="N463" t="str">
        <f>IFERROR(VLOOKUP(Prestamos[[#This Row],[ID Libro]],Inventario_Libros!A:H,8,0),"Libro No Existe")</f>
        <v>Activo</v>
      </c>
    </row>
    <row r="464" spans="1:14" x14ac:dyDescent="0.3">
      <c r="A464" s="5" t="s">
        <v>991</v>
      </c>
      <c r="B464" s="1">
        <v>45972</v>
      </c>
      <c r="C464" s="1" t="s">
        <v>289</v>
      </c>
      <c r="D464" s="4" t="s">
        <v>404</v>
      </c>
      <c r="E464" s="2" t="s">
        <v>265</v>
      </c>
      <c r="F464" s="2" t="s">
        <v>275</v>
      </c>
      <c r="G464" s="2" t="s">
        <v>257</v>
      </c>
      <c r="H464" s="3">
        <v>5</v>
      </c>
      <c r="I464" t="str">
        <f>IFERROR(VLOOKUP(Prestamos[[#This Row],[ID Libro]],Inventario_Libros!A:B,2,0),"Libro No Existe")</f>
        <v>Rebelión En La Granja</v>
      </c>
      <c r="J464" t="str">
        <f>IFERROR(VLOOKUP(Prestamos[[#This Row],[ID Libro]],Inventario_Libros!A:C,3,0),"Libro No Existe")</f>
        <v>George Orwell</v>
      </c>
      <c r="K464" t="str">
        <f>IFERROR(VLOOKUP(Prestamos[[#This Row],[ID Libro]],Inventario_Libros!A:D,4,0),"Libro No Existe")</f>
        <v>Ciencia Ficción</v>
      </c>
      <c r="L464">
        <f>IFERROR(VLOOKUP(Prestamos[[#This Row],[ID Libro]],Inventario_Libros!A:E,5,0),"Libro No Existe")</f>
        <v>1897</v>
      </c>
      <c r="M464" t="str">
        <f>_xlfn.XLOOKUP(D:D,Inventario_Libros!A:A,Inventario_Libros!G:G,"No Existe",0)</f>
        <v>C-3</v>
      </c>
      <c r="N464" t="str">
        <f>IFERROR(VLOOKUP(Prestamos[[#This Row],[ID Libro]],Inventario_Libros!A:H,8,0),"Libro No Existe")</f>
        <v>Activo</v>
      </c>
    </row>
    <row r="465" spans="1:14" x14ac:dyDescent="0.3">
      <c r="A465" s="5" t="s">
        <v>992</v>
      </c>
      <c r="B465" s="1">
        <v>45894</v>
      </c>
      <c r="C465" s="1">
        <v>45922</v>
      </c>
      <c r="D465" s="4" t="s">
        <v>437</v>
      </c>
      <c r="E465" s="2" t="s">
        <v>264</v>
      </c>
      <c r="F465" s="2" t="s">
        <v>263</v>
      </c>
      <c r="G465" s="2" t="s">
        <v>253</v>
      </c>
      <c r="H465" s="3">
        <v>13</v>
      </c>
      <c r="I465" t="str">
        <f>IFERROR(VLOOKUP(Prestamos[[#This Row],[ID Libro]],Inventario_Libros!A:B,2,0),"Libro No Existe")</f>
        <v>El Código Da Vinci</v>
      </c>
      <c r="J465" t="str">
        <f>IFERROR(VLOOKUP(Prestamos[[#This Row],[ID Libro]],Inventario_Libros!A:C,3,0),"Libro No Existe")</f>
        <v>Dan Brown</v>
      </c>
      <c r="K465" t="str">
        <f>IFERROR(VLOOKUP(Prestamos[[#This Row],[ID Libro]],Inventario_Libros!A:D,4,0),"Libro No Existe")</f>
        <v>Misterio</v>
      </c>
      <c r="L465">
        <f>IFERROR(VLOOKUP(Prestamos[[#This Row],[ID Libro]],Inventario_Libros!A:E,5,0),"Libro No Existe")</f>
        <v>1935</v>
      </c>
      <c r="M465" t="str">
        <f>_xlfn.XLOOKUP(D:D,Inventario_Libros!A:A,Inventario_Libros!G:G,"No Existe",0)</f>
        <v>B-2</v>
      </c>
      <c r="N465" t="str">
        <f>IFERROR(VLOOKUP(Prestamos[[#This Row],[ID Libro]],Inventario_Libros!A:H,8,0),"Libro No Existe")</f>
        <v>Retirado</v>
      </c>
    </row>
    <row r="466" spans="1:14" x14ac:dyDescent="0.3">
      <c r="A466" s="5" t="s">
        <v>993</v>
      </c>
      <c r="B466" s="1">
        <v>45812</v>
      </c>
      <c r="C466" s="1">
        <v>45840</v>
      </c>
      <c r="D466" s="4" t="s">
        <v>501</v>
      </c>
      <c r="E466" s="2" t="s">
        <v>261</v>
      </c>
      <c r="F466" s="2" t="s">
        <v>263</v>
      </c>
      <c r="G466" s="2" t="s">
        <v>253</v>
      </c>
      <c r="H466" s="3">
        <v>13</v>
      </c>
      <c r="I466" t="str">
        <f>IFERROR(VLOOKUP(Prestamos[[#This Row],[ID Libro]],Inventario_Libros!A:B,2,0),"Libro No Existe")</f>
        <v>Rebelión En La Granja</v>
      </c>
      <c r="J466" t="str">
        <f>IFERROR(VLOOKUP(Prestamos[[#This Row],[ID Libro]],Inventario_Libros!A:C,3,0),"Libro No Existe")</f>
        <v>George Orwell</v>
      </c>
      <c r="K466" t="str">
        <f>IFERROR(VLOOKUP(Prestamos[[#This Row],[ID Libro]],Inventario_Libros!A:D,4,0),"Libro No Existe")</f>
        <v>Ciencia Ficción</v>
      </c>
      <c r="L466">
        <f>IFERROR(VLOOKUP(Prestamos[[#This Row],[ID Libro]],Inventario_Libros!A:E,5,0),"Libro No Existe")</f>
        <v>1999</v>
      </c>
      <c r="M466" t="str">
        <f>_xlfn.XLOOKUP(D:D,Inventario_Libros!A:A,Inventario_Libros!G:G,"No Existe",0)</f>
        <v>Est-1</v>
      </c>
      <c r="N466" t="str">
        <f>IFERROR(VLOOKUP(Prestamos[[#This Row],[ID Libro]],Inventario_Libros!A:H,8,0),"Libro No Existe")</f>
        <v>Retirado</v>
      </c>
    </row>
    <row r="467" spans="1:14" x14ac:dyDescent="0.3">
      <c r="A467" s="5" t="s">
        <v>994</v>
      </c>
      <c r="B467" s="1">
        <v>45925</v>
      </c>
      <c r="C467" s="1">
        <v>45953</v>
      </c>
      <c r="D467" s="4" t="s">
        <v>392</v>
      </c>
      <c r="E467" s="2" t="s">
        <v>272</v>
      </c>
      <c r="F467" s="2" t="s">
        <v>258</v>
      </c>
      <c r="G467" s="2" t="s">
        <v>253</v>
      </c>
      <c r="H467" s="3">
        <v>13</v>
      </c>
      <c r="I467" t="str">
        <f>IFERROR(VLOOKUP(Prestamos[[#This Row],[ID Libro]],Inventario_Libros!A:B,2,0),"Libro No Existe")</f>
        <v>Ficciones</v>
      </c>
      <c r="J467" t="str">
        <f>IFERROR(VLOOKUP(Prestamos[[#This Row],[ID Libro]],Inventario_Libros!A:C,3,0),"Libro No Existe")</f>
        <v>Jorge Luis Borges</v>
      </c>
      <c r="K467" t="str">
        <f>IFERROR(VLOOKUP(Prestamos[[#This Row],[ID Libro]],Inventario_Libros!A:D,4,0),"Libro No Existe")</f>
        <v>Cuentos / Fantasía Metafísica</v>
      </c>
      <c r="L467">
        <f>IFERROR(VLOOKUP(Prestamos[[#This Row],[ID Libro]],Inventario_Libros!A:E,5,0),"Libro No Existe")</f>
        <v>2022</v>
      </c>
      <c r="M467" t="str">
        <f>_xlfn.XLOOKUP(D:D,Inventario_Libros!A:A,Inventario_Libros!G:G,"No Existe",0)</f>
        <v>A-1</v>
      </c>
      <c r="N467" t="str">
        <f>IFERROR(VLOOKUP(Prestamos[[#This Row],[ID Libro]],Inventario_Libros!A:H,8,0),"Libro No Existe")</f>
        <v>Retirado</v>
      </c>
    </row>
    <row r="468" spans="1:14" x14ac:dyDescent="0.3">
      <c r="A468" s="5" t="s">
        <v>995</v>
      </c>
      <c r="B468" s="1">
        <v>45934</v>
      </c>
      <c r="C468" s="1">
        <v>45962</v>
      </c>
      <c r="D468" s="4" t="s">
        <v>457</v>
      </c>
      <c r="E468" s="2" t="s">
        <v>273</v>
      </c>
      <c r="F468" s="2" t="s">
        <v>255</v>
      </c>
      <c r="G468" s="2" t="s">
        <v>253</v>
      </c>
      <c r="H468" s="3">
        <v>13</v>
      </c>
      <c r="I468" t="str">
        <f>IFERROR(VLOOKUP(Prestamos[[#This Row],[ID Libro]],Inventario_Libros!A:B,2,0),"Libro No Existe")</f>
        <v>Sobre La Felicidad</v>
      </c>
      <c r="J468" t="str">
        <f>IFERROR(VLOOKUP(Prestamos[[#This Row],[ID Libro]],Inventario_Libros!A:C,3,0),"Libro No Existe")</f>
        <v>Lucio Anneo Séneca</v>
      </c>
      <c r="K468" t="str">
        <f>IFERROR(VLOOKUP(Prestamos[[#This Row],[ID Libro]],Inventario_Libros!A:D,4,0),"Libro No Existe")</f>
        <v>Filosofía Y Pensamiento</v>
      </c>
      <c r="L468">
        <f>IFERROR(VLOOKUP(Prestamos[[#This Row],[ID Libro]],Inventario_Libros!A:E,5,0),"Libro No Existe")</f>
        <v>1895</v>
      </c>
      <c r="M468" t="str">
        <f>_xlfn.XLOOKUP(D:D,Inventario_Libros!A:A,Inventario_Libros!G:G,"No Existe",0)</f>
        <v>A-1</v>
      </c>
      <c r="N468" t="str">
        <f>IFERROR(VLOOKUP(Prestamos[[#This Row],[ID Libro]],Inventario_Libros!A:H,8,0),"Libro No Existe")</f>
        <v>Retirado</v>
      </c>
    </row>
    <row r="469" spans="1:14" x14ac:dyDescent="0.3">
      <c r="A469" s="5" t="s">
        <v>996</v>
      </c>
      <c r="B469" s="1">
        <v>45898</v>
      </c>
      <c r="C469" s="1">
        <v>45918</v>
      </c>
      <c r="D469" s="4" t="s">
        <v>511</v>
      </c>
      <c r="E469" s="2" t="s">
        <v>274</v>
      </c>
      <c r="F469" s="2" t="s">
        <v>275</v>
      </c>
      <c r="G469" s="2" t="s">
        <v>257</v>
      </c>
      <c r="H469" s="3">
        <v>5</v>
      </c>
      <c r="I469" t="str">
        <f>IFERROR(VLOOKUP(Prestamos[[#This Row],[ID Libro]],Inventario_Libros!A:B,2,0),"Libro No Existe")</f>
        <v>Rayuela</v>
      </c>
      <c r="J469" t="str">
        <f>IFERROR(VLOOKUP(Prestamos[[#This Row],[ID Libro]],Inventario_Libros!A:C,3,0),"Libro No Existe")</f>
        <v>Julio Cortázar</v>
      </c>
      <c r="K469" t="str">
        <f>IFERROR(VLOOKUP(Prestamos[[#This Row],[ID Libro]],Inventario_Libros!A:D,4,0),"Libro No Existe")</f>
        <v>Novela</v>
      </c>
      <c r="L469">
        <f>IFERROR(VLOOKUP(Prestamos[[#This Row],[ID Libro]],Inventario_Libros!A:E,5,0),"Libro No Existe")</f>
        <v>1894</v>
      </c>
      <c r="M469" t="str">
        <f>_xlfn.XLOOKUP(D:D,Inventario_Libros!A:A,Inventario_Libros!G:G,"No Existe",0)</f>
        <v>A-1</v>
      </c>
      <c r="N469" t="str">
        <f>IFERROR(VLOOKUP(Prestamos[[#This Row],[ID Libro]],Inventario_Libros!A:H,8,0),"Libro No Existe")</f>
        <v>Activo</v>
      </c>
    </row>
    <row r="470" spans="1:14" x14ac:dyDescent="0.3">
      <c r="A470" s="5" t="s">
        <v>997</v>
      </c>
      <c r="B470" s="1">
        <v>45884</v>
      </c>
      <c r="C470" s="1">
        <v>45909</v>
      </c>
      <c r="D470" s="4" t="s">
        <v>380</v>
      </c>
      <c r="E470" s="2" t="s">
        <v>266</v>
      </c>
      <c r="F470" s="2" t="s">
        <v>258</v>
      </c>
      <c r="G470" s="2" t="s">
        <v>257</v>
      </c>
      <c r="H470" s="3">
        <v>10</v>
      </c>
      <c r="I470" t="str">
        <f>IFERROR(VLOOKUP(Prestamos[[#This Row],[ID Libro]],Inventario_Libros!A:B,2,0),"Libro No Existe")</f>
        <v>El Amor En Los Tiempos Del Cólera</v>
      </c>
      <c r="J470" t="str">
        <f>IFERROR(VLOOKUP(Prestamos[[#This Row],[ID Libro]],Inventario_Libros!A:C,3,0),"Libro No Existe")</f>
        <v>Gabriel García Márquez</v>
      </c>
      <c r="K470" t="str">
        <f>IFERROR(VLOOKUP(Prestamos[[#This Row],[ID Libro]],Inventario_Libros!A:D,4,0),"Libro No Existe")</f>
        <v>Novela</v>
      </c>
      <c r="L470">
        <f>IFERROR(VLOOKUP(Prestamos[[#This Row],[ID Libro]],Inventario_Libros!A:E,5,0),"Libro No Existe")</f>
        <v>1991</v>
      </c>
      <c r="M470" t="str">
        <f>_xlfn.XLOOKUP(D:D,Inventario_Libros!A:A,Inventario_Libros!G:G,"No Existe",0)</f>
        <v>C-3</v>
      </c>
      <c r="N470" t="str">
        <f>IFERROR(VLOOKUP(Prestamos[[#This Row],[ID Libro]],Inventario_Libros!A:H,8,0),"Libro No Existe")</f>
        <v>Activo</v>
      </c>
    </row>
    <row r="471" spans="1:14" x14ac:dyDescent="0.3">
      <c r="A471" s="5" t="s">
        <v>998</v>
      </c>
      <c r="B471" s="1">
        <v>45841</v>
      </c>
      <c r="C471" s="1">
        <v>45859</v>
      </c>
      <c r="D471" s="4" t="s">
        <v>429</v>
      </c>
      <c r="E471" s="2" t="s">
        <v>259</v>
      </c>
      <c r="F471" s="2" t="s">
        <v>255</v>
      </c>
      <c r="G471" s="2" t="s">
        <v>257</v>
      </c>
      <c r="H471" s="3">
        <v>3</v>
      </c>
      <c r="I471" t="str">
        <f>IFERROR(VLOOKUP(Prestamos[[#This Row],[ID Libro]],Inventario_Libros!A:B,2,0),"Libro No Existe")</f>
        <v>Pedro Páramo</v>
      </c>
      <c r="J471" t="str">
        <f>IFERROR(VLOOKUP(Prestamos[[#This Row],[ID Libro]],Inventario_Libros!A:C,3,0),"Libro No Existe")</f>
        <v>Juan Rulfo</v>
      </c>
      <c r="K471" t="str">
        <f>IFERROR(VLOOKUP(Prestamos[[#This Row],[ID Libro]],Inventario_Libros!A:D,4,0),"Libro No Existe")</f>
        <v>Novela</v>
      </c>
      <c r="L471">
        <f>IFERROR(VLOOKUP(Prestamos[[#This Row],[ID Libro]],Inventario_Libros!A:E,5,0),"Libro No Existe")</f>
        <v>1924</v>
      </c>
      <c r="M471" t="str">
        <f>_xlfn.XLOOKUP(D:D,Inventario_Libros!A:A,Inventario_Libros!G:G,"No Existe",0)</f>
        <v>Est-1</v>
      </c>
      <c r="N471" t="str">
        <f>IFERROR(VLOOKUP(Prestamos[[#This Row],[ID Libro]],Inventario_Libros!A:H,8,0),"Libro No Existe")</f>
        <v>Retirado</v>
      </c>
    </row>
    <row r="472" spans="1:14" x14ac:dyDescent="0.3">
      <c r="A472" s="5" t="s">
        <v>999</v>
      </c>
      <c r="B472" s="1">
        <v>45932</v>
      </c>
      <c r="C472" s="1">
        <v>45961</v>
      </c>
      <c r="D472" s="4" t="s">
        <v>355</v>
      </c>
      <c r="E472" s="2" t="s">
        <v>277</v>
      </c>
      <c r="F472" s="2" t="s">
        <v>263</v>
      </c>
      <c r="G472" s="2" t="s">
        <v>253</v>
      </c>
      <c r="H472" s="3">
        <v>14</v>
      </c>
      <c r="I472" t="str">
        <f>IFERROR(VLOOKUP(Prestamos[[#This Row],[ID Libro]],Inventario_Libros!A:B,2,0),"Libro No Existe")</f>
        <v>La Iliada</v>
      </c>
      <c r="J472" t="str">
        <f>IFERROR(VLOOKUP(Prestamos[[#This Row],[ID Libro]],Inventario_Libros!A:C,3,0),"Libro No Existe")</f>
        <v>Homero</v>
      </c>
      <c r="K472" t="str">
        <f>IFERROR(VLOOKUP(Prestamos[[#This Row],[ID Libro]],Inventario_Libros!A:D,4,0),"Libro No Existe")</f>
        <v>Clásicos</v>
      </c>
      <c r="L472">
        <f>IFERROR(VLOOKUP(Prestamos[[#This Row],[ID Libro]],Inventario_Libros!A:E,5,0),"Libro No Existe")</f>
        <v>2021</v>
      </c>
      <c r="M472" t="str">
        <f>_xlfn.XLOOKUP(D:D,Inventario_Libros!A:A,Inventario_Libros!G:G,"No Existe",0)</f>
        <v>Est-1</v>
      </c>
      <c r="N472" t="str">
        <f>IFERROR(VLOOKUP(Prestamos[[#This Row],[ID Libro]],Inventario_Libros!A:H,8,0),"Libro No Existe")</f>
        <v>Activo</v>
      </c>
    </row>
    <row r="473" spans="1:14" x14ac:dyDescent="0.3">
      <c r="A473" s="5" t="s">
        <v>1000</v>
      </c>
      <c r="B473" s="1">
        <v>45786</v>
      </c>
      <c r="C473" s="1">
        <v>45815</v>
      </c>
      <c r="D473" s="4" t="s">
        <v>326</v>
      </c>
      <c r="E473" s="2" t="s">
        <v>272</v>
      </c>
      <c r="F473" s="2" t="s">
        <v>252</v>
      </c>
      <c r="G473" s="2" t="s">
        <v>253</v>
      </c>
      <c r="H473" s="3">
        <v>14</v>
      </c>
      <c r="I473" t="str">
        <f>IFERROR(VLOOKUP(Prestamos[[#This Row],[ID Libro]],Inventario_Libros!A:B,2,0),"Libro No Existe")</f>
        <v>Orgullo Y Prejuicio</v>
      </c>
      <c r="J473" t="str">
        <f>IFERROR(VLOOKUP(Prestamos[[#This Row],[ID Libro]],Inventario_Libros!A:C,3,0),"Libro No Existe")</f>
        <v>Jane Austen</v>
      </c>
      <c r="K473" t="str">
        <f>IFERROR(VLOOKUP(Prestamos[[#This Row],[ID Libro]],Inventario_Libros!A:D,4,0),"Libro No Existe")</f>
        <v>Novela</v>
      </c>
      <c r="L473">
        <f>IFERROR(VLOOKUP(Prestamos[[#This Row],[ID Libro]],Inventario_Libros!A:E,5,0),"Libro No Existe")</f>
        <v>2013</v>
      </c>
      <c r="M473" t="str">
        <f>_xlfn.XLOOKUP(D:D,Inventario_Libros!A:A,Inventario_Libros!G:G,"No Existe",0)</f>
        <v>Est-1</v>
      </c>
      <c r="N473" t="str">
        <f>IFERROR(VLOOKUP(Prestamos[[#This Row],[ID Libro]],Inventario_Libros!A:H,8,0),"Libro No Existe")</f>
        <v>Activo</v>
      </c>
    </row>
    <row r="474" spans="1:14" x14ac:dyDescent="0.3">
      <c r="A474" s="5" t="s">
        <v>1001</v>
      </c>
      <c r="B474" s="1">
        <v>45988</v>
      </c>
      <c r="C474" s="1">
        <v>46008</v>
      </c>
      <c r="D474" s="4" t="s">
        <v>483</v>
      </c>
      <c r="E474" s="2" t="s">
        <v>272</v>
      </c>
      <c r="F474" s="2" t="s">
        <v>263</v>
      </c>
      <c r="G474" s="2" t="s">
        <v>257</v>
      </c>
      <c r="H474" s="3">
        <v>5</v>
      </c>
      <c r="I474" t="str">
        <f>IFERROR(VLOOKUP(Prestamos[[#This Row],[ID Libro]],Inventario_Libros!A:B,2,0),"Libro No Existe")</f>
        <v>La Casa De Los Espíritus</v>
      </c>
      <c r="J474" t="str">
        <f>IFERROR(VLOOKUP(Prestamos[[#This Row],[ID Libro]],Inventario_Libros!A:C,3,0),"Libro No Existe")</f>
        <v>Isabel Allende</v>
      </c>
      <c r="K474" t="str">
        <f>IFERROR(VLOOKUP(Prestamos[[#This Row],[ID Libro]],Inventario_Libros!A:D,4,0),"Libro No Existe")</f>
        <v>Novela</v>
      </c>
      <c r="L474">
        <f>IFERROR(VLOOKUP(Prestamos[[#This Row],[ID Libro]],Inventario_Libros!A:E,5,0),"Libro No Existe")</f>
        <v>1924</v>
      </c>
      <c r="M474" t="str">
        <f>_xlfn.XLOOKUP(D:D,Inventario_Libros!A:A,Inventario_Libros!G:G,"No Existe",0)</f>
        <v>A-1</v>
      </c>
      <c r="N474" t="str">
        <f>IFERROR(VLOOKUP(Prestamos[[#This Row],[ID Libro]],Inventario_Libros!A:H,8,0),"Libro No Existe")</f>
        <v>Activo</v>
      </c>
    </row>
    <row r="475" spans="1:14" x14ac:dyDescent="0.3">
      <c r="A475" s="5" t="s">
        <v>1002</v>
      </c>
      <c r="B475" s="1">
        <v>45683</v>
      </c>
      <c r="C475" s="1">
        <v>45712</v>
      </c>
      <c r="D475" s="4" t="s">
        <v>502</v>
      </c>
      <c r="E475" s="2" t="s">
        <v>270</v>
      </c>
      <c r="F475" s="2" t="s">
        <v>258</v>
      </c>
      <c r="G475" s="2" t="s">
        <v>279</v>
      </c>
      <c r="H475" s="3" t="s">
        <v>289</v>
      </c>
      <c r="I475" t="str">
        <f>IFERROR(VLOOKUP(Prestamos[[#This Row],[ID Libro]],Inventario_Libros!A:B,2,0),"Libro No Existe")</f>
        <v>Hamlet</v>
      </c>
      <c r="J475" t="str">
        <f>IFERROR(VLOOKUP(Prestamos[[#This Row],[ID Libro]],Inventario_Libros!A:C,3,0),"Libro No Existe")</f>
        <v>William Shakespeare</v>
      </c>
      <c r="K475" t="str">
        <f>IFERROR(VLOOKUP(Prestamos[[#This Row],[ID Libro]],Inventario_Libros!A:D,4,0),"Libro No Existe")</f>
        <v>Clásicos</v>
      </c>
      <c r="L475">
        <f>IFERROR(VLOOKUP(Prestamos[[#This Row],[ID Libro]],Inventario_Libros!A:E,5,0),"Libro No Existe")</f>
        <v>1880</v>
      </c>
      <c r="M475" t="str">
        <f>_xlfn.XLOOKUP(D:D,Inventario_Libros!A:A,Inventario_Libros!G:G,"No Existe",0)</f>
        <v>B-2</v>
      </c>
      <c r="N475" t="str">
        <f>IFERROR(VLOOKUP(Prestamos[[#This Row],[ID Libro]],Inventario_Libros!A:H,8,0),"Libro No Existe")</f>
        <v>Activo</v>
      </c>
    </row>
    <row r="476" spans="1:14" x14ac:dyDescent="0.3">
      <c r="A476" s="5" t="s">
        <v>1003</v>
      </c>
      <c r="B476" s="1">
        <v>45959</v>
      </c>
      <c r="C476" s="1">
        <v>45988</v>
      </c>
      <c r="D476" s="4" t="s">
        <v>348</v>
      </c>
      <c r="E476" s="2" t="s">
        <v>278</v>
      </c>
      <c r="F476" s="2" t="s">
        <v>275</v>
      </c>
      <c r="G476" s="2" t="s">
        <v>253</v>
      </c>
      <c r="H476" s="3">
        <v>14</v>
      </c>
      <c r="I476" t="str">
        <f>IFERROR(VLOOKUP(Prestamos[[#This Row],[ID Libro]],Inventario_Libros!A:B,2,0),"Libro No Existe")</f>
        <v>Hamlet</v>
      </c>
      <c r="J476" t="str">
        <f>IFERROR(VLOOKUP(Prestamos[[#This Row],[ID Libro]],Inventario_Libros!A:C,3,0),"Libro No Existe")</f>
        <v>William Shakespeare</v>
      </c>
      <c r="K476" t="str">
        <f>IFERROR(VLOOKUP(Prestamos[[#This Row],[ID Libro]],Inventario_Libros!A:D,4,0),"Libro No Existe")</f>
        <v>Clásicos</v>
      </c>
      <c r="L476">
        <f>IFERROR(VLOOKUP(Prestamos[[#This Row],[ID Libro]],Inventario_Libros!A:E,5,0),"Libro No Existe")</f>
        <v>2017</v>
      </c>
      <c r="M476" t="str">
        <f>_xlfn.XLOOKUP(D:D,Inventario_Libros!A:A,Inventario_Libros!G:G,"No Existe",0)</f>
        <v>A-1</v>
      </c>
      <c r="N476" t="str">
        <f>IFERROR(VLOOKUP(Prestamos[[#This Row],[ID Libro]],Inventario_Libros!A:H,8,0),"Libro No Existe")</f>
        <v>Activo</v>
      </c>
    </row>
    <row r="477" spans="1:14" x14ac:dyDescent="0.3">
      <c r="A477" s="5" t="s">
        <v>1004</v>
      </c>
      <c r="B477" s="1">
        <v>45963</v>
      </c>
      <c r="C477" s="1">
        <v>45992</v>
      </c>
      <c r="D477" s="4" t="s">
        <v>501</v>
      </c>
      <c r="E477" s="2" t="s">
        <v>270</v>
      </c>
      <c r="F477" s="2" t="s">
        <v>258</v>
      </c>
      <c r="G477" s="2" t="s">
        <v>279</v>
      </c>
      <c r="H477" s="3" t="s">
        <v>289</v>
      </c>
      <c r="I477" t="str">
        <f>IFERROR(VLOOKUP(Prestamos[[#This Row],[ID Libro]],Inventario_Libros!A:B,2,0),"Libro No Existe")</f>
        <v>Rebelión En La Granja</v>
      </c>
      <c r="J477" t="str">
        <f>IFERROR(VLOOKUP(Prestamos[[#This Row],[ID Libro]],Inventario_Libros!A:C,3,0),"Libro No Existe")</f>
        <v>George Orwell</v>
      </c>
      <c r="K477" t="str">
        <f>IFERROR(VLOOKUP(Prestamos[[#This Row],[ID Libro]],Inventario_Libros!A:D,4,0),"Libro No Existe")</f>
        <v>Ciencia Ficción</v>
      </c>
      <c r="L477">
        <f>IFERROR(VLOOKUP(Prestamos[[#This Row],[ID Libro]],Inventario_Libros!A:E,5,0),"Libro No Existe")</f>
        <v>1999</v>
      </c>
      <c r="M477" t="str">
        <f>_xlfn.XLOOKUP(D:D,Inventario_Libros!A:A,Inventario_Libros!G:G,"No Existe",0)</f>
        <v>Est-1</v>
      </c>
      <c r="N477" t="str">
        <f>IFERROR(VLOOKUP(Prestamos[[#This Row],[ID Libro]],Inventario_Libros!A:H,8,0),"Libro No Existe")</f>
        <v>Retirado</v>
      </c>
    </row>
    <row r="478" spans="1:14" x14ac:dyDescent="0.3">
      <c r="A478" s="5" t="s">
        <v>1005</v>
      </c>
      <c r="B478" s="1">
        <v>45951</v>
      </c>
      <c r="C478" s="1">
        <v>45969</v>
      </c>
      <c r="D478" s="4" t="s">
        <v>430</v>
      </c>
      <c r="E478" s="2" t="s">
        <v>274</v>
      </c>
      <c r="F478" s="2" t="s">
        <v>275</v>
      </c>
      <c r="G478" s="2" t="s">
        <v>257</v>
      </c>
      <c r="H478" s="3">
        <v>3</v>
      </c>
      <c r="I478" t="str">
        <f>IFERROR(VLOOKUP(Prestamos[[#This Row],[ID Libro]],Inventario_Libros!A:B,2,0),"Libro No Existe")</f>
        <v>La Ciudad Y Los Perros</v>
      </c>
      <c r="J478" t="str">
        <f>IFERROR(VLOOKUP(Prestamos[[#This Row],[ID Libro]],Inventario_Libros!A:C,3,0),"Libro No Existe")</f>
        <v>Mario Vargas Llosa</v>
      </c>
      <c r="K478" t="str">
        <f>IFERROR(VLOOKUP(Prestamos[[#This Row],[ID Libro]],Inventario_Libros!A:D,4,0),"Libro No Existe")</f>
        <v>Novela</v>
      </c>
      <c r="L478">
        <f>IFERROR(VLOOKUP(Prestamos[[#This Row],[ID Libro]],Inventario_Libros!A:E,5,0),"Libro No Existe")</f>
        <v>1947</v>
      </c>
      <c r="M478" t="str">
        <f>_xlfn.XLOOKUP(D:D,Inventario_Libros!A:A,Inventario_Libros!G:G,"No Existe",0)</f>
        <v>Est-1</v>
      </c>
      <c r="N478" t="str">
        <f>IFERROR(VLOOKUP(Prestamos[[#This Row],[ID Libro]],Inventario_Libros!A:H,8,0),"Libro No Existe")</f>
        <v>Activo</v>
      </c>
    </row>
    <row r="479" spans="1:14" x14ac:dyDescent="0.3">
      <c r="A479" s="5" t="s">
        <v>1006</v>
      </c>
      <c r="B479" s="1">
        <v>45670</v>
      </c>
      <c r="C479" s="1">
        <v>45699</v>
      </c>
      <c r="D479" s="4" t="s">
        <v>495</v>
      </c>
      <c r="E479" s="2" t="s">
        <v>265</v>
      </c>
      <c r="F479" s="2" t="s">
        <v>263</v>
      </c>
      <c r="G479" s="2" t="s">
        <v>253</v>
      </c>
      <c r="H479" s="3">
        <v>14</v>
      </c>
      <c r="I479" t="str">
        <f>IFERROR(VLOOKUP(Prestamos[[#This Row],[ID Libro]],Inventario_Libros!A:B,2,0),"Libro No Existe")</f>
        <v>El Amor En Los Tiempos Del Cólera</v>
      </c>
      <c r="J479" t="str">
        <f>IFERROR(VLOOKUP(Prestamos[[#This Row],[ID Libro]],Inventario_Libros!A:C,3,0),"Libro No Existe")</f>
        <v>Gabriel García Márquez</v>
      </c>
      <c r="K479" t="str">
        <f>IFERROR(VLOOKUP(Prestamos[[#This Row],[ID Libro]],Inventario_Libros!A:D,4,0),"Libro No Existe")</f>
        <v>Novela</v>
      </c>
      <c r="L479">
        <f>IFERROR(VLOOKUP(Prestamos[[#This Row],[ID Libro]],Inventario_Libros!A:E,5,0),"Libro No Existe")</f>
        <v>1989</v>
      </c>
      <c r="M479" t="str">
        <f>_xlfn.XLOOKUP(D:D,Inventario_Libros!A:A,Inventario_Libros!G:G,"No Existe",0)</f>
        <v>C-3</v>
      </c>
      <c r="N479" t="str">
        <f>IFERROR(VLOOKUP(Prestamos[[#This Row],[ID Libro]],Inventario_Libros!A:H,8,0),"Libro No Existe")</f>
        <v>Retirado</v>
      </c>
    </row>
    <row r="480" spans="1:14" x14ac:dyDescent="0.3">
      <c r="A480" s="5" t="s">
        <v>1007</v>
      </c>
      <c r="B480" s="1">
        <v>45885</v>
      </c>
      <c r="C480" s="1">
        <v>45914</v>
      </c>
      <c r="D480" s="4" t="s">
        <v>366</v>
      </c>
      <c r="E480" s="2" t="s">
        <v>254</v>
      </c>
      <c r="F480" s="2" t="s">
        <v>275</v>
      </c>
      <c r="G480" s="2" t="s">
        <v>279</v>
      </c>
      <c r="H480" s="3" t="s">
        <v>289</v>
      </c>
      <c r="I480" t="str">
        <f>IFERROR(VLOOKUP(Prestamos[[#This Row],[ID Libro]],Inventario_Libros!A:B,2,0),"Libro No Existe")</f>
        <v>1984</v>
      </c>
      <c r="J480" t="str">
        <f>IFERROR(VLOOKUP(Prestamos[[#This Row],[ID Libro]],Inventario_Libros!A:C,3,0),"Libro No Existe")</f>
        <v>George Orwell</v>
      </c>
      <c r="K480" t="str">
        <f>IFERROR(VLOOKUP(Prestamos[[#This Row],[ID Libro]],Inventario_Libros!A:D,4,0),"Libro No Existe")</f>
        <v>Ciencia Ficción</v>
      </c>
      <c r="L480">
        <f>IFERROR(VLOOKUP(Prestamos[[#This Row],[ID Libro]],Inventario_Libros!A:E,5,0),"Libro No Existe")</f>
        <v>1893</v>
      </c>
      <c r="M480" t="str">
        <f>_xlfn.XLOOKUP(D:D,Inventario_Libros!A:A,Inventario_Libros!G:G,"No Existe",0)</f>
        <v>C-3</v>
      </c>
      <c r="N480" t="str">
        <f>IFERROR(VLOOKUP(Prestamos[[#This Row],[ID Libro]],Inventario_Libros!A:H,8,0),"Libro No Existe")</f>
        <v>Activo</v>
      </c>
    </row>
    <row r="481" spans="1:14" x14ac:dyDescent="0.3">
      <c r="A481" s="5" t="s">
        <v>1008</v>
      </c>
      <c r="B481" s="1">
        <v>45739</v>
      </c>
      <c r="C481" s="1">
        <v>45769</v>
      </c>
      <c r="D481" s="4" t="s">
        <v>414</v>
      </c>
      <c r="E481" s="2" t="s">
        <v>262</v>
      </c>
      <c r="F481" s="2" t="s">
        <v>258</v>
      </c>
      <c r="G481" s="2" t="s">
        <v>253</v>
      </c>
      <c r="H481" s="3">
        <v>15</v>
      </c>
      <c r="I481" t="str">
        <f>IFERROR(VLOOKUP(Prestamos[[#This Row],[ID Libro]],Inventario_Libros!A:B,2,0),"Libro No Existe")</f>
        <v>1984</v>
      </c>
      <c r="J481" t="str">
        <f>IFERROR(VLOOKUP(Prestamos[[#This Row],[ID Libro]],Inventario_Libros!A:C,3,0),"Libro No Existe")</f>
        <v>George Orwell</v>
      </c>
      <c r="K481" t="str">
        <f>IFERROR(VLOOKUP(Prestamos[[#This Row],[ID Libro]],Inventario_Libros!A:D,4,0),"Libro No Existe")</f>
        <v>Ciencia Ficción</v>
      </c>
      <c r="L481">
        <f>IFERROR(VLOOKUP(Prestamos[[#This Row],[ID Libro]],Inventario_Libros!A:E,5,0),"Libro No Existe")</f>
        <v>1898</v>
      </c>
      <c r="M481" t="str">
        <f>_xlfn.XLOOKUP(D:D,Inventario_Libros!A:A,Inventario_Libros!G:G,"No Existe",0)</f>
        <v>B-2</v>
      </c>
      <c r="N481" t="str">
        <f>IFERROR(VLOOKUP(Prestamos[[#This Row],[ID Libro]],Inventario_Libros!A:H,8,0),"Libro No Existe")</f>
        <v>Retirado</v>
      </c>
    </row>
    <row r="482" spans="1:14" x14ac:dyDescent="0.3">
      <c r="A482" s="5" t="s">
        <v>1009</v>
      </c>
      <c r="B482" s="1">
        <v>45799</v>
      </c>
      <c r="C482" s="1">
        <v>45824</v>
      </c>
      <c r="D482" s="4" t="s">
        <v>416</v>
      </c>
      <c r="E482" s="2" t="s">
        <v>271</v>
      </c>
      <c r="F482" s="2" t="s">
        <v>275</v>
      </c>
      <c r="G482" s="2" t="s">
        <v>257</v>
      </c>
      <c r="H482" s="3">
        <v>10</v>
      </c>
      <c r="I482" t="str">
        <f>IFERROR(VLOOKUP(Prestamos[[#This Row],[ID Libro]],Inventario_Libros!A:B,2,0),"Libro No Existe")</f>
        <v>La Tregua</v>
      </c>
      <c r="J482" t="str">
        <f>IFERROR(VLOOKUP(Prestamos[[#This Row],[ID Libro]],Inventario_Libros!A:C,3,0),"Libro No Existe")</f>
        <v>Mario Benedetti</v>
      </c>
      <c r="K482" t="str">
        <f>IFERROR(VLOOKUP(Prestamos[[#This Row],[ID Libro]],Inventario_Libros!A:D,4,0),"Libro No Existe")</f>
        <v>Novela</v>
      </c>
      <c r="L482">
        <f>IFERROR(VLOOKUP(Prestamos[[#This Row],[ID Libro]],Inventario_Libros!A:E,5,0),"Libro No Existe")</f>
        <v>2003</v>
      </c>
      <c r="M482" t="str">
        <f>_xlfn.XLOOKUP(D:D,Inventario_Libros!A:A,Inventario_Libros!G:G,"No Existe",0)</f>
        <v>C-3</v>
      </c>
      <c r="N482" t="str">
        <f>IFERROR(VLOOKUP(Prestamos[[#This Row],[ID Libro]],Inventario_Libros!A:H,8,0),"Libro No Existe")</f>
        <v>Activo</v>
      </c>
    </row>
    <row r="483" spans="1:14" x14ac:dyDescent="0.3">
      <c r="A483" s="5" t="s">
        <v>1010</v>
      </c>
      <c r="B483" s="1">
        <v>45905</v>
      </c>
      <c r="C483" s="1">
        <v>45935</v>
      </c>
      <c r="D483" s="4" t="s">
        <v>421</v>
      </c>
      <c r="E483" s="2" t="s">
        <v>264</v>
      </c>
      <c r="F483" s="2" t="s">
        <v>258</v>
      </c>
      <c r="G483" s="2" t="s">
        <v>253</v>
      </c>
      <c r="H483" s="3">
        <v>15</v>
      </c>
      <c r="I483" t="str">
        <f>IFERROR(VLOOKUP(Prestamos[[#This Row],[ID Libro]],Inventario_Libros!A:B,2,0),"Libro No Existe")</f>
        <v>Rayuela</v>
      </c>
      <c r="J483" t="str">
        <f>IFERROR(VLOOKUP(Prestamos[[#This Row],[ID Libro]],Inventario_Libros!A:C,3,0),"Libro No Existe")</f>
        <v>Julio Cortázar</v>
      </c>
      <c r="K483" t="str">
        <f>IFERROR(VLOOKUP(Prestamos[[#This Row],[ID Libro]],Inventario_Libros!A:D,4,0),"Libro No Existe")</f>
        <v>Novela</v>
      </c>
      <c r="L483">
        <f>IFERROR(VLOOKUP(Prestamos[[#This Row],[ID Libro]],Inventario_Libros!A:E,5,0),"Libro No Existe")</f>
        <v>1932</v>
      </c>
      <c r="M483" t="str">
        <f>_xlfn.XLOOKUP(D:D,Inventario_Libros!A:A,Inventario_Libros!G:G,"No Existe",0)</f>
        <v>B-2</v>
      </c>
      <c r="N483" t="str">
        <f>IFERROR(VLOOKUP(Prestamos[[#This Row],[ID Libro]],Inventario_Libros!A:H,8,0),"Libro No Existe")</f>
        <v>Activo</v>
      </c>
    </row>
    <row r="484" spans="1:14" x14ac:dyDescent="0.3">
      <c r="A484" s="5" t="s">
        <v>1011</v>
      </c>
      <c r="B484" s="1">
        <v>45816</v>
      </c>
      <c r="C484" s="1">
        <v>45846</v>
      </c>
      <c r="D484" s="4" t="s">
        <v>373</v>
      </c>
      <c r="E484" s="2" t="s">
        <v>267</v>
      </c>
      <c r="F484" s="2" t="s">
        <v>263</v>
      </c>
      <c r="G484" s="2" t="s">
        <v>253</v>
      </c>
      <c r="H484" s="3">
        <v>15</v>
      </c>
      <c r="I484" t="str">
        <f>IFERROR(VLOOKUP(Prestamos[[#This Row],[ID Libro]],Inventario_Libros!A:B,2,0),"Libro No Existe")</f>
        <v>Ficciones</v>
      </c>
      <c r="J484" t="str">
        <f>IFERROR(VLOOKUP(Prestamos[[#This Row],[ID Libro]],Inventario_Libros!A:C,3,0),"Libro No Existe")</f>
        <v>Jorge Luis Borges</v>
      </c>
      <c r="K484" t="str">
        <f>IFERROR(VLOOKUP(Prestamos[[#This Row],[ID Libro]],Inventario_Libros!A:D,4,0),"Libro No Existe")</f>
        <v>Cuentos / Fantasía Metafísica</v>
      </c>
      <c r="L484">
        <f>IFERROR(VLOOKUP(Prestamos[[#This Row],[ID Libro]],Inventario_Libros!A:E,5,0),"Libro No Existe")</f>
        <v>1990</v>
      </c>
      <c r="M484" t="str">
        <f>_xlfn.XLOOKUP(D:D,Inventario_Libros!A:A,Inventario_Libros!G:G,"No Existe",0)</f>
        <v>B-2</v>
      </c>
      <c r="N484" t="str">
        <f>IFERROR(VLOOKUP(Prestamos[[#This Row],[ID Libro]],Inventario_Libros!A:H,8,0),"Libro No Existe")</f>
        <v>Retirado</v>
      </c>
    </row>
    <row r="485" spans="1:14" x14ac:dyDescent="0.3">
      <c r="A485" s="5" t="s">
        <v>1012</v>
      </c>
      <c r="B485" s="1">
        <v>45827</v>
      </c>
      <c r="C485" s="1" t="s">
        <v>289</v>
      </c>
      <c r="D485" s="4" t="s">
        <v>323</v>
      </c>
      <c r="E485" s="2" t="s">
        <v>277</v>
      </c>
      <c r="F485" s="2" t="s">
        <v>258</v>
      </c>
      <c r="G485" s="2" t="s">
        <v>257</v>
      </c>
      <c r="H485" s="3">
        <v>5</v>
      </c>
      <c r="I485" t="str">
        <f>IFERROR(VLOOKUP(Prestamos[[#This Row],[ID Libro]],Inventario_Libros!A:B,2,0),"Libro No Existe")</f>
        <v>La Tregua</v>
      </c>
      <c r="J485" t="str">
        <f>IFERROR(VLOOKUP(Prestamos[[#This Row],[ID Libro]],Inventario_Libros!A:C,3,0),"Libro No Existe")</f>
        <v>Mario Benedetti</v>
      </c>
      <c r="K485" t="str">
        <f>IFERROR(VLOOKUP(Prestamos[[#This Row],[ID Libro]],Inventario_Libros!A:D,4,0),"Libro No Existe")</f>
        <v>Novela</v>
      </c>
      <c r="L485">
        <f>IFERROR(VLOOKUP(Prestamos[[#This Row],[ID Libro]],Inventario_Libros!A:E,5,0),"Libro No Existe")</f>
        <v>2004</v>
      </c>
      <c r="M485" t="str">
        <f>_xlfn.XLOOKUP(D:D,Inventario_Libros!A:A,Inventario_Libros!G:G,"No Existe",0)</f>
        <v>Est-1</v>
      </c>
      <c r="N485" t="str">
        <f>IFERROR(VLOOKUP(Prestamos[[#This Row],[ID Libro]],Inventario_Libros!A:H,8,0),"Libro No Existe")</f>
        <v>Retirado</v>
      </c>
    </row>
    <row r="486" spans="1:14" x14ac:dyDescent="0.3">
      <c r="A486" s="5" t="s">
        <v>1013</v>
      </c>
      <c r="B486" s="1">
        <v>45728</v>
      </c>
      <c r="C486" s="1">
        <v>45748</v>
      </c>
      <c r="D486" s="4" t="s">
        <v>507</v>
      </c>
      <c r="E486" s="2" t="s">
        <v>254</v>
      </c>
      <c r="F486" s="2" t="s">
        <v>258</v>
      </c>
      <c r="G486" s="2" t="s">
        <v>257</v>
      </c>
      <c r="H486" s="3">
        <v>5</v>
      </c>
      <c r="I486" t="str">
        <f>IFERROR(VLOOKUP(Prestamos[[#This Row],[ID Libro]],Inventario_Libros!A:B,2,0),"Libro No Existe")</f>
        <v>El Túnel</v>
      </c>
      <c r="J486" t="str">
        <f>IFERROR(VLOOKUP(Prestamos[[#This Row],[ID Libro]],Inventario_Libros!A:C,3,0),"Libro No Existe")</f>
        <v>Ernesto Sabato</v>
      </c>
      <c r="K486" t="str">
        <f>IFERROR(VLOOKUP(Prestamos[[#This Row],[ID Libro]],Inventario_Libros!A:D,4,0),"Libro No Existe")</f>
        <v>Novela</v>
      </c>
      <c r="L486">
        <f>IFERROR(VLOOKUP(Prestamos[[#This Row],[ID Libro]],Inventario_Libros!A:E,5,0),"Libro No Existe")</f>
        <v>1943</v>
      </c>
      <c r="M486" t="str">
        <f>_xlfn.XLOOKUP(D:D,Inventario_Libros!A:A,Inventario_Libros!G:G,"No Existe",0)</f>
        <v>Est-1</v>
      </c>
      <c r="N486" t="str">
        <f>IFERROR(VLOOKUP(Prestamos[[#This Row],[ID Libro]],Inventario_Libros!A:H,8,0),"Libro No Existe")</f>
        <v>Retirado</v>
      </c>
    </row>
    <row r="487" spans="1:14" x14ac:dyDescent="0.3">
      <c r="A487" s="5" t="s">
        <v>1014</v>
      </c>
      <c r="B487" s="1">
        <v>45870</v>
      </c>
      <c r="C487" s="1">
        <v>45887</v>
      </c>
      <c r="D487" s="4" t="s">
        <v>351</v>
      </c>
      <c r="E487" s="2" t="s">
        <v>264</v>
      </c>
      <c r="F487" s="2" t="s">
        <v>258</v>
      </c>
      <c r="G487" s="2" t="s">
        <v>257</v>
      </c>
      <c r="H487" s="3">
        <v>2</v>
      </c>
      <c r="I487" t="str">
        <f>IFERROR(VLOOKUP(Prestamos[[#This Row],[ID Libro]],Inventario_Libros!A:B,2,0),"Libro No Existe")</f>
        <v>Breve Historia Del Tiempo</v>
      </c>
      <c r="J487" t="str">
        <f>IFERROR(VLOOKUP(Prestamos[[#This Row],[ID Libro]],Inventario_Libros!A:C,3,0),"Libro No Existe")</f>
        <v>Stephen Hawking</v>
      </c>
      <c r="K487" t="str">
        <f>IFERROR(VLOOKUP(Prestamos[[#This Row],[ID Libro]],Inventario_Libros!A:D,4,0),"Libro No Existe")</f>
        <v>Divulgación Científica / Cosmología</v>
      </c>
      <c r="L487">
        <f>IFERROR(VLOOKUP(Prestamos[[#This Row],[ID Libro]],Inventario_Libros!A:E,5,0),"Libro No Existe")</f>
        <v>1945</v>
      </c>
      <c r="M487" t="str">
        <f>_xlfn.XLOOKUP(D:D,Inventario_Libros!A:A,Inventario_Libros!G:G,"No Existe",0)</f>
        <v>C-3</v>
      </c>
      <c r="N487" t="str">
        <f>IFERROR(VLOOKUP(Prestamos[[#This Row],[ID Libro]],Inventario_Libros!A:H,8,0),"Libro No Existe")</f>
        <v>Retirado</v>
      </c>
    </row>
    <row r="488" spans="1:14" x14ac:dyDescent="0.3">
      <c r="A488" s="5" t="s">
        <v>1015</v>
      </c>
      <c r="B488" s="1">
        <v>45866</v>
      </c>
      <c r="C488" s="1">
        <v>45896</v>
      </c>
      <c r="D488" s="4" t="s">
        <v>500</v>
      </c>
      <c r="E488" s="2" t="s">
        <v>273</v>
      </c>
      <c r="F488" s="2" t="s">
        <v>263</v>
      </c>
      <c r="G488" s="2" t="s">
        <v>253</v>
      </c>
      <c r="H488" s="3">
        <v>15</v>
      </c>
      <c r="I488" t="str">
        <f>IFERROR(VLOOKUP(Prestamos[[#This Row],[ID Libro]],Inventario_Libros!A:B,2,0),"Libro No Existe")</f>
        <v>La Ciudad Y Los Perros</v>
      </c>
      <c r="J488" t="str">
        <f>IFERROR(VLOOKUP(Prestamos[[#This Row],[ID Libro]],Inventario_Libros!A:C,3,0),"Libro No Existe")</f>
        <v>Mario Vargas Llosa</v>
      </c>
      <c r="K488" t="str">
        <f>IFERROR(VLOOKUP(Prestamos[[#This Row],[ID Libro]],Inventario_Libros!A:D,4,0),"Libro No Existe")</f>
        <v>Novela</v>
      </c>
      <c r="L488">
        <f>IFERROR(VLOOKUP(Prestamos[[#This Row],[ID Libro]],Inventario_Libros!A:E,5,0),"Libro No Existe")</f>
        <v>2001</v>
      </c>
      <c r="M488" t="str">
        <f>_xlfn.XLOOKUP(D:D,Inventario_Libros!A:A,Inventario_Libros!G:G,"No Existe",0)</f>
        <v>B-2</v>
      </c>
      <c r="N488" t="str">
        <f>IFERROR(VLOOKUP(Prestamos[[#This Row],[ID Libro]],Inventario_Libros!A:H,8,0),"Libro No Existe")</f>
        <v>Activo</v>
      </c>
    </row>
    <row r="489" spans="1:14" x14ac:dyDescent="0.3">
      <c r="A489" s="5" t="s">
        <v>1016</v>
      </c>
      <c r="B489" s="1">
        <v>45678</v>
      </c>
      <c r="C489" s="1">
        <v>45709</v>
      </c>
      <c r="D489" s="4" t="s">
        <v>515</v>
      </c>
      <c r="E489" s="2" t="s">
        <v>270</v>
      </c>
      <c r="F489" s="2" t="s">
        <v>255</v>
      </c>
      <c r="G489" s="2" t="s">
        <v>279</v>
      </c>
      <c r="H489" s="3" t="s">
        <v>289</v>
      </c>
      <c r="I489" t="str">
        <f>IFERROR(VLOOKUP(Prestamos[[#This Row],[ID Libro]],Inventario_Libros!A:B,2,0),"Libro No Existe")</f>
        <v>Libro No Existe</v>
      </c>
      <c r="J489" t="str">
        <f>IFERROR(VLOOKUP(Prestamos[[#This Row],[ID Libro]],Inventario_Libros!A:C,3,0),"Libro No Existe")</f>
        <v>Libro No Existe</v>
      </c>
      <c r="K489" t="str">
        <f>IFERROR(VLOOKUP(Prestamos[[#This Row],[ID Libro]],Inventario_Libros!A:D,4,0),"Libro No Existe")</f>
        <v>Libro No Existe</v>
      </c>
      <c r="L489" t="str">
        <f>IFERROR(VLOOKUP(Prestamos[[#This Row],[ID Libro]],Inventario_Libros!A:E,5,0),"Libro No Existe")</f>
        <v>Libro No Existe</v>
      </c>
      <c r="M489" t="str">
        <f>_xlfn.XLOOKUP(D:D,Inventario_Libros!A:A,Inventario_Libros!G:G,"No Existe",0)</f>
        <v>No Existe</v>
      </c>
      <c r="N489" t="str">
        <f>IFERROR(VLOOKUP(Prestamos[[#This Row],[ID Libro]],Inventario_Libros!A:H,8,0),"Libro No Existe")</f>
        <v>Libro No Existe</v>
      </c>
    </row>
    <row r="490" spans="1:14" x14ac:dyDescent="0.3">
      <c r="A490" s="5" t="s">
        <v>1017</v>
      </c>
      <c r="B490" s="1">
        <v>45797</v>
      </c>
      <c r="C490" s="1">
        <v>45828</v>
      </c>
      <c r="D490" s="4" t="s">
        <v>505</v>
      </c>
      <c r="E490" s="2" t="s">
        <v>262</v>
      </c>
      <c r="F490" s="2" t="s">
        <v>263</v>
      </c>
      <c r="G490" s="2" t="s">
        <v>279</v>
      </c>
      <c r="H490" s="3" t="s">
        <v>289</v>
      </c>
      <c r="I490" t="str">
        <f>IFERROR(VLOOKUP(Prestamos[[#This Row],[ID Libro]],Inventario_Libros!A:B,2,0),"Libro No Existe")</f>
        <v>La Ciudad Y Los Perros</v>
      </c>
      <c r="J490" t="str">
        <f>IFERROR(VLOOKUP(Prestamos[[#This Row],[ID Libro]],Inventario_Libros!A:C,3,0),"Libro No Existe")</f>
        <v>Mario Vargas Llosa</v>
      </c>
      <c r="K490" t="str">
        <f>IFERROR(VLOOKUP(Prestamos[[#This Row],[ID Libro]],Inventario_Libros!A:D,4,0),"Libro No Existe")</f>
        <v>Novela</v>
      </c>
      <c r="L490">
        <f>IFERROR(VLOOKUP(Prestamos[[#This Row],[ID Libro]],Inventario_Libros!A:E,5,0),"Libro No Existe")</f>
        <v>2018</v>
      </c>
      <c r="M490" t="str">
        <f>_xlfn.XLOOKUP(D:D,Inventario_Libros!A:A,Inventario_Libros!G:G,"No Existe",0)</f>
        <v>Est-1</v>
      </c>
      <c r="N490" t="str">
        <f>IFERROR(VLOOKUP(Prestamos[[#This Row],[ID Libro]],Inventario_Libros!A:H,8,0),"Libro No Existe")</f>
        <v>Retirado</v>
      </c>
    </row>
    <row r="491" spans="1:14" x14ac:dyDescent="0.3">
      <c r="A491" s="5" t="s">
        <v>1018</v>
      </c>
      <c r="B491" s="1">
        <v>45987</v>
      </c>
      <c r="C491" s="1">
        <v>46003</v>
      </c>
      <c r="D491" s="4" t="s">
        <v>347</v>
      </c>
      <c r="E491" s="2" t="s">
        <v>270</v>
      </c>
      <c r="F491" s="2" t="s">
        <v>263</v>
      </c>
      <c r="G491" s="2" t="s">
        <v>257</v>
      </c>
      <c r="H491" s="3">
        <v>1</v>
      </c>
      <c r="I491" t="str">
        <f>IFERROR(VLOOKUP(Prestamos[[#This Row],[ID Libro]],Inventario_Libros!A:B,2,0),"Libro No Existe")</f>
        <v>Ficciones</v>
      </c>
      <c r="J491" t="str">
        <f>IFERROR(VLOOKUP(Prestamos[[#This Row],[ID Libro]],Inventario_Libros!A:C,3,0),"Libro No Existe")</f>
        <v>Jorge Luis Borges</v>
      </c>
      <c r="K491" t="str">
        <f>IFERROR(VLOOKUP(Prestamos[[#This Row],[ID Libro]],Inventario_Libros!A:D,4,0),"Libro No Existe")</f>
        <v>Cuentos / Fantasía Metafísica</v>
      </c>
      <c r="L491">
        <f>IFERROR(VLOOKUP(Prestamos[[#This Row],[ID Libro]],Inventario_Libros!A:E,5,0),"Libro No Existe")</f>
        <v>1939</v>
      </c>
      <c r="M491" t="str">
        <f>_xlfn.XLOOKUP(D:D,Inventario_Libros!A:A,Inventario_Libros!G:G,"No Existe",0)</f>
        <v>A-1</v>
      </c>
      <c r="N491" t="str">
        <f>IFERROR(VLOOKUP(Prestamos[[#This Row],[ID Libro]],Inventario_Libros!A:H,8,0),"Libro No Existe")</f>
        <v>Activo</v>
      </c>
    </row>
    <row r="492" spans="1:14" x14ac:dyDescent="0.3">
      <c r="A492" s="5" t="s">
        <v>1019</v>
      </c>
      <c r="B492" s="1">
        <v>45947</v>
      </c>
      <c r="C492" s="1">
        <v>45978</v>
      </c>
      <c r="D492" s="4" t="s">
        <v>516</v>
      </c>
      <c r="E492" s="2" t="s">
        <v>274</v>
      </c>
      <c r="F492" s="2" t="s">
        <v>252</v>
      </c>
      <c r="G492" s="2" t="s">
        <v>253</v>
      </c>
      <c r="H492" s="3">
        <v>16</v>
      </c>
      <c r="I492" t="str">
        <f>IFERROR(VLOOKUP(Prestamos[[#This Row],[ID Libro]],Inventario_Libros!A:B,2,0),"Libro No Existe")</f>
        <v>Libro No Existe</v>
      </c>
      <c r="J492" t="str">
        <f>IFERROR(VLOOKUP(Prestamos[[#This Row],[ID Libro]],Inventario_Libros!A:C,3,0),"Libro No Existe")</f>
        <v>Libro No Existe</v>
      </c>
      <c r="K492" t="str">
        <f>IFERROR(VLOOKUP(Prestamos[[#This Row],[ID Libro]],Inventario_Libros!A:D,4,0),"Libro No Existe")</f>
        <v>Libro No Existe</v>
      </c>
      <c r="L492" t="str">
        <f>IFERROR(VLOOKUP(Prestamos[[#This Row],[ID Libro]],Inventario_Libros!A:E,5,0),"Libro No Existe")</f>
        <v>Libro No Existe</v>
      </c>
      <c r="M492" t="str">
        <f>_xlfn.XLOOKUP(D:D,Inventario_Libros!A:A,Inventario_Libros!G:G,"No Existe",0)</f>
        <v>No Existe</v>
      </c>
      <c r="N492" t="str">
        <f>IFERROR(VLOOKUP(Prestamos[[#This Row],[ID Libro]],Inventario_Libros!A:H,8,0),"Libro No Existe")</f>
        <v>Libro No Existe</v>
      </c>
    </row>
    <row r="493" spans="1:14" x14ac:dyDescent="0.3">
      <c r="A493" s="5" t="s">
        <v>1020</v>
      </c>
      <c r="B493" s="1">
        <v>45887</v>
      </c>
      <c r="C493" s="1">
        <v>45904</v>
      </c>
      <c r="D493" s="4" t="s">
        <v>479</v>
      </c>
      <c r="E493" s="2" t="s">
        <v>267</v>
      </c>
      <c r="F493" s="2" t="s">
        <v>258</v>
      </c>
      <c r="G493" s="2" t="s">
        <v>257</v>
      </c>
      <c r="H493" s="3">
        <v>2</v>
      </c>
      <c r="I493" t="str">
        <f>IFERROR(VLOOKUP(Prestamos[[#This Row],[ID Libro]],Inventario_Libros!A:B,2,0),"Libro No Existe")</f>
        <v>La Casa De Los Espíritus</v>
      </c>
      <c r="J493" t="str">
        <f>IFERROR(VLOOKUP(Prestamos[[#This Row],[ID Libro]],Inventario_Libros!A:C,3,0),"Libro No Existe")</f>
        <v>Isabel Allende</v>
      </c>
      <c r="K493" t="str">
        <f>IFERROR(VLOOKUP(Prestamos[[#This Row],[ID Libro]],Inventario_Libros!A:D,4,0),"Libro No Existe")</f>
        <v>Novela</v>
      </c>
      <c r="L493">
        <f>IFERROR(VLOOKUP(Prestamos[[#This Row],[ID Libro]],Inventario_Libros!A:E,5,0),"Libro No Existe")</f>
        <v>1899</v>
      </c>
      <c r="M493" t="str">
        <f>_xlfn.XLOOKUP(D:D,Inventario_Libros!A:A,Inventario_Libros!G:G,"No Existe",0)</f>
        <v>A-1</v>
      </c>
      <c r="N493" t="str">
        <f>IFERROR(VLOOKUP(Prestamos[[#This Row],[ID Libro]],Inventario_Libros!A:H,8,0),"Libro No Existe")</f>
        <v>Retirado</v>
      </c>
    </row>
    <row r="494" spans="1:14" x14ac:dyDescent="0.3">
      <c r="A494" s="5" t="s">
        <v>1021</v>
      </c>
      <c r="B494" s="1">
        <v>45827</v>
      </c>
      <c r="C494" s="1">
        <v>45858</v>
      </c>
      <c r="D494" s="4" t="s">
        <v>388</v>
      </c>
      <c r="E494" s="2" t="s">
        <v>267</v>
      </c>
      <c r="F494" s="2" t="s">
        <v>275</v>
      </c>
      <c r="G494" s="2" t="s">
        <v>279</v>
      </c>
      <c r="H494" s="3" t="s">
        <v>289</v>
      </c>
      <c r="I494" t="str">
        <f>IFERROR(VLOOKUP(Prestamos[[#This Row],[ID Libro]],Inventario_Libros!A:B,2,0),"Libro No Existe")</f>
        <v>La Sombra Del Viento</v>
      </c>
      <c r="J494" t="str">
        <f>IFERROR(VLOOKUP(Prestamos[[#This Row],[ID Libro]],Inventario_Libros!A:C,3,0),"Libro No Existe")</f>
        <v>Carlos Ruiz Zafón</v>
      </c>
      <c r="K494" t="str">
        <f>IFERROR(VLOOKUP(Prestamos[[#This Row],[ID Libro]],Inventario_Libros!A:D,4,0),"Libro No Existe")</f>
        <v>Misterio</v>
      </c>
      <c r="L494">
        <f>IFERROR(VLOOKUP(Prestamos[[#This Row],[ID Libro]],Inventario_Libros!A:E,5,0),"Libro No Existe")</f>
        <v>1923</v>
      </c>
      <c r="M494" t="str">
        <f>_xlfn.XLOOKUP(D:D,Inventario_Libros!A:A,Inventario_Libros!G:G,"No Existe",0)</f>
        <v>B-2</v>
      </c>
      <c r="N494" t="str">
        <f>IFERROR(VLOOKUP(Prestamos[[#This Row],[ID Libro]],Inventario_Libros!A:H,8,0),"Libro No Existe")</f>
        <v>Retirado</v>
      </c>
    </row>
    <row r="495" spans="1:14" x14ac:dyDescent="0.3">
      <c r="A495" s="5" t="s">
        <v>1022</v>
      </c>
      <c r="B495" s="1">
        <v>45743</v>
      </c>
      <c r="C495" s="1">
        <v>45761</v>
      </c>
      <c r="D495" s="4" t="s">
        <v>398</v>
      </c>
      <c r="E495" s="2" t="s">
        <v>266</v>
      </c>
      <c r="F495" s="2" t="s">
        <v>258</v>
      </c>
      <c r="G495" s="2" t="s">
        <v>257</v>
      </c>
      <c r="H495" s="3">
        <v>3</v>
      </c>
      <c r="I495" t="str">
        <f>IFERROR(VLOOKUP(Prestamos[[#This Row],[ID Libro]],Inventario_Libros!A:B,2,0),"Libro No Existe")</f>
        <v>Don Quijote De La Mancha</v>
      </c>
      <c r="J495" t="str">
        <f>IFERROR(VLOOKUP(Prestamos[[#This Row],[ID Libro]],Inventario_Libros!A:C,3,0),"Libro No Existe")</f>
        <v>Miguel De Cervantes</v>
      </c>
      <c r="K495" t="str">
        <f>IFERROR(VLOOKUP(Prestamos[[#This Row],[ID Libro]],Inventario_Libros!A:D,4,0),"Libro No Existe")</f>
        <v>Novela</v>
      </c>
      <c r="L495">
        <f>IFERROR(VLOOKUP(Prestamos[[#This Row],[ID Libro]],Inventario_Libros!A:E,5,0),"Libro No Existe")</f>
        <v>1926</v>
      </c>
      <c r="M495" t="str">
        <f>_xlfn.XLOOKUP(D:D,Inventario_Libros!A:A,Inventario_Libros!G:G,"No Existe",0)</f>
        <v>Est-1</v>
      </c>
      <c r="N495" t="str">
        <f>IFERROR(VLOOKUP(Prestamos[[#This Row],[ID Libro]],Inventario_Libros!A:H,8,0),"Libro No Existe")</f>
        <v>Activo</v>
      </c>
    </row>
    <row r="496" spans="1:14" x14ac:dyDescent="0.3">
      <c r="A496" s="5" t="s">
        <v>1023</v>
      </c>
      <c r="B496" s="1">
        <v>45881</v>
      </c>
      <c r="C496" s="1">
        <v>45912</v>
      </c>
      <c r="D496" s="4" t="s">
        <v>385</v>
      </c>
      <c r="E496" s="2" t="s">
        <v>272</v>
      </c>
      <c r="F496" s="2" t="s">
        <v>263</v>
      </c>
      <c r="G496" s="2" t="s">
        <v>279</v>
      </c>
      <c r="H496" s="3" t="s">
        <v>289</v>
      </c>
      <c r="I496" t="str">
        <f>IFERROR(VLOOKUP(Prestamos[[#This Row],[ID Libro]],Inventario_Libros!A:B,2,0),"Libro No Existe")</f>
        <v>Cien Años De Soledad</v>
      </c>
      <c r="J496" t="str">
        <f>IFERROR(VLOOKUP(Prestamos[[#This Row],[ID Libro]],Inventario_Libros!A:C,3,0),"Libro No Existe")</f>
        <v>Gabriel García Márquez</v>
      </c>
      <c r="K496" t="str">
        <f>IFERROR(VLOOKUP(Prestamos[[#This Row],[ID Libro]],Inventario_Libros!A:D,4,0),"Libro No Existe")</f>
        <v>Novela</v>
      </c>
      <c r="L496">
        <f>IFERROR(VLOOKUP(Prestamos[[#This Row],[ID Libro]],Inventario_Libros!A:E,5,0),"Libro No Existe")</f>
        <v>2016</v>
      </c>
      <c r="M496" t="str">
        <f>_xlfn.XLOOKUP(D:D,Inventario_Libros!A:A,Inventario_Libros!G:G,"No Existe",0)</f>
        <v>C-3</v>
      </c>
      <c r="N496" t="str">
        <f>IFERROR(VLOOKUP(Prestamos[[#This Row],[ID Libro]],Inventario_Libros!A:H,8,0),"Libro No Existe")</f>
        <v>Activo</v>
      </c>
    </row>
    <row r="497" spans="1:14" x14ac:dyDescent="0.3">
      <c r="A497" s="5" t="s">
        <v>1024</v>
      </c>
      <c r="B497" s="1">
        <v>45699</v>
      </c>
      <c r="C497" s="1">
        <v>45730</v>
      </c>
      <c r="D497" s="4" t="s">
        <v>374</v>
      </c>
      <c r="E497" s="2" t="s">
        <v>261</v>
      </c>
      <c r="F497" s="2" t="s">
        <v>275</v>
      </c>
      <c r="G497" s="2" t="s">
        <v>279</v>
      </c>
      <c r="H497" s="3" t="s">
        <v>289</v>
      </c>
      <c r="I497" t="str">
        <f>IFERROR(VLOOKUP(Prestamos[[#This Row],[ID Libro]],Inventario_Libros!A:B,2,0),"Libro No Existe")</f>
        <v>La Casa De Los Espíritus</v>
      </c>
      <c r="J497" t="str">
        <f>IFERROR(VLOOKUP(Prestamos[[#This Row],[ID Libro]],Inventario_Libros!A:C,3,0),"Libro No Existe")</f>
        <v>Isabel Allende</v>
      </c>
      <c r="K497" t="str">
        <f>IFERROR(VLOOKUP(Prestamos[[#This Row],[ID Libro]],Inventario_Libros!A:D,4,0),"Libro No Existe")</f>
        <v>Novela</v>
      </c>
      <c r="L497">
        <f>IFERROR(VLOOKUP(Prestamos[[#This Row],[ID Libro]],Inventario_Libros!A:E,5,0),"Libro No Existe")</f>
        <v>1938</v>
      </c>
      <c r="M497" t="str">
        <f>_xlfn.XLOOKUP(D:D,Inventario_Libros!A:A,Inventario_Libros!G:G,"No Existe",0)</f>
        <v>Est-1</v>
      </c>
      <c r="N497" t="str">
        <f>IFERROR(VLOOKUP(Prestamos[[#This Row],[ID Libro]],Inventario_Libros!A:H,8,0),"Libro No Existe")</f>
        <v>Activo</v>
      </c>
    </row>
    <row r="498" spans="1:14" x14ac:dyDescent="0.3">
      <c r="A498" s="5" t="s">
        <v>1025</v>
      </c>
      <c r="B498" s="1">
        <v>45909</v>
      </c>
      <c r="C498" s="1">
        <v>45926</v>
      </c>
      <c r="D498" s="4" t="s">
        <v>437</v>
      </c>
      <c r="E498" s="2" t="s">
        <v>278</v>
      </c>
      <c r="F498" s="2" t="s">
        <v>275</v>
      </c>
      <c r="G498" s="2" t="s">
        <v>257</v>
      </c>
      <c r="H498" s="3">
        <v>2</v>
      </c>
      <c r="I498" t="str">
        <f>IFERROR(VLOOKUP(Prestamos[[#This Row],[ID Libro]],Inventario_Libros!A:B,2,0),"Libro No Existe")</f>
        <v>El Código Da Vinci</v>
      </c>
      <c r="J498" t="str">
        <f>IFERROR(VLOOKUP(Prestamos[[#This Row],[ID Libro]],Inventario_Libros!A:C,3,0),"Libro No Existe")</f>
        <v>Dan Brown</v>
      </c>
      <c r="K498" t="str">
        <f>IFERROR(VLOOKUP(Prestamos[[#This Row],[ID Libro]],Inventario_Libros!A:D,4,0),"Libro No Existe")</f>
        <v>Misterio</v>
      </c>
      <c r="L498">
        <f>IFERROR(VLOOKUP(Prestamos[[#This Row],[ID Libro]],Inventario_Libros!A:E,5,0),"Libro No Existe")</f>
        <v>1935</v>
      </c>
      <c r="M498" t="str">
        <f>_xlfn.XLOOKUP(D:D,Inventario_Libros!A:A,Inventario_Libros!G:G,"No Existe",0)</f>
        <v>B-2</v>
      </c>
      <c r="N498" t="str">
        <f>IFERROR(VLOOKUP(Prestamos[[#This Row],[ID Libro]],Inventario_Libros!A:H,8,0),"Libro No Existe")</f>
        <v>Retirado</v>
      </c>
    </row>
    <row r="499" spans="1:14" x14ac:dyDescent="0.3">
      <c r="A499" s="5" t="s">
        <v>1026</v>
      </c>
      <c r="B499" s="1">
        <v>45892</v>
      </c>
      <c r="C499" s="1">
        <v>45924</v>
      </c>
      <c r="D499" s="4" t="s">
        <v>416</v>
      </c>
      <c r="E499" s="2" t="s">
        <v>277</v>
      </c>
      <c r="F499" s="2" t="s">
        <v>263</v>
      </c>
      <c r="G499" s="2" t="s">
        <v>253</v>
      </c>
      <c r="H499" s="3">
        <v>17</v>
      </c>
      <c r="I499" t="str">
        <f>IFERROR(VLOOKUP(Prestamos[[#This Row],[ID Libro]],Inventario_Libros!A:B,2,0),"Libro No Existe")</f>
        <v>La Tregua</v>
      </c>
      <c r="J499" t="str">
        <f>IFERROR(VLOOKUP(Prestamos[[#This Row],[ID Libro]],Inventario_Libros!A:C,3,0),"Libro No Existe")</f>
        <v>Mario Benedetti</v>
      </c>
      <c r="K499" t="str">
        <f>IFERROR(VLOOKUP(Prestamos[[#This Row],[ID Libro]],Inventario_Libros!A:D,4,0),"Libro No Existe")</f>
        <v>Novela</v>
      </c>
      <c r="L499">
        <f>IFERROR(VLOOKUP(Prestamos[[#This Row],[ID Libro]],Inventario_Libros!A:E,5,0),"Libro No Existe")</f>
        <v>2003</v>
      </c>
      <c r="M499" t="str">
        <f>_xlfn.XLOOKUP(D:D,Inventario_Libros!A:A,Inventario_Libros!G:G,"No Existe",0)</f>
        <v>C-3</v>
      </c>
      <c r="N499" t="str">
        <f>IFERROR(VLOOKUP(Prestamos[[#This Row],[ID Libro]],Inventario_Libros!A:H,8,0),"Libro No Existe")</f>
        <v>Activo</v>
      </c>
    </row>
    <row r="500" spans="1:14" x14ac:dyDescent="0.3">
      <c r="A500" s="5" t="s">
        <v>1027</v>
      </c>
      <c r="B500" s="1">
        <v>45754</v>
      </c>
      <c r="C500" s="1">
        <v>45786</v>
      </c>
      <c r="D500" s="4" t="s">
        <v>425</v>
      </c>
      <c r="E500" s="2" t="s">
        <v>273</v>
      </c>
      <c r="F500" s="2" t="s">
        <v>252</v>
      </c>
      <c r="G500" s="2" t="s">
        <v>253</v>
      </c>
      <c r="H500" s="3">
        <v>17</v>
      </c>
      <c r="I500" t="str">
        <f>IFERROR(VLOOKUP(Prestamos[[#This Row],[ID Libro]],Inventario_Libros!A:B,2,0),"Libro No Existe")</f>
        <v>La Odisea</v>
      </c>
      <c r="J500" t="str">
        <f>IFERROR(VLOOKUP(Prestamos[[#This Row],[ID Libro]],Inventario_Libros!A:C,3,0),"Libro No Existe")</f>
        <v>Homero</v>
      </c>
      <c r="K500" t="str">
        <f>IFERROR(VLOOKUP(Prestamos[[#This Row],[ID Libro]],Inventario_Libros!A:D,4,0),"Libro No Existe")</f>
        <v>Clásicos</v>
      </c>
      <c r="L500">
        <f>IFERROR(VLOOKUP(Prestamos[[#This Row],[ID Libro]],Inventario_Libros!A:E,5,0),"Libro No Existe")</f>
        <v>1978</v>
      </c>
      <c r="M500" t="str">
        <f>_xlfn.XLOOKUP(D:D,Inventario_Libros!A:A,Inventario_Libros!G:G,"No Existe",0)</f>
        <v>A-1</v>
      </c>
      <c r="N500" t="str">
        <f>IFERROR(VLOOKUP(Prestamos[[#This Row],[ID Libro]],Inventario_Libros!A:H,8,0),"Libro No Existe")</f>
        <v>Retirado</v>
      </c>
    </row>
    <row r="501" spans="1:14" x14ac:dyDescent="0.3">
      <c r="A501" s="5" t="s">
        <v>1028</v>
      </c>
      <c r="B501" s="1">
        <v>45882</v>
      </c>
      <c r="C501" s="1">
        <v>45914</v>
      </c>
      <c r="D501" s="4" t="s">
        <v>517</v>
      </c>
      <c r="E501" s="2" t="s">
        <v>272</v>
      </c>
      <c r="F501" s="2" t="s">
        <v>275</v>
      </c>
      <c r="G501" s="2" t="s">
        <v>279</v>
      </c>
      <c r="H501" s="3" t="s">
        <v>289</v>
      </c>
      <c r="I501" t="str">
        <f>IFERROR(VLOOKUP(Prestamos[[#This Row],[ID Libro]],Inventario_Libros!A:B,2,0),"Libro No Existe")</f>
        <v>El Código Da Vinci</v>
      </c>
      <c r="J501" t="str">
        <f>IFERROR(VLOOKUP(Prestamos[[#This Row],[ID Libro]],Inventario_Libros!A:C,3,0),"Libro No Existe")</f>
        <v>Dan Brown</v>
      </c>
      <c r="K501" t="str">
        <f>IFERROR(VLOOKUP(Prestamos[[#This Row],[ID Libro]],Inventario_Libros!A:D,4,0),"Libro No Existe")</f>
        <v>Misterio</v>
      </c>
      <c r="L501">
        <f>IFERROR(VLOOKUP(Prestamos[[#This Row],[ID Libro]],Inventario_Libros!A:E,5,0),"Libro No Existe")</f>
        <v>1896</v>
      </c>
      <c r="M501" t="str">
        <f>_xlfn.XLOOKUP(D:D,Inventario_Libros!A:A,Inventario_Libros!G:G,"No Existe",0)</f>
        <v>No Asignado</v>
      </c>
      <c r="N501" t="str">
        <f>IFERROR(VLOOKUP(Prestamos[[#This Row],[ID Libro]],Inventario_Libros!A:H,8,0),"Libro No Existe")</f>
        <v>Retirado</v>
      </c>
    </row>
    <row r="502" spans="1:14" x14ac:dyDescent="0.3">
      <c r="A502" s="5" t="s">
        <v>1029</v>
      </c>
      <c r="B502" s="1">
        <v>45742</v>
      </c>
      <c r="C502" s="1">
        <v>45774</v>
      </c>
      <c r="D502" s="4" t="s">
        <v>326</v>
      </c>
      <c r="E502" s="2" t="s">
        <v>264</v>
      </c>
      <c r="F502" s="2" t="s">
        <v>275</v>
      </c>
      <c r="G502" s="2" t="s">
        <v>279</v>
      </c>
      <c r="H502" s="3" t="s">
        <v>289</v>
      </c>
      <c r="I502" t="str">
        <f>IFERROR(VLOOKUP(Prestamos[[#This Row],[ID Libro]],Inventario_Libros!A:B,2,0),"Libro No Existe")</f>
        <v>Orgullo Y Prejuicio</v>
      </c>
      <c r="J502" t="str">
        <f>IFERROR(VLOOKUP(Prestamos[[#This Row],[ID Libro]],Inventario_Libros!A:C,3,0),"Libro No Existe")</f>
        <v>Jane Austen</v>
      </c>
      <c r="K502" t="str">
        <f>IFERROR(VLOOKUP(Prestamos[[#This Row],[ID Libro]],Inventario_Libros!A:D,4,0),"Libro No Existe")</f>
        <v>Novela</v>
      </c>
      <c r="L502">
        <f>IFERROR(VLOOKUP(Prestamos[[#This Row],[ID Libro]],Inventario_Libros!A:E,5,0),"Libro No Existe")</f>
        <v>2013</v>
      </c>
      <c r="M502" t="str">
        <f>_xlfn.XLOOKUP(D:D,Inventario_Libros!A:A,Inventario_Libros!G:G,"No Existe",0)</f>
        <v>Est-1</v>
      </c>
      <c r="N502" t="str">
        <f>IFERROR(VLOOKUP(Prestamos[[#This Row],[ID Libro]],Inventario_Libros!A:H,8,0),"Libro No Existe")</f>
        <v>Activo</v>
      </c>
    </row>
    <row r="503" spans="1:14" x14ac:dyDescent="0.3">
      <c r="A503" s="5" t="s">
        <v>1030</v>
      </c>
      <c r="B503" s="1">
        <v>45833</v>
      </c>
      <c r="C503" s="1">
        <v>45850</v>
      </c>
      <c r="D503" s="4" t="s">
        <v>504</v>
      </c>
      <c r="E503" s="2" t="s">
        <v>266</v>
      </c>
      <c r="F503" s="2" t="s">
        <v>258</v>
      </c>
      <c r="G503" s="2" t="s">
        <v>257</v>
      </c>
      <c r="H503" s="3">
        <v>2</v>
      </c>
      <c r="I503" t="str">
        <f>IFERROR(VLOOKUP(Prestamos[[#This Row],[ID Libro]],Inventario_Libros!A:B,2,0),"Libro No Existe")</f>
        <v>La Sombra Del Viento</v>
      </c>
      <c r="J503" t="str">
        <f>IFERROR(VLOOKUP(Prestamos[[#This Row],[ID Libro]],Inventario_Libros!A:C,3,0),"Libro No Existe")</f>
        <v>Carlos Ruiz Zafón</v>
      </c>
      <c r="K503" t="str">
        <f>IFERROR(VLOOKUP(Prestamos[[#This Row],[ID Libro]],Inventario_Libros!A:D,4,0),"Libro No Existe")</f>
        <v>Misterio</v>
      </c>
      <c r="L503">
        <f>IFERROR(VLOOKUP(Prestamos[[#This Row],[ID Libro]],Inventario_Libros!A:E,5,0),"Libro No Existe")</f>
        <v>1944</v>
      </c>
      <c r="M503" t="str">
        <f>_xlfn.XLOOKUP(D:D,Inventario_Libros!A:A,Inventario_Libros!G:G,"No Existe",0)</f>
        <v>Est-1</v>
      </c>
      <c r="N503" t="str">
        <f>IFERROR(VLOOKUP(Prestamos[[#This Row],[ID Libro]],Inventario_Libros!A:H,8,0),"Libro No Existe")</f>
        <v>Activo</v>
      </c>
    </row>
    <row r="504" spans="1:14" x14ac:dyDescent="0.3">
      <c r="A504" s="5" t="s">
        <v>1031</v>
      </c>
      <c r="B504" s="1">
        <v>45901</v>
      </c>
      <c r="C504" s="1">
        <v>45933</v>
      </c>
      <c r="D504" s="4" t="s">
        <v>447</v>
      </c>
      <c r="E504" s="2" t="s">
        <v>260</v>
      </c>
      <c r="F504" s="2" t="s">
        <v>255</v>
      </c>
      <c r="G504" s="2" t="s">
        <v>253</v>
      </c>
      <c r="H504" s="3">
        <v>17</v>
      </c>
      <c r="I504" t="str">
        <f>IFERROR(VLOOKUP(Prestamos[[#This Row],[ID Libro]],Inventario_Libros!A:B,2,0),"Libro No Existe")</f>
        <v>La Casa De Los Espíritus</v>
      </c>
      <c r="J504" t="str">
        <f>IFERROR(VLOOKUP(Prestamos[[#This Row],[ID Libro]],Inventario_Libros!A:C,3,0),"Libro No Existe")</f>
        <v>Isabel Allende</v>
      </c>
      <c r="K504" t="str">
        <f>IFERROR(VLOOKUP(Prestamos[[#This Row],[ID Libro]],Inventario_Libros!A:D,4,0),"Libro No Existe")</f>
        <v>Novela</v>
      </c>
      <c r="L504">
        <f>IFERROR(VLOOKUP(Prestamos[[#This Row],[ID Libro]],Inventario_Libros!A:E,5,0),"Libro No Existe")</f>
        <v>2009</v>
      </c>
      <c r="M504" t="str">
        <f>_xlfn.XLOOKUP(D:D,Inventario_Libros!A:A,Inventario_Libros!G:G,"No Existe",0)</f>
        <v>Est-1</v>
      </c>
      <c r="N504" t="str">
        <f>IFERROR(VLOOKUP(Prestamos[[#This Row],[ID Libro]],Inventario_Libros!A:H,8,0),"Libro No Existe")</f>
        <v>Activo</v>
      </c>
    </row>
    <row r="505" spans="1:14" x14ac:dyDescent="0.3">
      <c r="A505" s="5" t="s">
        <v>1032</v>
      </c>
      <c r="B505" s="1">
        <v>45697</v>
      </c>
      <c r="C505" s="1">
        <v>45729</v>
      </c>
      <c r="D505" s="4" t="s">
        <v>491</v>
      </c>
      <c r="E505" s="2" t="s">
        <v>274</v>
      </c>
      <c r="F505" s="2" t="s">
        <v>263</v>
      </c>
      <c r="G505" s="2" t="s">
        <v>253</v>
      </c>
      <c r="H505" s="3">
        <v>17</v>
      </c>
      <c r="I505" t="str">
        <f>IFERROR(VLOOKUP(Prestamos[[#This Row],[ID Libro]],Inventario_Libros!A:B,2,0),"Libro No Existe")</f>
        <v>La Casa De Los Espíritus</v>
      </c>
      <c r="J505" t="str">
        <f>IFERROR(VLOOKUP(Prestamos[[#This Row],[ID Libro]],Inventario_Libros!A:C,3,0),"Libro No Existe")</f>
        <v>Isabel Allende</v>
      </c>
      <c r="K505" t="str">
        <f>IFERROR(VLOOKUP(Prestamos[[#This Row],[ID Libro]],Inventario_Libros!A:D,4,0),"Libro No Existe")</f>
        <v>Novela</v>
      </c>
      <c r="L505">
        <f>IFERROR(VLOOKUP(Prestamos[[#This Row],[ID Libro]],Inventario_Libros!A:E,5,0),"Libro No Existe")</f>
        <v>1970</v>
      </c>
      <c r="M505" t="str">
        <f>_xlfn.XLOOKUP(D:D,Inventario_Libros!A:A,Inventario_Libros!G:G,"No Existe",0)</f>
        <v>C-3</v>
      </c>
      <c r="N505" t="str">
        <f>IFERROR(VLOOKUP(Prestamos[[#This Row],[ID Libro]],Inventario_Libros!A:H,8,0),"Libro No Existe")</f>
        <v>Activo</v>
      </c>
    </row>
    <row r="506" spans="1:14" x14ac:dyDescent="0.3">
      <c r="A506" s="5" t="s">
        <v>1033</v>
      </c>
      <c r="B506" s="1">
        <v>45807</v>
      </c>
      <c r="C506" s="1">
        <v>45827</v>
      </c>
      <c r="D506" s="4" t="s">
        <v>320</v>
      </c>
      <c r="E506" s="2" t="s">
        <v>272</v>
      </c>
      <c r="F506" s="2" t="s">
        <v>252</v>
      </c>
      <c r="G506" s="2" t="s">
        <v>257</v>
      </c>
      <c r="H506" s="3">
        <v>5</v>
      </c>
      <c r="I506" t="str">
        <f>IFERROR(VLOOKUP(Prestamos[[#This Row],[ID Libro]],Inventario_Libros!A:B,2,0),"Libro No Existe")</f>
        <v>Matadero Cinco</v>
      </c>
      <c r="J506" t="str">
        <f>IFERROR(VLOOKUP(Prestamos[[#This Row],[ID Libro]],Inventario_Libros!A:C,3,0),"Libro No Existe")</f>
        <v>Kurt Vonnegut</v>
      </c>
      <c r="K506" t="str">
        <f>IFERROR(VLOOKUP(Prestamos[[#This Row],[ID Libro]],Inventario_Libros!A:D,4,0),"Libro No Existe")</f>
        <v>Ciencia Ficción</v>
      </c>
      <c r="L506">
        <f>IFERROR(VLOOKUP(Prestamos[[#This Row],[ID Libro]],Inventario_Libros!A:E,5,0),"Libro No Existe")</f>
        <v>1984</v>
      </c>
      <c r="M506" t="str">
        <f>_xlfn.XLOOKUP(D:D,Inventario_Libros!A:A,Inventario_Libros!G:G,"No Existe",0)</f>
        <v>A-1</v>
      </c>
      <c r="N506" t="str">
        <f>IFERROR(VLOOKUP(Prestamos[[#This Row],[ID Libro]],Inventario_Libros!A:H,8,0),"Libro No Existe")</f>
        <v>Retirado</v>
      </c>
    </row>
    <row r="507" spans="1:14" x14ac:dyDescent="0.3">
      <c r="A507" s="5" t="s">
        <v>1034</v>
      </c>
      <c r="B507" s="1">
        <v>45780</v>
      </c>
      <c r="C507" s="1">
        <v>45812</v>
      </c>
      <c r="D507" s="4" t="s">
        <v>448</v>
      </c>
      <c r="E507" s="2" t="s">
        <v>277</v>
      </c>
      <c r="F507" s="2" t="s">
        <v>275</v>
      </c>
      <c r="G507" s="2" t="s">
        <v>253</v>
      </c>
      <c r="H507" s="3">
        <v>17</v>
      </c>
      <c r="I507" t="str">
        <f>IFERROR(VLOOKUP(Prestamos[[#This Row],[ID Libro]],Inventario_Libros!A:B,2,0),"Libro No Existe")</f>
        <v>Ficciones</v>
      </c>
      <c r="J507" t="str">
        <f>IFERROR(VLOOKUP(Prestamos[[#This Row],[ID Libro]],Inventario_Libros!A:C,3,0),"Libro No Existe")</f>
        <v>Jorge Luis Borges</v>
      </c>
      <c r="K507" t="str">
        <f>IFERROR(VLOOKUP(Prestamos[[#This Row],[ID Libro]],Inventario_Libros!A:D,4,0),"Libro No Existe")</f>
        <v>Cuentos / Fantasía Metafísica</v>
      </c>
      <c r="L507">
        <f>IFERROR(VLOOKUP(Prestamos[[#This Row],[ID Libro]],Inventario_Libros!A:E,5,0),"Libro No Existe")</f>
        <v>1969</v>
      </c>
      <c r="M507" t="str">
        <f>_xlfn.XLOOKUP(D:D,Inventario_Libros!A:A,Inventario_Libros!G:G,"No Existe",0)</f>
        <v>No Asignado</v>
      </c>
      <c r="N507" t="str">
        <f>IFERROR(VLOOKUP(Prestamos[[#This Row],[ID Libro]],Inventario_Libros!A:H,8,0),"Libro No Existe")</f>
        <v>Activo</v>
      </c>
    </row>
    <row r="508" spans="1:14" x14ac:dyDescent="0.3">
      <c r="A508" s="5" t="s">
        <v>1035</v>
      </c>
      <c r="B508" s="1">
        <v>45849</v>
      </c>
      <c r="C508" s="1" t="s">
        <v>289</v>
      </c>
      <c r="D508" s="4" t="s">
        <v>347</v>
      </c>
      <c r="E508" s="2" t="s">
        <v>256</v>
      </c>
      <c r="F508" s="2" t="s">
        <v>252</v>
      </c>
      <c r="G508" s="2" t="s">
        <v>257</v>
      </c>
      <c r="H508" s="3">
        <v>5</v>
      </c>
      <c r="I508" t="str">
        <f>IFERROR(VLOOKUP(Prestamos[[#This Row],[ID Libro]],Inventario_Libros!A:B,2,0),"Libro No Existe")</f>
        <v>Ficciones</v>
      </c>
      <c r="J508" t="str">
        <f>IFERROR(VLOOKUP(Prestamos[[#This Row],[ID Libro]],Inventario_Libros!A:C,3,0),"Libro No Existe")</f>
        <v>Jorge Luis Borges</v>
      </c>
      <c r="K508" t="str">
        <f>IFERROR(VLOOKUP(Prestamos[[#This Row],[ID Libro]],Inventario_Libros!A:D,4,0),"Libro No Existe")</f>
        <v>Cuentos / Fantasía Metafísica</v>
      </c>
      <c r="L508">
        <f>IFERROR(VLOOKUP(Prestamos[[#This Row],[ID Libro]],Inventario_Libros!A:E,5,0),"Libro No Existe")</f>
        <v>1939</v>
      </c>
      <c r="M508" t="str">
        <f>_xlfn.XLOOKUP(D:D,Inventario_Libros!A:A,Inventario_Libros!G:G,"No Existe",0)</f>
        <v>A-1</v>
      </c>
      <c r="N508" t="str">
        <f>IFERROR(VLOOKUP(Prestamos[[#This Row],[ID Libro]],Inventario_Libros!A:H,8,0),"Libro No Existe")</f>
        <v>Activo</v>
      </c>
    </row>
    <row r="509" spans="1:14" x14ac:dyDescent="0.3">
      <c r="A509" s="5" t="s">
        <v>1036</v>
      </c>
      <c r="B509" s="1">
        <v>45951</v>
      </c>
      <c r="C509" s="1">
        <v>45983</v>
      </c>
      <c r="D509" s="4" t="s">
        <v>458</v>
      </c>
      <c r="E509" s="2" t="s">
        <v>273</v>
      </c>
      <c r="F509" s="2" t="s">
        <v>252</v>
      </c>
      <c r="G509" s="2" t="s">
        <v>253</v>
      </c>
      <c r="H509" s="3">
        <v>17</v>
      </c>
      <c r="I509" t="str">
        <f>IFERROR(VLOOKUP(Prestamos[[#This Row],[ID Libro]],Inventario_Libros!A:B,2,0),"Libro No Existe")</f>
        <v>Don Quijote De La Mancha</v>
      </c>
      <c r="J509" t="str">
        <f>IFERROR(VLOOKUP(Prestamos[[#This Row],[ID Libro]],Inventario_Libros!A:C,3,0),"Libro No Existe")</f>
        <v>Miguel De Cervantes</v>
      </c>
      <c r="K509" t="str">
        <f>IFERROR(VLOOKUP(Prestamos[[#This Row],[ID Libro]],Inventario_Libros!A:D,4,0),"Libro No Existe")</f>
        <v>Novela</v>
      </c>
      <c r="L509">
        <f>IFERROR(VLOOKUP(Prestamos[[#This Row],[ID Libro]],Inventario_Libros!A:E,5,0),"Libro No Existe")</f>
        <v>1933</v>
      </c>
      <c r="M509" t="str">
        <f>_xlfn.XLOOKUP(D:D,Inventario_Libros!A:A,Inventario_Libros!G:G,"No Existe",0)</f>
        <v>B-2</v>
      </c>
      <c r="N509" t="str">
        <f>IFERROR(VLOOKUP(Prestamos[[#This Row],[ID Libro]],Inventario_Libros!A:H,8,0),"Libro No Existe")</f>
        <v>Retirado</v>
      </c>
    </row>
    <row r="510" spans="1:14" x14ac:dyDescent="0.3">
      <c r="A510" s="5" t="s">
        <v>1037</v>
      </c>
      <c r="B510" s="1">
        <v>45684</v>
      </c>
      <c r="C510" s="1">
        <v>45716</v>
      </c>
      <c r="D510" s="4" t="s">
        <v>455</v>
      </c>
      <c r="E510" s="2" t="s">
        <v>262</v>
      </c>
      <c r="F510" s="2" t="s">
        <v>263</v>
      </c>
      <c r="G510" s="2" t="s">
        <v>253</v>
      </c>
      <c r="H510" s="3">
        <v>17</v>
      </c>
      <c r="I510" t="str">
        <f>IFERROR(VLOOKUP(Prestamos[[#This Row],[ID Libro]],Inventario_Libros!A:B,2,0),"Libro No Existe")</f>
        <v>Orgullo Y Prejuicio</v>
      </c>
      <c r="J510" t="str">
        <f>IFERROR(VLOOKUP(Prestamos[[#This Row],[ID Libro]],Inventario_Libros!A:C,3,0),"Libro No Existe")</f>
        <v>Jane Austen</v>
      </c>
      <c r="K510" t="str">
        <f>IFERROR(VLOOKUP(Prestamos[[#This Row],[ID Libro]],Inventario_Libros!A:D,4,0),"Libro No Existe")</f>
        <v>Novela</v>
      </c>
      <c r="L510">
        <f>IFERROR(VLOOKUP(Prestamos[[#This Row],[ID Libro]],Inventario_Libros!A:E,5,0),"Libro No Existe")</f>
        <v>1951</v>
      </c>
      <c r="M510" t="str">
        <f>_xlfn.XLOOKUP(D:D,Inventario_Libros!A:A,Inventario_Libros!G:G,"No Existe",0)</f>
        <v>Est-1</v>
      </c>
      <c r="N510" t="str">
        <f>IFERROR(VLOOKUP(Prestamos[[#This Row],[ID Libro]],Inventario_Libros!A:H,8,0),"Libro No Existe")</f>
        <v>Retirado</v>
      </c>
    </row>
    <row r="511" spans="1:14" x14ac:dyDescent="0.3">
      <c r="A511" s="5" t="s">
        <v>1038</v>
      </c>
      <c r="B511" s="1">
        <v>45858</v>
      </c>
      <c r="C511" s="1" t="s">
        <v>289</v>
      </c>
      <c r="D511" s="4" t="s">
        <v>403</v>
      </c>
      <c r="E511" s="2" t="s">
        <v>274</v>
      </c>
      <c r="F511" s="2" t="s">
        <v>275</v>
      </c>
      <c r="G511" s="2" t="s">
        <v>257</v>
      </c>
      <c r="H511" s="3">
        <v>5</v>
      </c>
      <c r="I511" t="str">
        <f>IFERROR(VLOOKUP(Prestamos[[#This Row],[ID Libro]],Inventario_Libros!A:B,2,0),"Libro No Existe")</f>
        <v>Sobre La Felicidad</v>
      </c>
      <c r="J511" t="str">
        <f>IFERROR(VLOOKUP(Prestamos[[#This Row],[ID Libro]],Inventario_Libros!A:C,3,0),"Libro No Existe")</f>
        <v>Lucio Anneo Séneca</v>
      </c>
      <c r="K511" t="str">
        <f>IFERROR(VLOOKUP(Prestamos[[#This Row],[ID Libro]],Inventario_Libros!A:D,4,0),"Libro No Existe")</f>
        <v>Filosofía Y Pensamiento</v>
      </c>
      <c r="L511">
        <f>IFERROR(VLOOKUP(Prestamos[[#This Row],[ID Libro]],Inventario_Libros!A:E,5,0),"Libro No Existe")</f>
        <v>1936</v>
      </c>
      <c r="M511" t="str">
        <f>_xlfn.XLOOKUP(D:D,Inventario_Libros!A:A,Inventario_Libros!G:G,"No Existe",0)</f>
        <v>B-2</v>
      </c>
      <c r="N511" t="str">
        <f>IFERROR(VLOOKUP(Prestamos[[#This Row],[ID Libro]],Inventario_Libros!A:H,8,0),"Libro No Existe")</f>
        <v>Retirado</v>
      </c>
    </row>
    <row r="512" spans="1:14" x14ac:dyDescent="0.3">
      <c r="A512" s="5" t="s">
        <v>1039</v>
      </c>
      <c r="B512" s="1">
        <v>45834</v>
      </c>
      <c r="C512" s="1">
        <v>45854</v>
      </c>
      <c r="D512" s="4" t="s">
        <v>356</v>
      </c>
      <c r="E512" s="2" t="s">
        <v>271</v>
      </c>
      <c r="F512" s="2" t="s">
        <v>263</v>
      </c>
      <c r="G512" s="2" t="s">
        <v>257</v>
      </c>
      <c r="H512" s="3">
        <v>5</v>
      </c>
      <c r="I512" t="str">
        <f>IFERROR(VLOOKUP(Prestamos[[#This Row],[ID Libro]],Inventario_Libros!A:B,2,0),"Libro No Existe")</f>
        <v>Pedro Páramo</v>
      </c>
      <c r="J512" t="str">
        <f>IFERROR(VLOOKUP(Prestamos[[#This Row],[ID Libro]],Inventario_Libros!A:C,3,0),"Libro No Existe")</f>
        <v>Juan Rulfo</v>
      </c>
      <c r="K512" t="str">
        <f>IFERROR(VLOOKUP(Prestamos[[#This Row],[ID Libro]],Inventario_Libros!A:D,4,0),"Libro No Existe")</f>
        <v>Novela</v>
      </c>
      <c r="L512">
        <f>IFERROR(VLOOKUP(Prestamos[[#This Row],[ID Libro]],Inventario_Libros!A:E,5,0),"Libro No Existe")</f>
        <v>1934</v>
      </c>
      <c r="M512" t="str">
        <f>_xlfn.XLOOKUP(D:D,Inventario_Libros!A:A,Inventario_Libros!G:G,"No Existe",0)</f>
        <v>Est-1</v>
      </c>
      <c r="N512" t="str">
        <f>IFERROR(VLOOKUP(Prestamos[[#This Row],[ID Libro]],Inventario_Libros!A:H,8,0),"Libro No Existe")</f>
        <v>Retirado</v>
      </c>
    </row>
    <row r="513" spans="1:14" x14ac:dyDescent="0.3">
      <c r="A513" s="5" t="s">
        <v>1040</v>
      </c>
      <c r="B513" s="1">
        <v>45914</v>
      </c>
      <c r="C513" s="1">
        <v>45947</v>
      </c>
      <c r="D513" s="4" t="s">
        <v>450</v>
      </c>
      <c r="E513" s="2" t="s">
        <v>262</v>
      </c>
      <c r="F513" s="2" t="s">
        <v>258</v>
      </c>
      <c r="G513" s="2" t="s">
        <v>279</v>
      </c>
      <c r="H513" s="3" t="s">
        <v>289</v>
      </c>
      <c r="I513" t="str">
        <f>IFERROR(VLOOKUP(Prestamos[[#This Row],[ID Libro]],Inventario_Libros!A:B,2,0),"Libro No Existe")</f>
        <v>El Código Da Vinci</v>
      </c>
      <c r="J513" t="str">
        <f>IFERROR(VLOOKUP(Prestamos[[#This Row],[ID Libro]],Inventario_Libros!A:C,3,0),"Libro No Existe")</f>
        <v>Dan Brown</v>
      </c>
      <c r="K513" t="str">
        <f>IFERROR(VLOOKUP(Prestamos[[#This Row],[ID Libro]],Inventario_Libros!A:D,4,0),"Libro No Existe")</f>
        <v>Misterio</v>
      </c>
      <c r="L513">
        <f>IFERROR(VLOOKUP(Prestamos[[#This Row],[ID Libro]],Inventario_Libros!A:E,5,0),"Libro No Existe")</f>
        <v>2008</v>
      </c>
      <c r="M513" t="str">
        <f>_xlfn.XLOOKUP(D:D,Inventario_Libros!A:A,Inventario_Libros!G:G,"No Existe",0)</f>
        <v>C-3</v>
      </c>
      <c r="N513" t="str">
        <f>IFERROR(VLOOKUP(Prestamos[[#This Row],[ID Libro]],Inventario_Libros!A:H,8,0),"Libro No Existe")</f>
        <v>Retirado</v>
      </c>
    </row>
    <row r="514" spans="1:14" x14ac:dyDescent="0.3">
      <c r="A514" s="5" t="s">
        <v>1041</v>
      </c>
      <c r="B514" s="1">
        <v>45952</v>
      </c>
      <c r="C514" s="1">
        <v>45977</v>
      </c>
      <c r="D514" s="4" t="s">
        <v>334</v>
      </c>
      <c r="E514" s="2" t="s">
        <v>256</v>
      </c>
      <c r="F514" s="2" t="s">
        <v>258</v>
      </c>
      <c r="G514" s="2" t="s">
        <v>257</v>
      </c>
      <c r="H514" s="3">
        <v>10</v>
      </c>
      <c r="I514" t="str">
        <f>IFERROR(VLOOKUP(Prestamos[[#This Row],[ID Libro]],Inventario_Libros!A:B,2,0),"Libro No Existe")</f>
        <v>Rayuela</v>
      </c>
      <c r="J514" t="str">
        <f>IFERROR(VLOOKUP(Prestamos[[#This Row],[ID Libro]],Inventario_Libros!A:C,3,0),"Libro No Existe")</f>
        <v>Julio Cortázar</v>
      </c>
      <c r="K514" t="str">
        <f>IFERROR(VLOOKUP(Prestamos[[#This Row],[ID Libro]],Inventario_Libros!A:D,4,0),"Libro No Existe")</f>
        <v>Novela</v>
      </c>
      <c r="L514">
        <f>IFERROR(VLOOKUP(Prestamos[[#This Row],[ID Libro]],Inventario_Libros!A:E,5,0),"Libro No Existe")</f>
        <v>2018</v>
      </c>
      <c r="M514" t="str">
        <f>_xlfn.XLOOKUP(D:D,Inventario_Libros!A:A,Inventario_Libros!G:G,"No Existe",0)</f>
        <v>B-2</v>
      </c>
      <c r="N514" t="str">
        <f>IFERROR(VLOOKUP(Prestamos[[#This Row],[ID Libro]],Inventario_Libros!A:H,8,0),"Libro No Existe")</f>
        <v>Retirado</v>
      </c>
    </row>
    <row r="515" spans="1:14" x14ac:dyDescent="0.3">
      <c r="A515" s="5" t="s">
        <v>1042</v>
      </c>
      <c r="B515" s="1">
        <v>45743</v>
      </c>
      <c r="C515" s="1">
        <v>45776</v>
      </c>
      <c r="D515" s="4" t="s">
        <v>429</v>
      </c>
      <c r="E515" s="2" t="s">
        <v>260</v>
      </c>
      <c r="F515" s="2" t="s">
        <v>275</v>
      </c>
      <c r="G515" s="2" t="s">
        <v>279</v>
      </c>
      <c r="H515" s="3" t="s">
        <v>289</v>
      </c>
      <c r="I515" t="str">
        <f>IFERROR(VLOOKUP(Prestamos[[#This Row],[ID Libro]],Inventario_Libros!A:B,2,0),"Libro No Existe")</f>
        <v>Pedro Páramo</v>
      </c>
      <c r="J515" t="str">
        <f>IFERROR(VLOOKUP(Prestamos[[#This Row],[ID Libro]],Inventario_Libros!A:C,3,0),"Libro No Existe")</f>
        <v>Juan Rulfo</v>
      </c>
      <c r="K515" t="str">
        <f>IFERROR(VLOOKUP(Prestamos[[#This Row],[ID Libro]],Inventario_Libros!A:D,4,0),"Libro No Existe")</f>
        <v>Novela</v>
      </c>
      <c r="L515">
        <f>IFERROR(VLOOKUP(Prestamos[[#This Row],[ID Libro]],Inventario_Libros!A:E,5,0),"Libro No Existe")</f>
        <v>1924</v>
      </c>
      <c r="M515" t="str">
        <f>_xlfn.XLOOKUP(D:D,Inventario_Libros!A:A,Inventario_Libros!G:G,"No Existe",0)</f>
        <v>Est-1</v>
      </c>
      <c r="N515" t="str">
        <f>IFERROR(VLOOKUP(Prestamos[[#This Row],[ID Libro]],Inventario_Libros!A:H,8,0),"Libro No Existe")</f>
        <v>Retirado</v>
      </c>
    </row>
    <row r="516" spans="1:14" x14ac:dyDescent="0.3">
      <c r="A516" s="5" t="s">
        <v>1043</v>
      </c>
      <c r="B516" s="1">
        <v>45931</v>
      </c>
      <c r="C516" s="1">
        <v>45948</v>
      </c>
      <c r="D516" s="4" t="s">
        <v>410</v>
      </c>
      <c r="E516" s="2" t="s">
        <v>261</v>
      </c>
      <c r="F516" s="2" t="s">
        <v>263</v>
      </c>
      <c r="G516" s="2" t="s">
        <v>257</v>
      </c>
      <c r="H516" s="3">
        <v>2</v>
      </c>
      <c r="I516" t="str">
        <f>IFERROR(VLOOKUP(Prestamos[[#This Row],[ID Libro]],Inventario_Libros!A:B,2,0),"Libro No Existe")</f>
        <v>Rayuela</v>
      </c>
      <c r="J516" t="str">
        <f>IFERROR(VLOOKUP(Prestamos[[#This Row],[ID Libro]],Inventario_Libros!A:C,3,0),"Libro No Existe")</f>
        <v>Julio Cortázar</v>
      </c>
      <c r="K516" t="str">
        <f>IFERROR(VLOOKUP(Prestamos[[#This Row],[ID Libro]],Inventario_Libros!A:D,4,0),"Libro No Existe")</f>
        <v>Novela</v>
      </c>
      <c r="L516">
        <f>IFERROR(VLOOKUP(Prestamos[[#This Row],[ID Libro]],Inventario_Libros!A:E,5,0),"Libro No Existe")</f>
        <v>1986</v>
      </c>
      <c r="M516" t="str">
        <f>_xlfn.XLOOKUP(D:D,Inventario_Libros!A:A,Inventario_Libros!G:G,"No Existe",0)</f>
        <v>Est-1</v>
      </c>
      <c r="N516" t="str">
        <f>IFERROR(VLOOKUP(Prestamos[[#This Row],[ID Libro]],Inventario_Libros!A:H,8,0),"Libro No Existe")</f>
        <v>Retirado</v>
      </c>
    </row>
    <row r="517" spans="1:14" x14ac:dyDescent="0.3">
      <c r="A517" s="5" t="s">
        <v>1044</v>
      </c>
      <c r="B517" s="1">
        <v>45697</v>
      </c>
      <c r="C517" s="1">
        <v>45730</v>
      </c>
      <c r="D517" s="4" t="s">
        <v>332</v>
      </c>
      <c r="E517" s="2" t="s">
        <v>256</v>
      </c>
      <c r="F517" s="2" t="s">
        <v>275</v>
      </c>
      <c r="G517" s="2" t="s">
        <v>253</v>
      </c>
      <c r="H517" s="3">
        <v>18</v>
      </c>
      <c r="I517" t="str">
        <f>IFERROR(VLOOKUP(Prestamos[[#This Row],[ID Libro]],Inventario_Libros!A:B,2,0),"Libro No Existe")</f>
        <v>La Casa De Los Espíritus</v>
      </c>
      <c r="J517" t="str">
        <f>IFERROR(VLOOKUP(Prestamos[[#This Row],[ID Libro]],Inventario_Libros!A:C,3,0),"Libro No Existe")</f>
        <v>Isabel Allende</v>
      </c>
      <c r="K517" t="str">
        <f>IFERROR(VLOOKUP(Prestamos[[#This Row],[ID Libro]],Inventario_Libros!A:D,4,0),"Libro No Existe")</f>
        <v>Novela</v>
      </c>
      <c r="L517">
        <f>IFERROR(VLOOKUP(Prestamos[[#This Row],[ID Libro]],Inventario_Libros!A:E,5,0),"Libro No Existe")</f>
        <v>2023</v>
      </c>
      <c r="M517" t="str">
        <f>_xlfn.XLOOKUP(D:D,Inventario_Libros!A:A,Inventario_Libros!G:G,"No Existe",0)</f>
        <v>B-2</v>
      </c>
      <c r="N517" t="str">
        <f>IFERROR(VLOOKUP(Prestamos[[#This Row],[ID Libro]],Inventario_Libros!A:H,8,0),"Libro No Existe")</f>
        <v>Retirado</v>
      </c>
    </row>
    <row r="518" spans="1:14" x14ac:dyDescent="0.3">
      <c r="A518" s="5" t="s">
        <v>1045</v>
      </c>
      <c r="B518" s="1">
        <v>45866</v>
      </c>
      <c r="C518" s="1">
        <v>45899</v>
      </c>
      <c r="D518" s="4" t="s">
        <v>332</v>
      </c>
      <c r="E518" s="2" t="s">
        <v>272</v>
      </c>
      <c r="F518" s="2" t="s">
        <v>252</v>
      </c>
      <c r="G518" s="2" t="s">
        <v>253</v>
      </c>
      <c r="H518" s="3">
        <v>18</v>
      </c>
      <c r="I518" t="str">
        <f>IFERROR(VLOOKUP(Prestamos[[#This Row],[ID Libro]],Inventario_Libros!A:B,2,0),"Libro No Existe")</f>
        <v>La Casa De Los Espíritus</v>
      </c>
      <c r="J518" t="str">
        <f>IFERROR(VLOOKUP(Prestamos[[#This Row],[ID Libro]],Inventario_Libros!A:C,3,0),"Libro No Existe")</f>
        <v>Isabel Allende</v>
      </c>
      <c r="K518" t="str">
        <f>IFERROR(VLOOKUP(Prestamos[[#This Row],[ID Libro]],Inventario_Libros!A:D,4,0),"Libro No Existe")</f>
        <v>Novela</v>
      </c>
      <c r="L518">
        <f>IFERROR(VLOOKUP(Prestamos[[#This Row],[ID Libro]],Inventario_Libros!A:E,5,0),"Libro No Existe")</f>
        <v>2023</v>
      </c>
      <c r="M518" t="str">
        <f>_xlfn.XLOOKUP(D:D,Inventario_Libros!A:A,Inventario_Libros!G:G,"No Existe",0)</f>
        <v>B-2</v>
      </c>
      <c r="N518" t="str">
        <f>IFERROR(VLOOKUP(Prestamos[[#This Row],[ID Libro]],Inventario_Libros!A:H,8,0),"Libro No Existe")</f>
        <v>Retirado</v>
      </c>
    </row>
    <row r="519" spans="1:14" x14ac:dyDescent="0.3">
      <c r="A519" s="5" t="s">
        <v>1046</v>
      </c>
      <c r="B519" s="1">
        <v>45663</v>
      </c>
      <c r="C519" s="1">
        <v>45683</v>
      </c>
      <c r="D519" s="4" t="s">
        <v>395</v>
      </c>
      <c r="E519" s="2" t="s">
        <v>274</v>
      </c>
      <c r="F519" s="2" t="s">
        <v>275</v>
      </c>
      <c r="G519" s="2" t="s">
        <v>257</v>
      </c>
      <c r="H519" s="3">
        <v>5</v>
      </c>
      <c r="I519" t="str">
        <f>IFERROR(VLOOKUP(Prestamos[[#This Row],[ID Libro]],Inventario_Libros!A:B,2,0),"Libro No Existe")</f>
        <v>Orgullo Y Prejuicio</v>
      </c>
      <c r="J519" t="str">
        <f>IFERROR(VLOOKUP(Prestamos[[#This Row],[ID Libro]],Inventario_Libros!A:C,3,0),"Libro No Existe")</f>
        <v>Jane Austen</v>
      </c>
      <c r="K519" t="str">
        <f>IFERROR(VLOOKUP(Prestamos[[#This Row],[ID Libro]],Inventario_Libros!A:D,4,0),"Libro No Existe")</f>
        <v>Novela</v>
      </c>
      <c r="L519">
        <f>IFERROR(VLOOKUP(Prestamos[[#This Row],[ID Libro]],Inventario_Libros!A:E,5,0),"Libro No Existe")</f>
        <v>2019</v>
      </c>
      <c r="M519" t="str">
        <f>_xlfn.XLOOKUP(D:D,Inventario_Libros!A:A,Inventario_Libros!G:G,"No Existe",0)</f>
        <v>Est-1</v>
      </c>
      <c r="N519" t="str">
        <f>IFERROR(VLOOKUP(Prestamos[[#This Row],[ID Libro]],Inventario_Libros!A:H,8,0),"Libro No Existe")</f>
        <v>Retirado</v>
      </c>
    </row>
    <row r="520" spans="1:14" x14ac:dyDescent="0.3">
      <c r="A520" s="5" t="s">
        <v>1047</v>
      </c>
      <c r="B520" s="1">
        <v>45801</v>
      </c>
      <c r="C520" s="1">
        <v>45826</v>
      </c>
      <c r="D520" s="4" t="s">
        <v>435</v>
      </c>
      <c r="E520" s="2" t="s">
        <v>266</v>
      </c>
      <c r="F520" s="2" t="s">
        <v>263</v>
      </c>
      <c r="G520" s="2" t="s">
        <v>257</v>
      </c>
      <c r="H520" s="3">
        <v>10</v>
      </c>
      <c r="I520" t="str">
        <f>IFERROR(VLOOKUP(Prestamos[[#This Row],[ID Libro]],Inventario_Libros!A:B,2,0),"Libro No Existe")</f>
        <v>El Túnel</v>
      </c>
      <c r="J520" t="str">
        <f>IFERROR(VLOOKUP(Prestamos[[#This Row],[ID Libro]],Inventario_Libros!A:C,3,0),"Libro No Existe")</f>
        <v>Ernesto Sabato</v>
      </c>
      <c r="K520" t="str">
        <f>IFERROR(VLOOKUP(Prestamos[[#This Row],[ID Libro]],Inventario_Libros!A:D,4,0),"Libro No Existe")</f>
        <v>Novela</v>
      </c>
      <c r="L520">
        <f>IFERROR(VLOOKUP(Prestamos[[#This Row],[ID Libro]],Inventario_Libros!A:E,5,0),"Libro No Existe")</f>
        <v>1972</v>
      </c>
      <c r="M520" t="str">
        <f>_xlfn.XLOOKUP(D:D,Inventario_Libros!A:A,Inventario_Libros!G:G,"No Existe",0)</f>
        <v>Est-1</v>
      </c>
      <c r="N520" t="str">
        <f>IFERROR(VLOOKUP(Prestamos[[#This Row],[ID Libro]],Inventario_Libros!A:H,8,0),"Libro No Existe")</f>
        <v>Retirado</v>
      </c>
    </row>
    <row r="521" spans="1:14" x14ac:dyDescent="0.3">
      <c r="A521" s="5" t="s">
        <v>1048</v>
      </c>
      <c r="B521" s="1">
        <v>45832</v>
      </c>
      <c r="C521" s="1">
        <v>45866</v>
      </c>
      <c r="D521" s="4" t="s">
        <v>435</v>
      </c>
      <c r="E521" s="2" t="s">
        <v>277</v>
      </c>
      <c r="F521" s="2" t="s">
        <v>258</v>
      </c>
      <c r="G521" s="2" t="s">
        <v>253</v>
      </c>
      <c r="H521" s="3">
        <v>19</v>
      </c>
      <c r="I521" t="str">
        <f>IFERROR(VLOOKUP(Prestamos[[#This Row],[ID Libro]],Inventario_Libros!A:B,2,0),"Libro No Existe")</f>
        <v>El Túnel</v>
      </c>
      <c r="J521" t="str">
        <f>IFERROR(VLOOKUP(Prestamos[[#This Row],[ID Libro]],Inventario_Libros!A:C,3,0),"Libro No Existe")</f>
        <v>Ernesto Sabato</v>
      </c>
      <c r="K521" t="str">
        <f>IFERROR(VLOOKUP(Prestamos[[#This Row],[ID Libro]],Inventario_Libros!A:D,4,0),"Libro No Existe")</f>
        <v>Novela</v>
      </c>
      <c r="L521">
        <f>IFERROR(VLOOKUP(Prestamos[[#This Row],[ID Libro]],Inventario_Libros!A:E,5,0),"Libro No Existe")</f>
        <v>1972</v>
      </c>
      <c r="M521" t="str">
        <f>_xlfn.XLOOKUP(D:D,Inventario_Libros!A:A,Inventario_Libros!G:G,"No Existe",0)</f>
        <v>Est-1</v>
      </c>
      <c r="N521" t="str">
        <f>IFERROR(VLOOKUP(Prestamos[[#This Row],[ID Libro]],Inventario_Libros!A:H,8,0),"Libro No Existe")</f>
        <v>Retirado</v>
      </c>
    </row>
    <row r="522" spans="1:14" x14ac:dyDescent="0.3">
      <c r="A522" s="5" t="s">
        <v>1049</v>
      </c>
      <c r="B522" s="1">
        <v>45676</v>
      </c>
      <c r="C522" s="1">
        <v>45710</v>
      </c>
      <c r="D522" s="4" t="s">
        <v>405</v>
      </c>
      <c r="E522" s="2" t="s">
        <v>273</v>
      </c>
      <c r="F522" s="2" t="s">
        <v>275</v>
      </c>
      <c r="G522" s="2" t="s">
        <v>279</v>
      </c>
      <c r="H522" s="3" t="s">
        <v>289</v>
      </c>
      <c r="I522" t="str">
        <f>IFERROR(VLOOKUP(Prestamos[[#This Row],[ID Libro]],Inventario_Libros!A:B,2,0),"Libro No Existe")</f>
        <v>El Aleph</v>
      </c>
      <c r="J522" t="str">
        <f>IFERROR(VLOOKUP(Prestamos[[#This Row],[ID Libro]],Inventario_Libros!A:C,3,0),"Libro No Existe")</f>
        <v>Jorge Luis Borges</v>
      </c>
      <c r="K522" t="str">
        <f>IFERROR(VLOOKUP(Prestamos[[#This Row],[ID Libro]],Inventario_Libros!A:D,4,0),"Libro No Existe")</f>
        <v>Cuentos / Fantasía Metafísica</v>
      </c>
      <c r="L522">
        <f>IFERROR(VLOOKUP(Prestamos[[#This Row],[ID Libro]],Inventario_Libros!A:E,5,0),"Libro No Existe")</f>
        <v>1994</v>
      </c>
      <c r="M522" t="str">
        <f>_xlfn.XLOOKUP(D:D,Inventario_Libros!A:A,Inventario_Libros!G:G,"No Existe",0)</f>
        <v>Est-1</v>
      </c>
      <c r="N522" t="str">
        <f>IFERROR(VLOOKUP(Prestamos[[#This Row],[ID Libro]],Inventario_Libros!A:H,8,0),"Libro No Existe")</f>
        <v>Retirado</v>
      </c>
    </row>
    <row r="523" spans="1:14" x14ac:dyDescent="0.3">
      <c r="A523" s="5" t="s">
        <v>1050</v>
      </c>
      <c r="B523" s="1">
        <v>45884</v>
      </c>
      <c r="C523" s="1">
        <v>45918</v>
      </c>
      <c r="D523" s="4" t="s">
        <v>361</v>
      </c>
      <c r="E523" s="2" t="s">
        <v>277</v>
      </c>
      <c r="F523" s="2" t="s">
        <v>263</v>
      </c>
      <c r="G523" s="2" t="s">
        <v>253</v>
      </c>
      <c r="H523" s="3">
        <v>19</v>
      </c>
      <c r="I523" t="str">
        <f>IFERROR(VLOOKUP(Prestamos[[#This Row],[ID Libro]],Inventario_Libros!A:B,2,0),"Libro No Existe")</f>
        <v>Macbeth</v>
      </c>
      <c r="J523" t="str">
        <f>IFERROR(VLOOKUP(Prestamos[[#This Row],[ID Libro]],Inventario_Libros!A:C,3,0),"Libro No Existe")</f>
        <v>William Shakespeare</v>
      </c>
      <c r="K523" t="str">
        <f>IFERROR(VLOOKUP(Prestamos[[#This Row],[ID Libro]],Inventario_Libros!A:D,4,0),"Libro No Existe")</f>
        <v>Clásicos</v>
      </c>
      <c r="L523">
        <f>IFERROR(VLOOKUP(Prestamos[[#This Row],[ID Libro]],Inventario_Libros!A:E,5,0),"Libro No Existe")</f>
        <v>1883</v>
      </c>
      <c r="M523" t="str">
        <f>_xlfn.XLOOKUP(D:D,Inventario_Libros!A:A,Inventario_Libros!G:G,"No Existe",0)</f>
        <v>Est-1</v>
      </c>
      <c r="N523" t="str">
        <f>IFERROR(VLOOKUP(Prestamos[[#This Row],[ID Libro]],Inventario_Libros!A:H,8,0),"Libro No Existe")</f>
        <v>Activo</v>
      </c>
    </row>
    <row r="524" spans="1:14" x14ac:dyDescent="0.3">
      <c r="A524" s="5" t="s">
        <v>1051</v>
      </c>
      <c r="B524" s="1">
        <v>45942</v>
      </c>
      <c r="C524" s="1">
        <v>45976</v>
      </c>
      <c r="D524" s="4" t="s">
        <v>399</v>
      </c>
      <c r="E524" s="2" t="s">
        <v>256</v>
      </c>
      <c r="F524" s="2" t="s">
        <v>275</v>
      </c>
      <c r="G524" s="2" t="s">
        <v>253</v>
      </c>
      <c r="H524" s="3">
        <v>19</v>
      </c>
      <c r="I524" t="str">
        <f>IFERROR(VLOOKUP(Prestamos[[#This Row],[ID Libro]],Inventario_Libros!A:B,2,0),"Libro No Existe")</f>
        <v>El Túnel</v>
      </c>
      <c r="J524" t="str">
        <f>IFERROR(VLOOKUP(Prestamos[[#This Row],[ID Libro]],Inventario_Libros!A:C,3,0),"Libro No Existe")</f>
        <v>Ernesto Sabato</v>
      </c>
      <c r="K524" t="str">
        <f>IFERROR(VLOOKUP(Prestamos[[#This Row],[ID Libro]],Inventario_Libros!A:D,4,0),"Libro No Existe")</f>
        <v>Novela</v>
      </c>
      <c r="L524">
        <f>IFERROR(VLOOKUP(Prestamos[[#This Row],[ID Libro]],Inventario_Libros!A:E,5,0),"Libro No Existe")</f>
        <v>1957</v>
      </c>
      <c r="M524" t="str">
        <f>_xlfn.XLOOKUP(D:D,Inventario_Libros!A:A,Inventario_Libros!G:G,"No Existe",0)</f>
        <v>Est-1</v>
      </c>
      <c r="N524" t="str">
        <f>IFERROR(VLOOKUP(Prestamos[[#This Row],[ID Libro]],Inventario_Libros!A:H,8,0),"Libro No Existe")</f>
        <v>Activo</v>
      </c>
    </row>
    <row r="525" spans="1:14" x14ac:dyDescent="0.3">
      <c r="A525" s="5" t="s">
        <v>1052</v>
      </c>
      <c r="B525" s="1">
        <v>45887</v>
      </c>
      <c r="C525" s="1">
        <v>45921</v>
      </c>
      <c r="D525" s="4" t="s">
        <v>355</v>
      </c>
      <c r="E525" s="2" t="s">
        <v>272</v>
      </c>
      <c r="F525" s="2" t="s">
        <v>263</v>
      </c>
      <c r="G525" s="2" t="s">
        <v>253</v>
      </c>
      <c r="H525" s="3">
        <v>19</v>
      </c>
      <c r="I525" t="str">
        <f>IFERROR(VLOOKUP(Prestamos[[#This Row],[ID Libro]],Inventario_Libros!A:B,2,0),"Libro No Existe")</f>
        <v>La Iliada</v>
      </c>
      <c r="J525" t="str">
        <f>IFERROR(VLOOKUP(Prestamos[[#This Row],[ID Libro]],Inventario_Libros!A:C,3,0),"Libro No Existe")</f>
        <v>Homero</v>
      </c>
      <c r="K525" t="str">
        <f>IFERROR(VLOOKUP(Prestamos[[#This Row],[ID Libro]],Inventario_Libros!A:D,4,0),"Libro No Existe")</f>
        <v>Clásicos</v>
      </c>
      <c r="L525">
        <f>IFERROR(VLOOKUP(Prestamos[[#This Row],[ID Libro]],Inventario_Libros!A:E,5,0),"Libro No Existe")</f>
        <v>2021</v>
      </c>
      <c r="M525" t="str">
        <f>_xlfn.XLOOKUP(D:D,Inventario_Libros!A:A,Inventario_Libros!G:G,"No Existe",0)</f>
        <v>Est-1</v>
      </c>
      <c r="N525" t="str">
        <f>IFERROR(VLOOKUP(Prestamos[[#This Row],[ID Libro]],Inventario_Libros!A:H,8,0),"Libro No Existe")</f>
        <v>Activo</v>
      </c>
    </row>
    <row r="526" spans="1:14" x14ac:dyDescent="0.3">
      <c r="A526" s="5" t="s">
        <v>1053</v>
      </c>
      <c r="B526" s="1">
        <v>45940</v>
      </c>
      <c r="C526" s="1">
        <v>45975</v>
      </c>
      <c r="D526" s="4" t="s">
        <v>382</v>
      </c>
      <c r="E526" s="2" t="s">
        <v>272</v>
      </c>
      <c r="F526" s="2" t="s">
        <v>263</v>
      </c>
      <c r="G526" s="2" t="s">
        <v>279</v>
      </c>
      <c r="H526" s="3" t="s">
        <v>289</v>
      </c>
      <c r="I526" t="str">
        <f>IFERROR(VLOOKUP(Prestamos[[#This Row],[ID Libro]],Inventario_Libros!A:B,2,0),"Libro No Existe")</f>
        <v>Crónica De Una Muerte Anunciada</v>
      </c>
      <c r="J526" t="str">
        <f>IFERROR(VLOOKUP(Prestamos[[#This Row],[ID Libro]],Inventario_Libros!A:C,3,0),"Libro No Existe")</f>
        <v>Gabriel García Márquez</v>
      </c>
      <c r="K526" t="str">
        <f>IFERROR(VLOOKUP(Prestamos[[#This Row],[ID Libro]],Inventario_Libros!A:D,4,0),"Libro No Existe")</f>
        <v>Novela</v>
      </c>
      <c r="L526">
        <f>IFERROR(VLOOKUP(Prestamos[[#This Row],[ID Libro]],Inventario_Libros!A:E,5,0),"Libro No Existe")</f>
        <v>1987</v>
      </c>
      <c r="M526" t="str">
        <f>_xlfn.XLOOKUP(D:D,Inventario_Libros!A:A,Inventario_Libros!G:G,"No Existe",0)</f>
        <v>A-1</v>
      </c>
      <c r="N526" t="str">
        <f>IFERROR(VLOOKUP(Prestamos[[#This Row],[ID Libro]],Inventario_Libros!A:H,8,0),"Libro No Existe")</f>
        <v>Activo</v>
      </c>
    </row>
    <row r="527" spans="1:14" x14ac:dyDescent="0.3">
      <c r="A527" s="5" t="s">
        <v>1054</v>
      </c>
      <c r="B527" s="1">
        <v>45828</v>
      </c>
      <c r="C527" s="1">
        <v>45848</v>
      </c>
      <c r="D527" s="4" t="s">
        <v>357</v>
      </c>
      <c r="E527" s="2" t="s">
        <v>260</v>
      </c>
      <c r="F527" s="2" t="s">
        <v>255</v>
      </c>
      <c r="G527" s="2" t="s">
        <v>257</v>
      </c>
      <c r="H527" s="3">
        <v>5</v>
      </c>
      <c r="I527" t="str">
        <f>IFERROR(VLOOKUP(Prestamos[[#This Row],[ID Libro]],Inventario_Libros!A:B,2,0),"Libro No Existe")</f>
        <v>Matadero Cinco</v>
      </c>
      <c r="J527" t="str">
        <f>IFERROR(VLOOKUP(Prestamos[[#This Row],[ID Libro]],Inventario_Libros!A:C,3,0),"Libro No Existe")</f>
        <v>Kurt Vonnegut</v>
      </c>
      <c r="K527" t="str">
        <f>IFERROR(VLOOKUP(Prestamos[[#This Row],[ID Libro]],Inventario_Libros!A:D,4,0),"Libro No Existe")</f>
        <v>Ciencia Ficción</v>
      </c>
      <c r="L527">
        <f>IFERROR(VLOOKUP(Prestamos[[#This Row],[ID Libro]],Inventario_Libros!A:E,5,0),"Libro No Existe")</f>
        <v>1993</v>
      </c>
      <c r="M527" t="str">
        <f>_xlfn.XLOOKUP(D:D,Inventario_Libros!A:A,Inventario_Libros!G:G,"No Existe",0)</f>
        <v>B-2</v>
      </c>
      <c r="N527" t="str">
        <f>IFERROR(VLOOKUP(Prestamos[[#This Row],[ID Libro]],Inventario_Libros!A:H,8,0),"Libro No Existe")</f>
        <v>Activo</v>
      </c>
    </row>
    <row r="528" spans="1:14" x14ac:dyDescent="0.3">
      <c r="A528" s="5" t="s">
        <v>1055</v>
      </c>
      <c r="B528" s="1">
        <v>45669</v>
      </c>
      <c r="C528" s="1">
        <v>45704</v>
      </c>
      <c r="D528" s="4" t="s">
        <v>406</v>
      </c>
      <c r="E528" s="2" t="s">
        <v>260</v>
      </c>
      <c r="F528" s="2" t="s">
        <v>263</v>
      </c>
      <c r="G528" s="2" t="s">
        <v>279</v>
      </c>
      <c r="H528" s="3" t="s">
        <v>289</v>
      </c>
      <c r="I528" t="str">
        <f>IFERROR(VLOOKUP(Prestamos[[#This Row],[ID Libro]],Inventario_Libros!A:B,2,0),"Libro No Existe")</f>
        <v>Matar A Un Ruiseñor</v>
      </c>
      <c r="J528" t="str">
        <f>IFERROR(VLOOKUP(Prestamos[[#This Row],[ID Libro]],Inventario_Libros!A:C,3,0),"Libro No Existe")</f>
        <v>Harper Lee</v>
      </c>
      <c r="K528" t="str">
        <f>IFERROR(VLOOKUP(Prestamos[[#This Row],[ID Libro]],Inventario_Libros!A:D,4,0),"Libro No Existe")</f>
        <v>Novela</v>
      </c>
      <c r="L528">
        <f>IFERROR(VLOOKUP(Prestamos[[#This Row],[ID Libro]],Inventario_Libros!A:E,5,0),"Libro No Existe")</f>
        <v>1887</v>
      </c>
      <c r="M528" t="str">
        <f>_xlfn.XLOOKUP(D:D,Inventario_Libros!A:A,Inventario_Libros!G:G,"No Existe",0)</f>
        <v>B-2</v>
      </c>
      <c r="N528" t="str">
        <f>IFERROR(VLOOKUP(Prestamos[[#This Row],[ID Libro]],Inventario_Libros!A:H,8,0),"Libro No Existe")</f>
        <v>Activo</v>
      </c>
    </row>
    <row r="529" spans="1:14" x14ac:dyDescent="0.3">
      <c r="A529" s="5" t="s">
        <v>1056</v>
      </c>
      <c r="B529" s="1">
        <v>45787</v>
      </c>
      <c r="C529" s="1">
        <v>45807</v>
      </c>
      <c r="D529" s="4" t="s">
        <v>398</v>
      </c>
      <c r="E529" s="2" t="s">
        <v>251</v>
      </c>
      <c r="F529" s="2" t="s">
        <v>275</v>
      </c>
      <c r="G529" s="2" t="s">
        <v>257</v>
      </c>
      <c r="H529" s="3">
        <v>5</v>
      </c>
      <c r="I529" t="str">
        <f>IFERROR(VLOOKUP(Prestamos[[#This Row],[ID Libro]],Inventario_Libros!A:B,2,0),"Libro No Existe")</f>
        <v>Don Quijote De La Mancha</v>
      </c>
      <c r="J529" t="str">
        <f>IFERROR(VLOOKUP(Prestamos[[#This Row],[ID Libro]],Inventario_Libros!A:C,3,0),"Libro No Existe")</f>
        <v>Miguel De Cervantes</v>
      </c>
      <c r="K529" t="str">
        <f>IFERROR(VLOOKUP(Prestamos[[#This Row],[ID Libro]],Inventario_Libros!A:D,4,0),"Libro No Existe")</f>
        <v>Novela</v>
      </c>
      <c r="L529">
        <f>IFERROR(VLOOKUP(Prestamos[[#This Row],[ID Libro]],Inventario_Libros!A:E,5,0),"Libro No Existe")</f>
        <v>1926</v>
      </c>
      <c r="M529" t="str">
        <f>_xlfn.XLOOKUP(D:D,Inventario_Libros!A:A,Inventario_Libros!G:G,"No Existe",0)</f>
        <v>Est-1</v>
      </c>
      <c r="N529" t="str">
        <f>IFERROR(VLOOKUP(Prestamos[[#This Row],[ID Libro]],Inventario_Libros!A:H,8,0),"Libro No Existe")</f>
        <v>Activo</v>
      </c>
    </row>
    <row r="530" spans="1:14" x14ac:dyDescent="0.3">
      <c r="A530" s="5" t="s">
        <v>1057</v>
      </c>
      <c r="B530" s="1">
        <v>45807</v>
      </c>
      <c r="C530" s="1">
        <v>45843</v>
      </c>
      <c r="D530" s="4" t="s">
        <v>359</v>
      </c>
      <c r="E530" s="2" t="s">
        <v>256</v>
      </c>
      <c r="F530" s="2" t="s">
        <v>258</v>
      </c>
      <c r="G530" s="2" t="s">
        <v>279</v>
      </c>
      <c r="H530" s="3" t="s">
        <v>289</v>
      </c>
      <c r="I530" t="str">
        <f>IFERROR(VLOOKUP(Prestamos[[#This Row],[ID Libro]],Inventario_Libros!A:B,2,0),"Libro No Existe")</f>
        <v>Pedro Páramo</v>
      </c>
      <c r="J530" t="str">
        <f>IFERROR(VLOOKUP(Prestamos[[#This Row],[ID Libro]],Inventario_Libros!A:C,3,0),"Libro No Existe")</f>
        <v>Juan Rulfo</v>
      </c>
      <c r="K530" t="str">
        <f>IFERROR(VLOOKUP(Prestamos[[#This Row],[ID Libro]],Inventario_Libros!A:D,4,0),"Libro No Existe")</f>
        <v>Novela</v>
      </c>
      <c r="L530">
        <f>IFERROR(VLOOKUP(Prestamos[[#This Row],[ID Libro]],Inventario_Libros!A:E,5,0),"Libro No Existe")</f>
        <v>1920</v>
      </c>
      <c r="M530" t="str">
        <f>_xlfn.XLOOKUP(D:D,Inventario_Libros!A:A,Inventario_Libros!G:G,"No Existe",0)</f>
        <v>No Asignado</v>
      </c>
      <c r="N530" t="str">
        <f>IFERROR(VLOOKUP(Prestamos[[#This Row],[ID Libro]],Inventario_Libros!A:H,8,0),"Libro No Existe")</f>
        <v>Retirado</v>
      </c>
    </row>
    <row r="531" spans="1:14" x14ac:dyDescent="0.3">
      <c r="A531" s="5" t="s">
        <v>1058</v>
      </c>
      <c r="B531" s="1">
        <v>45841</v>
      </c>
      <c r="C531" s="1">
        <v>45877</v>
      </c>
      <c r="D531" s="4" t="s">
        <v>355</v>
      </c>
      <c r="E531" s="2" t="s">
        <v>267</v>
      </c>
      <c r="F531" s="2" t="s">
        <v>275</v>
      </c>
      <c r="G531" s="2" t="s">
        <v>279</v>
      </c>
      <c r="H531" s="3" t="s">
        <v>289</v>
      </c>
      <c r="I531" t="str">
        <f>IFERROR(VLOOKUP(Prestamos[[#This Row],[ID Libro]],Inventario_Libros!A:B,2,0),"Libro No Existe")</f>
        <v>La Iliada</v>
      </c>
      <c r="J531" t="str">
        <f>IFERROR(VLOOKUP(Prestamos[[#This Row],[ID Libro]],Inventario_Libros!A:C,3,0),"Libro No Existe")</f>
        <v>Homero</v>
      </c>
      <c r="K531" t="str">
        <f>IFERROR(VLOOKUP(Prestamos[[#This Row],[ID Libro]],Inventario_Libros!A:D,4,0),"Libro No Existe")</f>
        <v>Clásicos</v>
      </c>
      <c r="L531">
        <f>IFERROR(VLOOKUP(Prestamos[[#This Row],[ID Libro]],Inventario_Libros!A:E,5,0),"Libro No Existe")</f>
        <v>2021</v>
      </c>
      <c r="M531" t="str">
        <f>_xlfn.XLOOKUP(D:D,Inventario_Libros!A:A,Inventario_Libros!G:G,"No Existe",0)</f>
        <v>Est-1</v>
      </c>
      <c r="N531" t="str">
        <f>IFERROR(VLOOKUP(Prestamos[[#This Row],[ID Libro]],Inventario_Libros!A:H,8,0),"Libro No Existe")</f>
        <v>Activo</v>
      </c>
    </row>
    <row r="532" spans="1:14" x14ac:dyDescent="0.3">
      <c r="A532" s="5" t="s">
        <v>1059</v>
      </c>
      <c r="B532" s="1">
        <v>45960</v>
      </c>
      <c r="C532" s="1">
        <v>45996</v>
      </c>
      <c r="D532" s="4" t="s">
        <v>437</v>
      </c>
      <c r="E532" s="2" t="s">
        <v>270</v>
      </c>
      <c r="F532" s="2" t="s">
        <v>258</v>
      </c>
      <c r="G532" s="2" t="s">
        <v>253</v>
      </c>
      <c r="H532" s="3">
        <v>21</v>
      </c>
      <c r="I532" t="str">
        <f>IFERROR(VLOOKUP(Prestamos[[#This Row],[ID Libro]],Inventario_Libros!A:B,2,0),"Libro No Existe")</f>
        <v>El Código Da Vinci</v>
      </c>
      <c r="J532" t="str">
        <f>IFERROR(VLOOKUP(Prestamos[[#This Row],[ID Libro]],Inventario_Libros!A:C,3,0),"Libro No Existe")</f>
        <v>Dan Brown</v>
      </c>
      <c r="K532" t="str">
        <f>IFERROR(VLOOKUP(Prestamos[[#This Row],[ID Libro]],Inventario_Libros!A:D,4,0),"Libro No Existe")</f>
        <v>Misterio</v>
      </c>
      <c r="L532">
        <f>IFERROR(VLOOKUP(Prestamos[[#This Row],[ID Libro]],Inventario_Libros!A:E,5,0),"Libro No Existe")</f>
        <v>1935</v>
      </c>
      <c r="M532" t="str">
        <f>_xlfn.XLOOKUP(D:D,Inventario_Libros!A:A,Inventario_Libros!G:G,"No Existe",0)</f>
        <v>B-2</v>
      </c>
      <c r="N532" t="str">
        <f>IFERROR(VLOOKUP(Prestamos[[#This Row],[ID Libro]],Inventario_Libros!A:H,8,0),"Libro No Existe")</f>
        <v>Retirado</v>
      </c>
    </row>
    <row r="533" spans="1:14" x14ac:dyDescent="0.3">
      <c r="A533" s="5" t="s">
        <v>1060</v>
      </c>
      <c r="B533" s="1">
        <v>45860</v>
      </c>
      <c r="C533" s="1">
        <v>45896</v>
      </c>
      <c r="D533" s="4" t="s">
        <v>365</v>
      </c>
      <c r="E533" s="2" t="s">
        <v>265</v>
      </c>
      <c r="F533" s="2" t="s">
        <v>263</v>
      </c>
      <c r="G533" s="2" t="s">
        <v>279</v>
      </c>
      <c r="H533" s="3" t="s">
        <v>289</v>
      </c>
      <c r="I533" t="str">
        <f>IFERROR(VLOOKUP(Prestamos[[#This Row],[ID Libro]],Inventario_Libros!A:B,2,0),"Libro No Existe")</f>
        <v>La Iliada</v>
      </c>
      <c r="J533" t="str">
        <f>IFERROR(VLOOKUP(Prestamos[[#This Row],[ID Libro]],Inventario_Libros!A:C,3,0),"Libro No Existe")</f>
        <v>Homero</v>
      </c>
      <c r="K533" t="str">
        <f>IFERROR(VLOOKUP(Prestamos[[#This Row],[ID Libro]],Inventario_Libros!A:D,4,0),"Libro No Existe")</f>
        <v>Clásicos</v>
      </c>
      <c r="L533">
        <f>IFERROR(VLOOKUP(Prestamos[[#This Row],[ID Libro]],Inventario_Libros!A:E,5,0),"Libro No Existe")</f>
        <v>1924</v>
      </c>
      <c r="M533" t="str">
        <f>_xlfn.XLOOKUP(D:D,Inventario_Libros!A:A,Inventario_Libros!G:G,"No Existe",0)</f>
        <v>Est-1</v>
      </c>
      <c r="N533" t="str">
        <f>IFERROR(VLOOKUP(Prestamos[[#This Row],[ID Libro]],Inventario_Libros!A:H,8,0),"Libro No Existe")</f>
        <v>Activo</v>
      </c>
    </row>
    <row r="534" spans="1:14" x14ac:dyDescent="0.3">
      <c r="A534" s="5" t="s">
        <v>1061</v>
      </c>
      <c r="B534" s="1">
        <v>45932</v>
      </c>
      <c r="C534" s="1">
        <v>45969</v>
      </c>
      <c r="D534" s="4" t="s">
        <v>402</v>
      </c>
      <c r="E534" s="2" t="s">
        <v>270</v>
      </c>
      <c r="F534" s="2" t="s">
        <v>263</v>
      </c>
      <c r="G534" s="2" t="s">
        <v>279</v>
      </c>
      <c r="H534" s="3" t="s">
        <v>289</v>
      </c>
      <c r="I534" t="str">
        <f>IFERROR(VLOOKUP(Prestamos[[#This Row],[ID Libro]],Inventario_Libros!A:B,2,0),"Libro No Existe")</f>
        <v>La Iliada</v>
      </c>
      <c r="J534" t="str">
        <f>IFERROR(VLOOKUP(Prestamos[[#This Row],[ID Libro]],Inventario_Libros!A:C,3,0),"Libro No Existe")</f>
        <v>Homero</v>
      </c>
      <c r="K534" t="str">
        <f>IFERROR(VLOOKUP(Prestamos[[#This Row],[ID Libro]],Inventario_Libros!A:D,4,0),"Libro No Existe")</f>
        <v>Clásicos</v>
      </c>
      <c r="L534">
        <f>IFERROR(VLOOKUP(Prestamos[[#This Row],[ID Libro]],Inventario_Libros!A:E,5,0),"Libro No Existe")</f>
        <v>1893</v>
      </c>
      <c r="M534" t="str">
        <f>_xlfn.XLOOKUP(D:D,Inventario_Libros!A:A,Inventario_Libros!G:G,"No Existe",0)</f>
        <v>Est-1</v>
      </c>
      <c r="N534" t="str">
        <f>IFERROR(VLOOKUP(Prestamos[[#This Row],[ID Libro]],Inventario_Libros!A:H,8,0),"Libro No Existe")</f>
        <v>Activo</v>
      </c>
    </row>
    <row r="535" spans="1:14" x14ac:dyDescent="0.3">
      <c r="A535" s="5" t="s">
        <v>1062</v>
      </c>
      <c r="B535" s="1">
        <v>45871</v>
      </c>
      <c r="C535" s="1">
        <v>45891</v>
      </c>
      <c r="D535" s="4" t="s">
        <v>331</v>
      </c>
      <c r="E535" s="2" t="s">
        <v>259</v>
      </c>
      <c r="F535" s="2" t="s">
        <v>258</v>
      </c>
      <c r="G535" s="2" t="s">
        <v>257</v>
      </c>
      <c r="H535" s="3">
        <v>5</v>
      </c>
      <c r="I535" t="str">
        <f>IFERROR(VLOOKUP(Prestamos[[#This Row],[ID Libro]],Inventario_Libros!A:B,2,0),"Libro No Existe")</f>
        <v>Rebelión En La Granja</v>
      </c>
      <c r="J535" t="str">
        <f>IFERROR(VLOOKUP(Prestamos[[#This Row],[ID Libro]],Inventario_Libros!A:C,3,0),"Libro No Existe")</f>
        <v>George Orwell</v>
      </c>
      <c r="K535" t="str">
        <f>IFERROR(VLOOKUP(Prestamos[[#This Row],[ID Libro]],Inventario_Libros!A:D,4,0),"Libro No Existe")</f>
        <v>Ciencia Ficción</v>
      </c>
      <c r="L535">
        <f>IFERROR(VLOOKUP(Prestamos[[#This Row],[ID Libro]],Inventario_Libros!A:E,5,0),"Libro No Existe")</f>
        <v>1986</v>
      </c>
      <c r="M535" t="str">
        <f>_xlfn.XLOOKUP(D:D,Inventario_Libros!A:A,Inventario_Libros!G:G,"No Existe",0)</f>
        <v>Est-1</v>
      </c>
      <c r="N535" t="str">
        <f>IFERROR(VLOOKUP(Prestamos[[#This Row],[ID Libro]],Inventario_Libros!A:H,8,0),"Libro No Existe")</f>
        <v>Retirado</v>
      </c>
    </row>
    <row r="536" spans="1:14" x14ac:dyDescent="0.3">
      <c r="A536" s="5" t="s">
        <v>1063</v>
      </c>
      <c r="B536" s="1">
        <v>45959</v>
      </c>
      <c r="C536" s="1">
        <v>45984</v>
      </c>
      <c r="D536" s="4" t="s">
        <v>448</v>
      </c>
      <c r="E536" s="2" t="s">
        <v>274</v>
      </c>
      <c r="F536" s="2" t="s">
        <v>275</v>
      </c>
      <c r="G536" s="2" t="s">
        <v>257</v>
      </c>
      <c r="H536" s="3">
        <v>10</v>
      </c>
      <c r="I536" t="str">
        <f>IFERROR(VLOOKUP(Prestamos[[#This Row],[ID Libro]],Inventario_Libros!A:B,2,0),"Libro No Existe")</f>
        <v>Ficciones</v>
      </c>
      <c r="J536" t="str">
        <f>IFERROR(VLOOKUP(Prestamos[[#This Row],[ID Libro]],Inventario_Libros!A:C,3,0),"Libro No Existe")</f>
        <v>Jorge Luis Borges</v>
      </c>
      <c r="K536" t="str">
        <f>IFERROR(VLOOKUP(Prestamos[[#This Row],[ID Libro]],Inventario_Libros!A:D,4,0),"Libro No Existe")</f>
        <v>Cuentos / Fantasía Metafísica</v>
      </c>
      <c r="L536">
        <f>IFERROR(VLOOKUP(Prestamos[[#This Row],[ID Libro]],Inventario_Libros!A:E,5,0),"Libro No Existe")</f>
        <v>1969</v>
      </c>
      <c r="M536" t="str">
        <f>_xlfn.XLOOKUP(D:D,Inventario_Libros!A:A,Inventario_Libros!G:G,"No Existe",0)</f>
        <v>No Asignado</v>
      </c>
      <c r="N536" t="str">
        <f>IFERROR(VLOOKUP(Prestamos[[#This Row],[ID Libro]],Inventario_Libros!A:H,8,0),"Libro No Existe")</f>
        <v>Activo</v>
      </c>
    </row>
    <row r="537" spans="1:14" x14ac:dyDescent="0.3">
      <c r="A537" s="5" t="s">
        <v>1064</v>
      </c>
      <c r="B537" s="1">
        <v>45963</v>
      </c>
      <c r="C537" s="1">
        <v>46000</v>
      </c>
      <c r="D537" s="4" t="s">
        <v>356</v>
      </c>
      <c r="E537" s="2" t="s">
        <v>266</v>
      </c>
      <c r="F537" s="2" t="s">
        <v>275</v>
      </c>
      <c r="G537" s="2" t="s">
        <v>253</v>
      </c>
      <c r="H537" s="3">
        <v>22</v>
      </c>
      <c r="I537" t="str">
        <f>IFERROR(VLOOKUP(Prestamos[[#This Row],[ID Libro]],Inventario_Libros!A:B,2,0),"Libro No Existe")</f>
        <v>Pedro Páramo</v>
      </c>
      <c r="J537" t="str">
        <f>IFERROR(VLOOKUP(Prestamos[[#This Row],[ID Libro]],Inventario_Libros!A:C,3,0),"Libro No Existe")</f>
        <v>Juan Rulfo</v>
      </c>
      <c r="K537" t="str">
        <f>IFERROR(VLOOKUP(Prestamos[[#This Row],[ID Libro]],Inventario_Libros!A:D,4,0),"Libro No Existe")</f>
        <v>Novela</v>
      </c>
      <c r="L537">
        <f>IFERROR(VLOOKUP(Prestamos[[#This Row],[ID Libro]],Inventario_Libros!A:E,5,0),"Libro No Existe")</f>
        <v>1934</v>
      </c>
      <c r="M537" t="str">
        <f>_xlfn.XLOOKUP(D:D,Inventario_Libros!A:A,Inventario_Libros!G:G,"No Existe",0)</f>
        <v>Est-1</v>
      </c>
      <c r="N537" t="str">
        <f>IFERROR(VLOOKUP(Prestamos[[#This Row],[ID Libro]],Inventario_Libros!A:H,8,0),"Libro No Existe")</f>
        <v>Retirado</v>
      </c>
    </row>
    <row r="538" spans="1:14" x14ac:dyDescent="0.3">
      <c r="A538" s="5" t="s">
        <v>1065</v>
      </c>
      <c r="B538" s="1">
        <v>45944</v>
      </c>
      <c r="C538" s="1">
        <v>45981</v>
      </c>
      <c r="D538" s="4" t="s">
        <v>518</v>
      </c>
      <c r="E538" s="2" t="s">
        <v>269</v>
      </c>
      <c r="F538" s="2" t="s">
        <v>258</v>
      </c>
      <c r="G538" s="2" t="s">
        <v>279</v>
      </c>
      <c r="H538" s="3" t="s">
        <v>289</v>
      </c>
      <c r="I538" t="str">
        <f>IFERROR(VLOOKUP(Prestamos[[#This Row],[ID Libro]],Inventario_Libros!A:B,2,0),"Libro No Existe")</f>
        <v>La Casa De Los Espíritus</v>
      </c>
      <c r="J538" t="str">
        <f>IFERROR(VLOOKUP(Prestamos[[#This Row],[ID Libro]],Inventario_Libros!A:C,3,0),"Libro No Existe")</f>
        <v>Isabel Allende</v>
      </c>
      <c r="K538" t="str">
        <f>IFERROR(VLOOKUP(Prestamos[[#This Row],[ID Libro]],Inventario_Libros!A:D,4,0),"Libro No Existe")</f>
        <v>Novela</v>
      </c>
      <c r="L538">
        <f>IFERROR(VLOOKUP(Prestamos[[#This Row],[ID Libro]],Inventario_Libros!A:E,5,0),"Libro No Existe")</f>
        <v>1889</v>
      </c>
      <c r="M538" t="str">
        <f>_xlfn.XLOOKUP(D:D,Inventario_Libros!A:A,Inventario_Libros!G:G,"No Existe",0)</f>
        <v>C-3</v>
      </c>
      <c r="N538" t="str">
        <f>IFERROR(VLOOKUP(Prestamos[[#This Row],[ID Libro]],Inventario_Libros!A:H,8,0),"Libro No Existe")</f>
        <v>Retirado</v>
      </c>
    </row>
    <row r="539" spans="1:14" x14ac:dyDescent="0.3">
      <c r="A539" s="5" t="s">
        <v>1066</v>
      </c>
      <c r="B539" s="1">
        <v>45886</v>
      </c>
      <c r="C539" s="1">
        <v>45923</v>
      </c>
      <c r="D539" s="4" t="s">
        <v>369</v>
      </c>
      <c r="E539" s="2" t="s">
        <v>254</v>
      </c>
      <c r="F539" s="2" t="s">
        <v>258</v>
      </c>
      <c r="G539" s="2" t="s">
        <v>253</v>
      </c>
      <c r="H539" s="3">
        <v>22</v>
      </c>
      <c r="I539" t="str">
        <f>IFERROR(VLOOKUP(Prestamos[[#This Row],[ID Libro]],Inventario_Libros!A:B,2,0),"Libro No Existe")</f>
        <v>El Código Da Vinci</v>
      </c>
      <c r="J539" t="str">
        <f>IFERROR(VLOOKUP(Prestamos[[#This Row],[ID Libro]],Inventario_Libros!A:C,3,0),"Libro No Existe")</f>
        <v>Dan Brown</v>
      </c>
      <c r="K539" t="str">
        <f>IFERROR(VLOOKUP(Prestamos[[#This Row],[ID Libro]],Inventario_Libros!A:D,4,0),"Libro No Existe")</f>
        <v>Misterio</v>
      </c>
      <c r="L539">
        <f>IFERROR(VLOOKUP(Prestamos[[#This Row],[ID Libro]],Inventario_Libros!A:E,5,0),"Libro No Existe")</f>
        <v>1944</v>
      </c>
      <c r="M539" t="str">
        <f>_xlfn.XLOOKUP(D:D,Inventario_Libros!A:A,Inventario_Libros!G:G,"No Existe",0)</f>
        <v>A-1</v>
      </c>
      <c r="N539" t="str">
        <f>IFERROR(VLOOKUP(Prestamos[[#This Row],[ID Libro]],Inventario_Libros!A:H,8,0),"Libro No Existe")</f>
        <v>Activo</v>
      </c>
    </row>
    <row r="540" spans="1:14" x14ac:dyDescent="0.3">
      <c r="A540" s="5" t="s">
        <v>1067</v>
      </c>
      <c r="B540" s="1">
        <v>45811</v>
      </c>
      <c r="C540" s="1">
        <v>45848</v>
      </c>
      <c r="D540" s="4" t="s">
        <v>389</v>
      </c>
      <c r="E540" s="2" t="s">
        <v>269</v>
      </c>
      <c r="F540" s="2" t="s">
        <v>275</v>
      </c>
      <c r="G540" s="2" t="s">
        <v>253</v>
      </c>
      <c r="H540" s="3">
        <v>22</v>
      </c>
      <c r="I540" t="str">
        <f>IFERROR(VLOOKUP(Prestamos[[#This Row],[ID Libro]],Inventario_Libros!A:B,2,0),"Libro No Existe")</f>
        <v>Crónica De Una Muerte Anunciada</v>
      </c>
      <c r="J540" t="str">
        <f>IFERROR(VLOOKUP(Prestamos[[#This Row],[ID Libro]],Inventario_Libros!A:C,3,0),"Libro No Existe")</f>
        <v>Gabriel García Márquez</v>
      </c>
      <c r="K540" t="str">
        <f>IFERROR(VLOOKUP(Prestamos[[#This Row],[ID Libro]],Inventario_Libros!A:D,4,0),"Libro No Existe")</f>
        <v>Novela</v>
      </c>
      <c r="L540">
        <f>IFERROR(VLOOKUP(Prestamos[[#This Row],[ID Libro]],Inventario_Libros!A:E,5,0),"Libro No Existe")</f>
        <v>1957</v>
      </c>
      <c r="M540" t="str">
        <f>_xlfn.XLOOKUP(D:D,Inventario_Libros!A:A,Inventario_Libros!G:G,"No Existe",0)</f>
        <v>Est-1</v>
      </c>
      <c r="N540" t="str">
        <f>IFERROR(VLOOKUP(Prestamos[[#This Row],[ID Libro]],Inventario_Libros!A:H,8,0),"Libro No Existe")</f>
        <v>Activo</v>
      </c>
    </row>
    <row r="541" spans="1:14" x14ac:dyDescent="0.3">
      <c r="A541" s="5" t="s">
        <v>1068</v>
      </c>
      <c r="B541" s="1">
        <v>45918</v>
      </c>
      <c r="C541" s="1">
        <v>45955</v>
      </c>
      <c r="D541" s="4" t="s">
        <v>416</v>
      </c>
      <c r="E541" s="2" t="s">
        <v>277</v>
      </c>
      <c r="F541" s="2" t="s">
        <v>255</v>
      </c>
      <c r="G541" s="2" t="s">
        <v>253</v>
      </c>
      <c r="H541" s="3">
        <v>22</v>
      </c>
      <c r="I541" t="str">
        <f>IFERROR(VLOOKUP(Prestamos[[#This Row],[ID Libro]],Inventario_Libros!A:B,2,0),"Libro No Existe")</f>
        <v>La Tregua</v>
      </c>
      <c r="J541" t="str">
        <f>IFERROR(VLOOKUP(Prestamos[[#This Row],[ID Libro]],Inventario_Libros!A:C,3,0),"Libro No Existe")</f>
        <v>Mario Benedetti</v>
      </c>
      <c r="K541" t="str">
        <f>IFERROR(VLOOKUP(Prestamos[[#This Row],[ID Libro]],Inventario_Libros!A:D,4,0),"Libro No Existe")</f>
        <v>Novela</v>
      </c>
      <c r="L541">
        <f>IFERROR(VLOOKUP(Prestamos[[#This Row],[ID Libro]],Inventario_Libros!A:E,5,0),"Libro No Existe")</f>
        <v>2003</v>
      </c>
      <c r="M541" t="str">
        <f>_xlfn.XLOOKUP(D:D,Inventario_Libros!A:A,Inventario_Libros!G:G,"No Existe",0)</f>
        <v>C-3</v>
      </c>
      <c r="N541" t="str">
        <f>IFERROR(VLOOKUP(Prestamos[[#This Row],[ID Libro]],Inventario_Libros!A:H,8,0),"Libro No Existe")</f>
        <v>Activo</v>
      </c>
    </row>
    <row r="542" spans="1:14" x14ac:dyDescent="0.3">
      <c r="A542" s="5" t="s">
        <v>1069</v>
      </c>
      <c r="B542" s="1">
        <v>45717</v>
      </c>
      <c r="C542" s="1" t="s">
        <v>289</v>
      </c>
      <c r="D542" s="4" t="s">
        <v>519</v>
      </c>
      <c r="E542" s="2" t="s">
        <v>254</v>
      </c>
      <c r="F542" s="2" t="s">
        <v>275</v>
      </c>
      <c r="G542" s="2" t="s">
        <v>257</v>
      </c>
      <c r="H542" s="3">
        <v>5</v>
      </c>
      <c r="I542" t="str">
        <f>IFERROR(VLOOKUP(Prestamos[[#This Row],[ID Libro]],Inventario_Libros!A:B,2,0),"Libro No Existe")</f>
        <v>Macbeth</v>
      </c>
      <c r="J542" t="str">
        <f>IFERROR(VLOOKUP(Prestamos[[#This Row],[ID Libro]],Inventario_Libros!A:C,3,0),"Libro No Existe")</f>
        <v>William Shakespeare</v>
      </c>
      <c r="K542" t="str">
        <f>IFERROR(VLOOKUP(Prestamos[[#This Row],[ID Libro]],Inventario_Libros!A:D,4,0),"Libro No Existe")</f>
        <v>Clásicos</v>
      </c>
      <c r="L542">
        <f>IFERROR(VLOOKUP(Prestamos[[#This Row],[ID Libro]],Inventario_Libros!A:E,5,0),"Libro No Existe")</f>
        <v>1933</v>
      </c>
      <c r="M542" t="str">
        <f>_xlfn.XLOOKUP(D:D,Inventario_Libros!A:A,Inventario_Libros!G:G,"No Existe",0)</f>
        <v>Est-1</v>
      </c>
      <c r="N542" t="str">
        <f>IFERROR(VLOOKUP(Prestamos[[#This Row],[ID Libro]],Inventario_Libros!A:H,8,0),"Libro No Existe")</f>
        <v>Activo</v>
      </c>
    </row>
    <row r="543" spans="1:14" x14ac:dyDescent="0.3">
      <c r="A543" s="5" t="s">
        <v>1070</v>
      </c>
      <c r="B543" s="1">
        <v>45862</v>
      </c>
      <c r="C543" s="1">
        <v>45900</v>
      </c>
      <c r="D543" s="4" t="s">
        <v>520</v>
      </c>
      <c r="E543" s="2" t="s">
        <v>270</v>
      </c>
      <c r="F543" s="2" t="s">
        <v>275</v>
      </c>
      <c r="G543" s="2" t="s">
        <v>279</v>
      </c>
      <c r="H543" s="3" t="s">
        <v>289</v>
      </c>
      <c r="I543" t="str">
        <f>IFERROR(VLOOKUP(Prestamos[[#This Row],[ID Libro]],Inventario_Libros!A:B,2,0),"Libro No Existe")</f>
        <v>Libro No Existe</v>
      </c>
      <c r="J543" t="str">
        <f>IFERROR(VLOOKUP(Prestamos[[#This Row],[ID Libro]],Inventario_Libros!A:C,3,0),"Libro No Existe")</f>
        <v>Libro No Existe</v>
      </c>
      <c r="K543" t="str">
        <f>IFERROR(VLOOKUP(Prestamos[[#This Row],[ID Libro]],Inventario_Libros!A:D,4,0),"Libro No Existe")</f>
        <v>Libro No Existe</v>
      </c>
      <c r="L543" t="str">
        <f>IFERROR(VLOOKUP(Prestamos[[#This Row],[ID Libro]],Inventario_Libros!A:E,5,0),"Libro No Existe")</f>
        <v>Libro No Existe</v>
      </c>
      <c r="M543" t="str">
        <f>_xlfn.XLOOKUP(D:D,Inventario_Libros!A:A,Inventario_Libros!G:G,"No Existe",0)</f>
        <v>No Existe</v>
      </c>
      <c r="N543" t="str">
        <f>IFERROR(VLOOKUP(Prestamos[[#This Row],[ID Libro]],Inventario_Libros!A:H,8,0),"Libro No Existe")</f>
        <v>Libro No Existe</v>
      </c>
    </row>
    <row r="544" spans="1:14" x14ac:dyDescent="0.3">
      <c r="A544" s="5" t="s">
        <v>1071</v>
      </c>
      <c r="B544" s="1">
        <v>45880</v>
      </c>
      <c r="C544" s="1">
        <v>45918</v>
      </c>
      <c r="D544" s="4" t="s">
        <v>521</v>
      </c>
      <c r="E544" s="2" t="s">
        <v>264</v>
      </c>
      <c r="F544" s="2" t="s">
        <v>255</v>
      </c>
      <c r="G544" s="2" t="s">
        <v>253</v>
      </c>
      <c r="H544" s="3">
        <v>23</v>
      </c>
      <c r="I544" t="str">
        <f>IFERROR(VLOOKUP(Prestamos[[#This Row],[ID Libro]],Inventario_Libros!A:B,2,0),"Libro No Existe")</f>
        <v>Macbeth</v>
      </c>
      <c r="J544" t="str">
        <f>IFERROR(VLOOKUP(Prestamos[[#This Row],[ID Libro]],Inventario_Libros!A:C,3,0),"Libro No Existe")</f>
        <v>William Shakespeare</v>
      </c>
      <c r="K544" t="str">
        <f>IFERROR(VLOOKUP(Prestamos[[#This Row],[ID Libro]],Inventario_Libros!A:D,4,0),"Libro No Existe")</f>
        <v>Clásicos</v>
      </c>
      <c r="L544">
        <f>IFERROR(VLOOKUP(Prestamos[[#This Row],[ID Libro]],Inventario_Libros!A:E,5,0),"Libro No Existe")</f>
        <v>1886</v>
      </c>
      <c r="M544" t="str">
        <f>_xlfn.XLOOKUP(D:D,Inventario_Libros!A:A,Inventario_Libros!G:G,"No Existe",0)</f>
        <v>Est-1</v>
      </c>
      <c r="N544" t="str">
        <f>IFERROR(VLOOKUP(Prestamos[[#This Row],[ID Libro]],Inventario_Libros!A:H,8,0),"Libro No Existe")</f>
        <v>Retirado</v>
      </c>
    </row>
    <row r="545" spans="1:14" x14ac:dyDescent="0.3">
      <c r="A545" s="5" t="s">
        <v>1072</v>
      </c>
      <c r="B545" s="1">
        <v>45780</v>
      </c>
      <c r="C545" s="1">
        <v>45818</v>
      </c>
      <c r="D545" s="4" t="s">
        <v>496</v>
      </c>
      <c r="E545" s="2" t="s">
        <v>278</v>
      </c>
      <c r="F545" s="2" t="s">
        <v>275</v>
      </c>
      <c r="G545" s="2" t="s">
        <v>253</v>
      </c>
      <c r="H545" s="3">
        <v>23</v>
      </c>
      <c r="I545" t="str">
        <f>IFERROR(VLOOKUP(Prestamos[[#This Row],[ID Libro]],Inventario_Libros!A:B,2,0),"Libro No Existe")</f>
        <v>La Odisea</v>
      </c>
      <c r="J545" t="str">
        <f>IFERROR(VLOOKUP(Prestamos[[#This Row],[ID Libro]],Inventario_Libros!A:C,3,0),"Libro No Existe")</f>
        <v>Homero</v>
      </c>
      <c r="K545" t="str">
        <f>IFERROR(VLOOKUP(Prestamos[[#This Row],[ID Libro]],Inventario_Libros!A:D,4,0),"Libro No Existe")</f>
        <v>Clásicos</v>
      </c>
      <c r="L545">
        <f>IFERROR(VLOOKUP(Prestamos[[#This Row],[ID Libro]],Inventario_Libros!A:E,5,0),"Libro No Existe")</f>
        <v>1986</v>
      </c>
      <c r="M545" t="str">
        <f>_xlfn.XLOOKUP(D:D,Inventario_Libros!A:A,Inventario_Libros!G:G,"No Existe",0)</f>
        <v>A-1</v>
      </c>
      <c r="N545" t="str">
        <f>IFERROR(VLOOKUP(Prestamos[[#This Row],[ID Libro]],Inventario_Libros!A:H,8,0),"Libro No Existe")</f>
        <v>Activo</v>
      </c>
    </row>
    <row r="546" spans="1:14" x14ac:dyDescent="0.3">
      <c r="A546" s="5" t="s">
        <v>1073</v>
      </c>
      <c r="B546" s="1">
        <v>45829</v>
      </c>
      <c r="C546" s="1">
        <v>45868</v>
      </c>
      <c r="D546" s="4" t="s">
        <v>335</v>
      </c>
      <c r="E546" s="2" t="s">
        <v>265</v>
      </c>
      <c r="F546" s="2" t="s">
        <v>258</v>
      </c>
      <c r="G546" s="2" t="s">
        <v>279</v>
      </c>
      <c r="H546" s="3" t="s">
        <v>289</v>
      </c>
      <c r="I546" t="str">
        <f>IFERROR(VLOOKUP(Prestamos[[#This Row],[ID Libro]],Inventario_Libros!A:B,2,0),"Libro No Existe")</f>
        <v>El Código Da Vinci</v>
      </c>
      <c r="J546" t="str">
        <f>IFERROR(VLOOKUP(Prestamos[[#This Row],[ID Libro]],Inventario_Libros!A:C,3,0),"Libro No Existe")</f>
        <v>Dan Brown</v>
      </c>
      <c r="K546" t="str">
        <f>IFERROR(VLOOKUP(Prestamos[[#This Row],[ID Libro]],Inventario_Libros!A:D,4,0),"Libro No Existe")</f>
        <v>Misterio</v>
      </c>
      <c r="L546">
        <f>IFERROR(VLOOKUP(Prestamos[[#This Row],[ID Libro]],Inventario_Libros!A:E,5,0),"Libro No Existe")</f>
        <v>1966</v>
      </c>
      <c r="M546" t="str">
        <f>_xlfn.XLOOKUP(D:D,Inventario_Libros!A:A,Inventario_Libros!G:G,"No Existe",0)</f>
        <v>C-3</v>
      </c>
      <c r="N546" t="str">
        <f>IFERROR(VLOOKUP(Prestamos[[#This Row],[ID Libro]],Inventario_Libros!A:H,8,0),"Libro No Existe")</f>
        <v>Retirado</v>
      </c>
    </row>
    <row r="547" spans="1:14" x14ac:dyDescent="0.3">
      <c r="A547" s="5" t="s">
        <v>1074</v>
      </c>
      <c r="B547" s="1">
        <v>45716</v>
      </c>
      <c r="C547" s="1">
        <v>45733</v>
      </c>
      <c r="D547" s="4" t="s">
        <v>368</v>
      </c>
      <c r="E547" s="2" t="s">
        <v>269</v>
      </c>
      <c r="F547" s="2" t="s">
        <v>258</v>
      </c>
      <c r="G547" s="2" t="s">
        <v>257</v>
      </c>
      <c r="H547" s="3">
        <v>2</v>
      </c>
      <c r="I547" t="str">
        <f>IFERROR(VLOOKUP(Prestamos[[#This Row],[ID Libro]],Inventario_Libros!A:B,2,0),"Libro No Existe")</f>
        <v>Breve Historia Del Tiempo</v>
      </c>
      <c r="J547" t="str">
        <f>IFERROR(VLOOKUP(Prestamos[[#This Row],[ID Libro]],Inventario_Libros!A:C,3,0),"Libro No Existe")</f>
        <v>Stephen Hawking</v>
      </c>
      <c r="K547" t="str">
        <f>IFERROR(VLOOKUP(Prestamos[[#This Row],[ID Libro]],Inventario_Libros!A:D,4,0),"Libro No Existe")</f>
        <v>Divulgación Científica / Cosmología</v>
      </c>
      <c r="L547">
        <f>IFERROR(VLOOKUP(Prestamos[[#This Row],[ID Libro]],Inventario_Libros!A:E,5,0),"Libro No Existe")</f>
        <v>1889</v>
      </c>
      <c r="M547" t="str">
        <f>_xlfn.XLOOKUP(D:D,Inventario_Libros!A:A,Inventario_Libros!G:G,"No Existe",0)</f>
        <v>Est-1</v>
      </c>
      <c r="N547" t="str">
        <f>IFERROR(VLOOKUP(Prestamos[[#This Row],[ID Libro]],Inventario_Libros!A:H,8,0),"Libro No Existe")</f>
        <v>Retirado</v>
      </c>
    </row>
    <row r="548" spans="1:14" x14ac:dyDescent="0.3">
      <c r="A548" s="5" t="s">
        <v>1075</v>
      </c>
      <c r="B548" s="1">
        <v>45834</v>
      </c>
      <c r="C548" s="1">
        <v>45873</v>
      </c>
      <c r="D548" s="4" t="s">
        <v>334</v>
      </c>
      <c r="E548" s="2" t="s">
        <v>260</v>
      </c>
      <c r="F548" s="2" t="s">
        <v>263</v>
      </c>
      <c r="G548" s="2" t="s">
        <v>253</v>
      </c>
      <c r="H548" s="3">
        <v>24</v>
      </c>
      <c r="I548" t="str">
        <f>IFERROR(VLOOKUP(Prestamos[[#This Row],[ID Libro]],Inventario_Libros!A:B,2,0),"Libro No Existe")</f>
        <v>Rayuela</v>
      </c>
      <c r="J548" t="str">
        <f>IFERROR(VLOOKUP(Prestamos[[#This Row],[ID Libro]],Inventario_Libros!A:C,3,0),"Libro No Existe")</f>
        <v>Julio Cortázar</v>
      </c>
      <c r="K548" t="str">
        <f>IFERROR(VLOOKUP(Prestamos[[#This Row],[ID Libro]],Inventario_Libros!A:D,4,0),"Libro No Existe")</f>
        <v>Novela</v>
      </c>
      <c r="L548">
        <f>IFERROR(VLOOKUP(Prestamos[[#This Row],[ID Libro]],Inventario_Libros!A:E,5,0),"Libro No Existe")</f>
        <v>2018</v>
      </c>
      <c r="M548" t="str">
        <f>_xlfn.XLOOKUP(D:D,Inventario_Libros!A:A,Inventario_Libros!G:G,"No Existe",0)</f>
        <v>B-2</v>
      </c>
      <c r="N548" t="str">
        <f>IFERROR(VLOOKUP(Prestamos[[#This Row],[ID Libro]],Inventario_Libros!A:H,8,0),"Libro No Existe")</f>
        <v>Retirado</v>
      </c>
    </row>
    <row r="549" spans="1:14" x14ac:dyDescent="0.3">
      <c r="A549" s="5" t="s">
        <v>1076</v>
      </c>
      <c r="B549" s="1">
        <v>45740</v>
      </c>
      <c r="C549" s="1" t="s">
        <v>289</v>
      </c>
      <c r="D549" s="4" t="s">
        <v>349</v>
      </c>
      <c r="E549" s="2" t="s">
        <v>260</v>
      </c>
      <c r="F549" s="2" t="s">
        <v>263</v>
      </c>
      <c r="G549" s="2" t="s">
        <v>257</v>
      </c>
      <c r="H549" s="3">
        <v>5</v>
      </c>
      <c r="I549" t="str">
        <f>IFERROR(VLOOKUP(Prestamos[[#This Row],[ID Libro]],Inventario_Libros!A:B,2,0),"Libro No Existe")</f>
        <v>Los Detectives Salvajes</v>
      </c>
      <c r="J549" t="str">
        <f>IFERROR(VLOOKUP(Prestamos[[#This Row],[ID Libro]],Inventario_Libros!A:C,3,0),"Libro No Existe")</f>
        <v>Roberto Bolaño</v>
      </c>
      <c r="K549" t="str">
        <f>IFERROR(VLOOKUP(Prestamos[[#This Row],[ID Libro]],Inventario_Libros!A:D,4,0),"Libro No Existe")</f>
        <v>Novela</v>
      </c>
      <c r="L549">
        <f>IFERROR(VLOOKUP(Prestamos[[#This Row],[ID Libro]],Inventario_Libros!A:E,5,0),"Libro No Existe")</f>
        <v>1914</v>
      </c>
      <c r="M549" t="str">
        <f>_xlfn.XLOOKUP(D:D,Inventario_Libros!A:A,Inventario_Libros!G:G,"No Existe",0)</f>
        <v>C-3</v>
      </c>
      <c r="N549" t="str">
        <f>IFERROR(VLOOKUP(Prestamos[[#This Row],[ID Libro]],Inventario_Libros!A:H,8,0),"Libro No Existe")</f>
        <v>Retirado</v>
      </c>
    </row>
    <row r="550" spans="1:14" x14ac:dyDescent="0.3">
      <c r="A550" s="5" t="s">
        <v>1077</v>
      </c>
      <c r="B550" s="1">
        <v>45766</v>
      </c>
      <c r="C550" s="1">
        <v>45805</v>
      </c>
      <c r="D550" s="4" t="s">
        <v>471</v>
      </c>
      <c r="E550" s="2" t="s">
        <v>273</v>
      </c>
      <c r="F550" s="2" t="s">
        <v>255</v>
      </c>
      <c r="G550" s="2" t="s">
        <v>279</v>
      </c>
      <c r="H550" s="3" t="s">
        <v>289</v>
      </c>
      <c r="I550" t="str">
        <f>IFERROR(VLOOKUP(Prestamos[[#This Row],[ID Libro]],Inventario_Libros!A:B,2,0),"Libro No Existe")</f>
        <v>Breve Historia Del Tiempo</v>
      </c>
      <c r="J550" t="str">
        <f>IFERROR(VLOOKUP(Prestamos[[#This Row],[ID Libro]],Inventario_Libros!A:C,3,0),"Libro No Existe")</f>
        <v>Stephen Hawking</v>
      </c>
      <c r="K550" t="str">
        <f>IFERROR(VLOOKUP(Prestamos[[#This Row],[ID Libro]],Inventario_Libros!A:D,4,0),"Libro No Existe")</f>
        <v>Divulgación Científica / Cosmología</v>
      </c>
      <c r="L550">
        <f>IFERROR(VLOOKUP(Prestamos[[#This Row],[ID Libro]],Inventario_Libros!A:E,5,0),"Libro No Existe")</f>
        <v>1941</v>
      </c>
      <c r="M550" t="str">
        <f>_xlfn.XLOOKUP(D:D,Inventario_Libros!A:A,Inventario_Libros!G:G,"No Existe",0)</f>
        <v>B-2</v>
      </c>
      <c r="N550" t="str">
        <f>IFERROR(VLOOKUP(Prestamos[[#This Row],[ID Libro]],Inventario_Libros!A:H,8,0),"Libro No Existe")</f>
        <v>Retirado</v>
      </c>
    </row>
    <row r="551" spans="1:14" x14ac:dyDescent="0.3">
      <c r="A551" s="5" t="s">
        <v>1078</v>
      </c>
      <c r="B551" s="1">
        <v>45903</v>
      </c>
      <c r="C551" s="1">
        <v>45942</v>
      </c>
      <c r="D551" s="4" t="s">
        <v>402</v>
      </c>
      <c r="E551" s="2" t="s">
        <v>273</v>
      </c>
      <c r="F551" s="2" t="s">
        <v>263</v>
      </c>
      <c r="G551" s="2" t="s">
        <v>279</v>
      </c>
      <c r="H551" s="3" t="s">
        <v>289</v>
      </c>
      <c r="I551" t="str">
        <f>IFERROR(VLOOKUP(Prestamos[[#This Row],[ID Libro]],Inventario_Libros!A:B,2,0),"Libro No Existe")</f>
        <v>La Iliada</v>
      </c>
      <c r="J551" t="str">
        <f>IFERROR(VLOOKUP(Prestamos[[#This Row],[ID Libro]],Inventario_Libros!A:C,3,0),"Libro No Existe")</f>
        <v>Homero</v>
      </c>
      <c r="K551" t="str">
        <f>IFERROR(VLOOKUP(Prestamos[[#This Row],[ID Libro]],Inventario_Libros!A:D,4,0),"Libro No Existe")</f>
        <v>Clásicos</v>
      </c>
      <c r="L551">
        <f>IFERROR(VLOOKUP(Prestamos[[#This Row],[ID Libro]],Inventario_Libros!A:E,5,0),"Libro No Existe")</f>
        <v>1893</v>
      </c>
      <c r="M551" t="str">
        <f>_xlfn.XLOOKUP(D:D,Inventario_Libros!A:A,Inventario_Libros!G:G,"No Existe",0)</f>
        <v>Est-1</v>
      </c>
      <c r="N551" t="str">
        <f>IFERROR(VLOOKUP(Prestamos[[#This Row],[ID Libro]],Inventario_Libros!A:H,8,0),"Libro No Existe")</f>
        <v>Activo</v>
      </c>
    </row>
    <row r="552" spans="1:14" x14ac:dyDescent="0.3">
      <c r="A552" s="5" t="s">
        <v>1079</v>
      </c>
      <c r="B552" s="1">
        <v>45851</v>
      </c>
      <c r="C552" s="1">
        <v>45890</v>
      </c>
      <c r="D552" s="4" t="s">
        <v>522</v>
      </c>
      <c r="E552" s="2" t="s">
        <v>260</v>
      </c>
      <c r="F552" s="2" t="s">
        <v>258</v>
      </c>
      <c r="G552" s="2" t="s">
        <v>279</v>
      </c>
      <c r="H552" s="3" t="s">
        <v>289</v>
      </c>
      <c r="I552" t="str">
        <f>IFERROR(VLOOKUP(Prestamos[[#This Row],[ID Libro]],Inventario_Libros!A:B,2,0),"Libro No Existe")</f>
        <v>Los Detectives Salvajes</v>
      </c>
      <c r="J552" t="str">
        <f>IFERROR(VLOOKUP(Prestamos[[#This Row],[ID Libro]],Inventario_Libros!A:C,3,0),"Libro No Existe")</f>
        <v>Roberto Bolaño</v>
      </c>
      <c r="K552" t="str">
        <f>IFERROR(VLOOKUP(Prestamos[[#This Row],[ID Libro]],Inventario_Libros!A:D,4,0),"Libro No Existe")</f>
        <v>Novela</v>
      </c>
      <c r="L552">
        <f>IFERROR(VLOOKUP(Prestamos[[#This Row],[ID Libro]],Inventario_Libros!A:E,5,0),"Libro No Existe")</f>
        <v>2005</v>
      </c>
      <c r="M552" t="str">
        <f>_xlfn.XLOOKUP(D:D,Inventario_Libros!A:A,Inventario_Libros!G:G,"No Existe",0)</f>
        <v>C-3</v>
      </c>
      <c r="N552" t="str">
        <f>IFERROR(VLOOKUP(Prestamos[[#This Row],[ID Libro]],Inventario_Libros!A:H,8,0),"Libro No Existe")</f>
        <v>Retirado</v>
      </c>
    </row>
    <row r="553" spans="1:14" x14ac:dyDescent="0.3">
      <c r="A553" s="5" t="s">
        <v>1080</v>
      </c>
      <c r="B553" s="1">
        <v>45954</v>
      </c>
      <c r="C553" s="1">
        <v>45993</v>
      </c>
      <c r="D553" s="4" t="s">
        <v>519</v>
      </c>
      <c r="E553" s="2" t="s">
        <v>288</v>
      </c>
      <c r="F553" s="2" t="s">
        <v>258</v>
      </c>
      <c r="G553" s="2" t="s">
        <v>279</v>
      </c>
      <c r="H553" s="3" t="s">
        <v>289</v>
      </c>
      <c r="I553" t="str">
        <f>IFERROR(VLOOKUP(Prestamos[[#This Row],[ID Libro]],Inventario_Libros!A:B,2,0),"Libro No Existe")</f>
        <v>Macbeth</v>
      </c>
      <c r="J553" t="str">
        <f>IFERROR(VLOOKUP(Prestamos[[#This Row],[ID Libro]],Inventario_Libros!A:C,3,0),"Libro No Existe")</f>
        <v>William Shakespeare</v>
      </c>
      <c r="K553" t="str">
        <f>IFERROR(VLOOKUP(Prestamos[[#This Row],[ID Libro]],Inventario_Libros!A:D,4,0),"Libro No Existe")</f>
        <v>Clásicos</v>
      </c>
      <c r="L553">
        <f>IFERROR(VLOOKUP(Prestamos[[#This Row],[ID Libro]],Inventario_Libros!A:E,5,0),"Libro No Existe")</f>
        <v>1933</v>
      </c>
      <c r="M553" t="str">
        <f>_xlfn.XLOOKUP(D:D,Inventario_Libros!A:A,Inventario_Libros!G:G,"No Existe",0)</f>
        <v>Est-1</v>
      </c>
      <c r="N553" t="str">
        <f>IFERROR(VLOOKUP(Prestamos[[#This Row],[ID Libro]],Inventario_Libros!A:H,8,0),"Libro No Existe")</f>
        <v>Activo</v>
      </c>
    </row>
    <row r="554" spans="1:14" x14ac:dyDescent="0.3">
      <c r="A554" s="5" t="s">
        <v>1081</v>
      </c>
      <c r="B554" s="1">
        <v>45901</v>
      </c>
      <c r="C554" s="1">
        <v>45940</v>
      </c>
      <c r="D554" s="4" t="s">
        <v>479</v>
      </c>
      <c r="E554" s="2" t="s">
        <v>256</v>
      </c>
      <c r="F554" s="2" t="s">
        <v>258</v>
      </c>
      <c r="G554" s="2" t="s">
        <v>279</v>
      </c>
      <c r="H554" s="3" t="s">
        <v>289</v>
      </c>
      <c r="I554" t="str">
        <f>IFERROR(VLOOKUP(Prestamos[[#This Row],[ID Libro]],Inventario_Libros!A:B,2,0),"Libro No Existe")</f>
        <v>La Casa De Los Espíritus</v>
      </c>
      <c r="J554" t="str">
        <f>IFERROR(VLOOKUP(Prestamos[[#This Row],[ID Libro]],Inventario_Libros!A:C,3,0),"Libro No Existe")</f>
        <v>Isabel Allende</v>
      </c>
      <c r="K554" t="str">
        <f>IFERROR(VLOOKUP(Prestamos[[#This Row],[ID Libro]],Inventario_Libros!A:D,4,0),"Libro No Existe")</f>
        <v>Novela</v>
      </c>
      <c r="L554">
        <f>IFERROR(VLOOKUP(Prestamos[[#This Row],[ID Libro]],Inventario_Libros!A:E,5,0),"Libro No Existe")</f>
        <v>1899</v>
      </c>
      <c r="M554" t="str">
        <f>_xlfn.XLOOKUP(D:D,Inventario_Libros!A:A,Inventario_Libros!G:G,"No Existe",0)</f>
        <v>A-1</v>
      </c>
      <c r="N554" t="str">
        <f>IFERROR(VLOOKUP(Prestamos[[#This Row],[ID Libro]],Inventario_Libros!A:H,8,0),"Libro No Existe")</f>
        <v>Retirado</v>
      </c>
    </row>
    <row r="555" spans="1:14" x14ac:dyDescent="0.3">
      <c r="A555" s="5" t="s">
        <v>1082</v>
      </c>
      <c r="B555" s="1">
        <v>45941</v>
      </c>
      <c r="C555" s="1">
        <v>45980</v>
      </c>
      <c r="D555" s="4" t="s">
        <v>422</v>
      </c>
      <c r="E555" s="2" t="s">
        <v>270</v>
      </c>
      <c r="F555" s="2" t="s">
        <v>252</v>
      </c>
      <c r="G555" s="2" t="s">
        <v>253</v>
      </c>
      <c r="H555" s="3">
        <v>24</v>
      </c>
      <c r="I555" t="str">
        <f>IFERROR(VLOOKUP(Prestamos[[#This Row],[ID Libro]],Inventario_Libros!A:B,2,0),"Libro No Existe")</f>
        <v>Pedro Páramo</v>
      </c>
      <c r="J555" t="str">
        <f>IFERROR(VLOOKUP(Prestamos[[#This Row],[ID Libro]],Inventario_Libros!A:C,3,0),"Libro No Existe")</f>
        <v>Juan Rulfo</v>
      </c>
      <c r="K555" t="str">
        <f>IFERROR(VLOOKUP(Prestamos[[#This Row],[ID Libro]],Inventario_Libros!A:D,4,0),"Libro No Existe")</f>
        <v>Novela</v>
      </c>
      <c r="L555">
        <f>IFERROR(VLOOKUP(Prestamos[[#This Row],[ID Libro]],Inventario_Libros!A:E,5,0),"Libro No Existe")</f>
        <v>1966</v>
      </c>
      <c r="M555" t="str">
        <f>_xlfn.XLOOKUP(D:D,Inventario_Libros!A:A,Inventario_Libros!G:G,"No Existe",0)</f>
        <v>Est-1</v>
      </c>
      <c r="N555" t="str">
        <f>IFERROR(VLOOKUP(Prestamos[[#This Row],[ID Libro]],Inventario_Libros!A:H,8,0),"Libro No Existe")</f>
        <v>Retirado</v>
      </c>
    </row>
    <row r="556" spans="1:14" x14ac:dyDescent="0.3">
      <c r="A556" s="5" t="s">
        <v>1083</v>
      </c>
      <c r="B556" s="1">
        <v>45814</v>
      </c>
      <c r="C556" s="1">
        <v>45853</v>
      </c>
      <c r="D556" s="4" t="s">
        <v>458</v>
      </c>
      <c r="E556" s="2" t="s">
        <v>274</v>
      </c>
      <c r="F556" s="2" t="s">
        <v>263</v>
      </c>
      <c r="G556" s="2" t="s">
        <v>253</v>
      </c>
      <c r="H556" s="3">
        <v>24</v>
      </c>
      <c r="I556" t="str">
        <f>IFERROR(VLOOKUP(Prestamos[[#This Row],[ID Libro]],Inventario_Libros!A:B,2,0),"Libro No Existe")</f>
        <v>Don Quijote De La Mancha</v>
      </c>
      <c r="J556" t="str">
        <f>IFERROR(VLOOKUP(Prestamos[[#This Row],[ID Libro]],Inventario_Libros!A:C,3,0),"Libro No Existe")</f>
        <v>Miguel De Cervantes</v>
      </c>
      <c r="K556" t="str">
        <f>IFERROR(VLOOKUP(Prestamos[[#This Row],[ID Libro]],Inventario_Libros!A:D,4,0),"Libro No Existe")</f>
        <v>Novela</v>
      </c>
      <c r="L556">
        <f>IFERROR(VLOOKUP(Prestamos[[#This Row],[ID Libro]],Inventario_Libros!A:E,5,0),"Libro No Existe")</f>
        <v>1933</v>
      </c>
      <c r="M556" t="str">
        <f>_xlfn.XLOOKUP(D:D,Inventario_Libros!A:A,Inventario_Libros!G:G,"No Existe",0)</f>
        <v>B-2</v>
      </c>
      <c r="N556" t="str">
        <f>IFERROR(VLOOKUP(Prestamos[[#This Row],[ID Libro]],Inventario_Libros!A:H,8,0),"Libro No Existe")</f>
        <v>Retirado</v>
      </c>
    </row>
    <row r="557" spans="1:14" x14ac:dyDescent="0.3">
      <c r="A557" s="5" t="s">
        <v>1084</v>
      </c>
      <c r="B557" s="1">
        <v>45828</v>
      </c>
      <c r="C557" s="1">
        <v>45867</v>
      </c>
      <c r="D557" s="4" t="s">
        <v>404</v>
      </c>
      <c r="E557" s="2" t="s">
        <v>259</v>
      </c>
      <c r="F557" s="2" t="s">
        <v>258</v>
      </c>
      <c r="G557" s="2" t="s">
        <v>253</v>
      </c>
      <c r="H557" s="3">
        <v>24</v>
      </c>
      <c r="I557" t="str">
        <f>IFERROR(VLOOKUP(Prestamos[[#This Row],[ID Libro]],Inventario_Libros!A:B,2,0),"Libro No Existe")</f>
        <v>Rebelión En La Granja</v>
      </c>
      <c r="J557" t="str">
        <f>IFERROR(VLOOKUP(Prestamos[[#This Row],[ID Libro]],Inventario_Libros!A:C,3,0),"Libro No Existe")</f>
        <v>George Orwell</v>
      </c>
      <c r="K557" t="str">
        <f>IFERROR(VLOOKUP(Prestamos[[#This Row],[ID Libro]],Inventario_Libros!A:D,4,0),"Libro No Existe")</f>
        <v>Ciencia Ficción</v>
      </c>
      <c r="L557">
        <f>IFERROR(VLOOKUP(Prestamos[[#This Row],[ID Libro]],Inventario_Libros!A:E,5,0),"Libro No Existe")</f>
        <v>1897</v>
      </c>
      <c r="M557" t="str">
        <f>_xlfn.XLOOKUP(D:D,Inventario_Libros!A:A,Inventario_Libros!G:G,"No Existe",0)</f>
        <v>C-3</v>
      </c>
      <c r="N557" t="str">
        <f>IFERROR(VLOOKUP(Prestamos[[#This Row],[ID Libro]],Inventario_Libros!A:H,8,0),"Libro No Existe")</f>
        <v>Activo</v>
      </c>
    </row>
    <row r="558" spans="1:14" x14ac:dyDescent="0.3">
      <c r="A558" s="5" t="s">
        <v>1085</v>
      </c>
      <c r="B558" s="1">
        <v>45784</v>
      </c>
      <c r="C558" s="1">
        <v>45824</v>
      </c>
      <c r="D558" s="4" t="s">
        <v>401</v>
      </c>
      <c r="E558" s="2" t="s">
        <v>251</v>
      </c>
      <c r="F558" s="2" t="s">
        <v>258</v>
      </c>
      <c r="G558" s="2" t="s">
        <v>279</v>
      </c>
      <c r="H558" s="3" t="s">
        <v>289</v>
      </c>
      <c r="I558" t="str">
        <f>IFERROR(VLOOKUP(Prestamos[[#This Row],[ID Libro]],Inventario_Libros!A:B,2,0),"Libro No Existe")</f>
        <v>La Iliada</v>
      </c>
      <c r="J558" t="str">
        <f>IFERROR(VLOOKUP(Prestamos[[#This Row],[ID Libro]],Inventario_Libros!A:C,3,0),"Libro No Existe")</f>
        <v>Homero</v>
      </c>
      <c r="K558" t="str">
        <f>IFERROR(VLOOKUP(Prestamos[[#This Row],[ID Libro]],Inventario_Libros!A:D,4,0),"Libro No Existe")</f>
        <v>Clásicos</v>
      </c>
      <c r="L558">
        <f>IFERROR(VLOOKUP(Prestamos[[#This Row],[ID Libro]],Inventario_Libros!A:E,5,0),"Libro No Existe")</f>
        <v>1913</v>
      </c>
      <c r="M558" t="str">
        <f>_xlfn.XLOOKUP(D:D,Inventario_Libros!A:A,Inventario_Libros!G:G,"No Existe",0)</f>
        <v>A-1</v>
      </c>
      <c r="N558" t="str">
        <f>IFERROR(VLOOKUP(Prestamos[[#This Row],[ID Libro]],Inventario_Libros!A:H,8,0),"Libro No Existe")</f>
        <v>Activo</v>
      </c>
    </row>
    <row r="559" spans="1:14" x14ac:dyDescent="0.3">
      <c r="A559" s="5" t="s">
        <v>1086</v>
      </c>
      <c r="B559" s="1">
        <v>45745</v>
      </c>
      <c r="C559" s="1">
        <v>45785</v>
      </c>
      <c r="D559" s="4" t="s">
        <v>413</v>
      </c>
      <c r="E559" s="2" t="s">
        <v>272</v>
      </c>
      <c r="F559" s="2" t="s">
        <v>258</v>
      </c>
      <c r="G559" s="2" t="s">
        <v>253</v>
      </c>
      <c r="H559" s="3">
        <v>25</v>
      </c>
      <c r="I559" t="str">
        <f>IFERROR(VLOOKUP(Prestamos[[#This Row],[ID Libro]],Inventario_Libros!A:B,2,0),"Libro No Existe")</f>
        <v>Ficciones</v>
      </c>
      <c r="J559" t="str">
        <f>IFERROR(VLOOKUP(Prestamos[[#This Row],[ID Libro]],Inventario_Libros!A:C,3,0),"Libro No Existe")</f>
        <v>Jorge Luis Borges</v>
      </c>
      <c r="K559" t="str">
        <f>IFERROR(VLOOKUP(Prestamos[[#This Row],[ID Libro]],Inventario_Libros!A:D,4,0),"Libro No Existe")</f>
        <v>Cuentos / Fantasía Metafísica</v>
      </c>
      <c r="L559">
        <f>IFERROR(VLOOKUP(Prestamos[[#This Row],[ID Libro]],Inventario_Libros!A:E,5,0),"Libro No Existe")</f>
        <v>1953</v>
      </c>
      <c r="M559" t="str">
        <f>_xlfn.XLOOKUP(D:D,Inventario_Libros!A:A,Inventario_Libros!G:G,"No Existe",0)</f>
        <v>A-1</v>
      </c>
      <c r="N559" t="str">
        <f>IFERROR(VLOOKUP(Prestamos[[#This Row],[ID Libro]],Inventario_Libros!A:H,8,0),"Libro No Existe")</f>
        <v>Activo</v>
      </c>
    </row>
    <row r="560" spans="1:14" x14ac:dyDescent="0.3">
      <c r="A560" s="5" t="s">
        <v>1087</v>
      </c>
      <c r="B560" s="1">
        <v>45973</v>
      </c>
      <c r="C560" s="1">
        <v>45993</v>
      </c>
      <c r="D560" s="4" t="s">
        <v>523</v>
      </c>
      <c r="E560" s="2" t="s">
        <v>278</v>
      </c>
      <c r="F560" s="2" t="s">
        <v>275</v>
      </c>
      <c r="G560" s="2" t="s">
        <v>257</v>
      </c>
      <c r="H560" s="3">
        <v>5</v>
      </c>
      <c r="I560" t="str">
        <f>IFERROR(VLOOKUP(Prestamos[[#This Row],[ID Libro]],Inventario_Libros!A:B,2,0),"Libro No Existe")</f>
        <v>Libro No Existe</v>
      </c>
      <c r="J560" t="str">
        <f>IFERROR(VLOOKUP(Prestamos[[#This Row],[ID Libro]],Inventario_Libros!A:C,3,0),"Libro No Existe")</f>
        <v>Libro No Existe</v>
      </c>
      <c r="K560" t="str">
        <f>IFERROR(VLOOKUP(Prestamos[[#This Row],[ID Libro]],Inventario_Libros!A:D,4,0),"Libro No Existe")</f>
        <v>Libro No Existe</v>
      </c>
      <c r="L560" t="str">
        <f>IFERROR(VLOOKUP(Prestamos[[#This Row],[ID Libro]],Inventario_Libros!A:E,5,0),"Libro No Existe")</f>
        <v>Libro No Existe</v>
      </c>
      <c r="M560" t="str">
        <f>_xlfn.XLOOKUP(D:D,Inventario_Libros!A:A,Inventario_Libros!G:G,"No Existe",0)</f>
        <v>No Existe</v>
      </c>
      <c r="N560" t="str">
        <f>IFERROR(VLOOKUP(Prestamos[[#This Row],[ID Libro]],Inventario_Libros!A:H,8,0),"Libro No Existe")</f>
        <v>Libro No Existe</v>
      </c>
    </row>
    <row r="561" spans="1:14" x14ac:dyDescent="0.3">
      <c r="A561" s="5" t="s">
        <v>1088</v>
      </c>
      <c r="B561" s="1">
        <v>45971</v>
      </c>
      <c r="C561" s="1">
        <v>46011</v>
      </c>
      <c r="D561" s="4" t="s">
        <v>524</v>
      </c>
      <c r="E561" s="2" t="s">
        <v>264</v>
      </c>
      <c r="F561" s="2" t="s">
        <v>255</v>
      </c>
      <c r="G561" s="2" t="s">
        <v>279</v>
      </c>
      <c r="H561" s="3" t="s">
        <v>289</v>
      </c>
      <c r="I561" t="str">
        <f>IFERROR(VLOOKUP(Prestamos[[#This Row],[ID Libro]],Inventario_Libros!A:B,2,0),"Libro No Existe")</f>
        <v>Rebelión En La Granja</v>
      </c>
      <c r="J561" t="str">
        <f>IFERROR(VLOOKUP(Prestamos[[#This Row],[ID Libro]],Inventario_Libros!A:C,3,0),"Libro No Existe")</f>
        <v>George Orwell</v>
      </c>
      <c r="K561" t="str">
        <f>IFERROR(VLOOKUP(Prestamos[[#This Row],[ID Libro]],Inventario_Libros!A:D,4,0),"Libro No Existe")</f>
        <v>Ciencia Ficción</v>
      </c>
      <c r="L561">
        <f>IFERROR(VLOOKUP(Prestamos[[#This Row],[ID Libro]],Inventario_Libros!A:E,5,0),"Libro No Existe")</f>
        <v>1936</v>
      </c>
      <c r="M561" t="str">
        <f>_xlfn.XLOOKUP(D:D,Inventario_Libros!A:A,Inventario_Libros!G:G,"No Existe",0)</f>
        <v>Est-1</v>
      </c>
      <c r="N561" t="str">
        <f>IFERROR(VLOOKUP(Prestamos[[#This Row],[ID Libro]],Inventario_Libros!A:H,8,0),"Libro No Existe")</f>
        <v>Retirado</v>
      </c>
    </row>
    <row r="562" spans="1:14" x14ac:dyDescent="0.3">
      <c r="A562" s="5" t="s">
        <v>1089</v>
      </c>
      <c r="B562" s="1">
        <v>45869</v>
      </c>
      <c r="C562" s="1">
        <v>45909</v>
      </c>
      <c r="D562" s="4" t="s">
        <v>335</v>
      </c>
      <c r="E562" s="2" t="s">
        <v>269</v>
      </c>
      <c r="F562" s="2" t="s">
        <v>263</v>
      </c>
      <c r="G562" s="2" t="s">
        <v>253</v>
      </c>
      <c r="H562" s="3">
        <v>25</v>
      </c>
      <c r="I562" t="str">
        <f>IFERROR(VLOOKUP(Prestamos[[#This Row],[ID Libro]],Inventario_Libros!A:B,2,0),"Libro No Existe")</f>
        <v>El Código Da Vinci</v>
      </c>
      <c r="J562" t="str">
        <f>IFERROR(VLOOKUP(Prestamos[[#This Row],[ID Libro]],Inventario_Libros!A:C,3,0),"Libro No Existe")</f>
        <v>Dan Brown</v>
      </c>
      <c r="K562" t="str">
        <f>IFERROR(VLOOKUP(Prestamos[[#This Row],[ID Libro]],Inventario_Libros!A:D,4,0),"Libro No Existe")</f>
        <v>Misterio</v>
      </c>
      <c r="L562">
        <f>IFERROR(VLOOKUP(Prestamos[[#This Row],[ID Libro]],Inventario_Libros!A:E,5,0),"Libro No Existe")</f>
        <v>1966</v>
      </c>
      <c r="M562" t="str">
        <f>_xlfn.XLOOKUP(D:D,Inventario_Libros!A:A,Inventario_Libros!G:G,"No Existe",0)</f>
        <v>C-3</v>
      </c>
      <c r="N562" t="str">
        <f>IFERROR(VLOOKUP(Prestamos[[#This Row],[ID Libro]],Inventario_Libros!A:H,8,0),"Libro No Existe")</f>
        <v>Retirado</v>
      </c>
    </row>
    <row r="563" spans="1:14" x14ac:dyDescent="0.3">
      <c r="A563" s="5" t="s">
        <v>1090</v>
      </c>
      <c r="B563" s="1">
        <v>45820</v>
      </c>
      <c r="C563" s="1" t="s">
        <v>289</v>
      </c>
      <c r="D563" s="4" t="s">
        <v>502</v>
      </c>
      <c r="E563" s="2" t="s">
        <v>256</v>
      </c>
      <c r="F563" s="2" t="s">
        <v>255</v>
      </c>
      <c r="G563" s="2" t="s">
        <v>257</v>
      </c>
      <c r="H563" s="3">
        <v>5</v>
      </c>
      <c r="I563" t="str">
        <f>IFERROR(VLOOKUP(Prestamos[[#This Row],[ID Libro]],Inventario_Libros!A:B,2,0),"Libro No Existe")</f>
        <v>Hamlet</v>
      </c>
      <c r="J563" t="str">
        <f>IFERROR(VLOOKUP(Prestamos[[#This Row],[ID Libro]],Inventario_Libros!A:C,3,0),"Libro No Existe")</f>
        <v>William Shakespeare</v>
      </c>
      <c r="K563" t="str">
        <f>IFERROR(VLOOKUP(Prestamos[[#This Row],[ID Libro]],Inventario_Libros!A:D,4,0),"Libro No Existe")</f>
        <v>Clásicos</v>
      </c>
      <c r="L563">
        <f>IFERROR(VLOOKUP(Prestamos[[#This Row],[ID Libro]],Inventario_Libros!A:E,5,0),"Libro No Existe")</f>
        <v>1880</v>
      </c>
      <c r="M563" t="str">
        <f>_xlfn.XLOOKUP(D:D,Inventario_Libros!A:A,Inventario_Libros!G:G,"No Existe",0)</f>
        <v>B-2</v>
      </c>
      <c r="N563" t="str">
        <f>IFERROR(VLOOKUP(Prestamos[[#This Row],[ID Libro]],Inventario_Libros!A:H,8,0),"Libro No Existe")</f>
        <v>Activo</v>
      </c>
    </row>
    <row r="564" spans="1:14" x14ac:dyDescent="0.3">
      <c r="A564" s="5" t="s">
        <v>1091</v>
      </c>
      <c r="B564" s="1">
        <v>45834</v>
      </c>
      <c r="C564" s="1">
        <v>45874</v>
      </c>
      <c r="D564" s="4" t="s">
        <v>385</v>
      </c>
      <c r="E564" s="2" t="s">
        <v>267</v>
      </c>
      <c r="F564" s="2" t="s">
        <v>275</v>
      </c>
      <c r="G564" s="2" t="s">
        <v>253</v>
      </c>
      <c r="H564" s="3">
        <v>25</v>
      </c>
      <c r="I564" t="str">
        <f>IFERROR(VLOOKUP(Prestamos[[#This Row],[ID Libro]],Inventario_Libros!A:B,2,0),"Libro No Existe")</f>
        <v>Cien Años De Soledad</v>
      </c>
      <c r="J564" t="str">
        <f>IFERROR(VLOOKUP(Prestamos[[#This Row],[ID Libro]],Inventario_Libros!A:C,3,0),"Libro No Existe")</f>
        <v>Gabriel García Márquez</v>
      </c>
      <c r="K564" t="str">
        <f>IFERROR(VLOOKUP(Prestamos[[#This Row],[ID Libro]],Inventario_Libros!A:D,4,0),"Libro No Existe")</f>
        <v>Novela</v>
      </c>
      <c r="L564">
        <f>IFERROR(VLOOKUP(Prestamos[[#This Row],[ID Libro]],Inventario_Libros!A:E,5,0),"Libro No Existe")</f>
        <v>2016</v>
      </c>
      <c r="M564" t="str">
        <f>_xlfn.XLOOKUP(D:D,Inventario_Libros!A:A,Inventario_Libros!G:G,"No Existe",0)</f>
        <v>C-3</v>
      </c>
      <c r="N564" t="str">
        <f>IFERROR(VLOOKUP(Prestamos[[#This Row],[ID Libro]],Inventario_Libros!A:H,8,0),"Libro No Existe")</f>
        <v>Activo</v>
      </c>
    </row>
    <row r="565" spans="1:14" x14ac:dyDescent="0.3">
      <c r="A565" s="5" t="s">
        <v>1092</v>
      </c>
      <c r="B565" s="1">
        <v>45984</v>
      </c>
      <c r="C565" s="1">
        <v>46024</v>
      </c>
      <c r="D565" s="4" t="s">
        <v>359</v>
      </c>
      <c r="E565" s="2" t="s">
        <v>261</v>
      </c>
      <c r="F565" s="2" t="s">
        <v>263</v>
      </c>
      <c r="G565" s="2" t="s">
        <v>253</v>
      </c>
      <c r="H565" s="3">
        <v>25</v>
      </c>
      <c r="I565" t="str">
        <f>IFERROR(VLOOKUP(Prestamos[[#This Row],[ID Libro]],Inventario_Libros!A:B,2,0),"Libro No Existe")</f>
        <v>Pedro Páramo</v>
      </c>
      <c r="J565" t="str">
        <f>IFERROR(VLOOKUP(Prestamos[[#This Row],[ID Libro]],Inventario_Libros!A:C,3,0),"Libro No Existe")</f>
        <v>Juan Rulfo</v>
      </c>
      <c r="K565" t="str">
        <f>IFERROR(VLOOKUP(Prestamos[[#This Row],[ID Libro]],Inventario_Libros!A:D,4,0),"Libro No Existe")</f>
        <v>Novela</v>
      </c>
      <c r="L565">
        <f>IFERROR(VLOOKUP(Prestamos[[#This Row],[ID Libro]],Inventario_Libros!A:E,5,0),"Libro No Existe")</f>
        <v>1920</v>
      </c>
      <c r="M565" t="str">
        <f>_xlfn.XLOOKUP(D:D,Inventario_Libros!A:A,Inventario_Libros!G:G,"No Existe",0)</f>
        <v>No Asignado</v>
      </c>
      <c r="N565" t="str">
        <f>IFERROR(VLOOKUP(Prestamos[[#This Row],[ID Libro]],Inventario_Libros!A:H,8,0),"Libro No Existe")</f>
        <v>Retirado</v>
      </c>
    </row>
    <row r="566" spans="1:14" x14ac:dyDescent="0.3">
      <c r="A566" s="5" t="s">
        <v>1093</v>
      </c>
      <c r="B566" s="1">
        <v>45876</v>
      </c>
      <c r="C566" s="1">
        <v>45916</v>
      </c>
      <c r="D566" s="4" t="s">
        <v>525</v>
      </c>
      <c r="E566" s="2" t="s">
        <v>270</v>
      </c>
      <c r="F566" s="2" t="s">
        <v>263</v>
      </c>
      <c r="G566" s="2" t="s">
        <v>279</v>
      </c>
      <c r="H566" s="3" t="s">
        <v>289</v>
      </c>
      <c r="I566" t="str">
        <f>IFERROR(VLOOKUP(Prestamos[[#This Row],[ID Libro]],Inventario_Libros!A:B,2,0),"Libro No Existe")</f>
        <v>Matar A Un Ruiseñor</v>
      </c>
      <c r="J566" t="str">
        <f>IFERROR(VLOOKUP(Prestamos[[#This Row],[ID Libro]],Inventario_Libros!A:C,3,0),"Libro No Existe")</f>
        <v>Harper Lee</v>
      </c>
      <c r="K566" t="str">
        <f>IFERROR(VLOOKUP(Prestamos[[#This Row],[ID Libro]],Inventario_Libros!A:D,4,0),"Libro No Existe")</f>
        <v>Novela</v>
      </c>
      <c r="L566">
        <f>IFERROR(VLOOKUP(Prestamos[[#This Row],[ID Libro]],Inventario_Libros!A:E,5,0),"Libro No Existe")</f>
        <v>1959</v>
      </c>
      <c r="M566" t="str">
        <f>_xlfn.XLOOKUP(D:D,Inventario_Libros!A:A,Inventario_Libros!G:G,"No Existe",0)</f>
        <v>C-3</v>
      </c>
      <c r="N566" t="str">
        <f>IFERROR(VLOOKUP(Prestamos[[#This Row],[ID Libro]],Inventario_Libros!A:H,8,0),"Libro No Existe")</f>
        <v>Activo</v>
      </c>
    </row>
    <row r="567" spans="1:14" x14ac:dyDescent="0.3">
      <c r="A567" s="5" t="s">
        <v>1094</v>
      </c>
      <c r="B567" s="1">
        <v>45897</v>
      </c>
      <c r="C567" s="1">
        <v>45937</v>
      </c>
      <c r="D567" s="4" t="s">
        <v>354</v>
      </c>
      <c r="E567" s="2" t="s">
        <v>256</v>
      </c>
      <c r="F567" s="2" t="s">
        <v>252</v>
      </c>
      <c r="G567" s="2" t="s">
        <v>279</v>
      </c>
      <c r="H567" s="3" t="s">
        <v>289</v>
      </c>
      <c r="I567" t="str">
        <f>IFERROR(VLOOKUP(Prestamos[[#This Row],[ID Libro]],Inventario_Libros!A:B,2,0),"Libro No Existe")</f>
        <v>La Sombra Del Viento</v>
      </c>
      <c r="J567" t="str">
        <f>IFERROR(VLOOKUP(Prestamos[[#This Row],[ID Libro]],Inventario_Libros!A:C,3,0),"Libro No Existe")</f>
        <v>Carlos Ruiz Zafón</v>
      </c>
      <c r="K567" t="str">
        <f>IFERROR(VLOOKUP(Prestamos[[#This Row],[ID Libro]],Inventario_Libros!A:D,4,0),"Libro No Existe")</f>
        <v>Misterio</v>
      </c>
      <c r="L567">
        <f>IFERROR(VLOOKUP(Prestamos[[#This Row],[ID Libro]],Inventario_Libros!A:E,5,0),"Libro No Existe")</f>
        <v>2022</v>
      </c>
      <c r="M567" t="str">
        <f>_xlfn.XLOOKUP(D:D,Inventario_Libros!A:A,Inventario_Libros!G:G,"No Existe",0)</f>
        <v>Est-1</v>
      </c>
      <c r="N567" t="str">
        <f>IFERROR(VLOOKUP(Prestamos[[#This Row],[ID Libro]],Inventario_Libros!A:H,8,0),"Libro No Existe")</f>
        <v>Activo</v>
      </c>
    </row>
    <row r="568" spans="1:14" x14ac:dyDescent="0.3">
      <c r="A568" s="5" t="s">
        <v>1095</v>
      </c>
      <c r="B568" s="1">
        <v>45907</v>
      </c>
      <c r="C568" s="1">
        <v>45947</v>
      </c>
      <c r="D568" s="4" t="s">
        <v>526</v>
      </c>
      <c r="E568" s="2" t="s">
        <v>274</v>
      </c>
      <c r="F568" s="2" t="s">
        <v>263</v>
      </c>
      <c r="G568" s="2" t="s">
        <v>253</v>
      </c>
      <c r="H568" s="3">
        <v>25</v>
      </c>
      <c r="I568" t="str">
        <f>IFERROR(VLOOKUP(Prestamos[[#This Row],[ID Libro]],Inventario_Libros!A:B,2,0),"Libro No Existe")</f>
        <v>Sobre La Felicidad</v>
      </c>
      <c r="J568" t="str">
        <f>IFERROR(VLOOKUP(Prestamos[[#This Row],[ID Libro]],Inventario_Libros!A:C,3,0),"Libro No Existe")</f>
        <v>Lucio Anneo Séneca</v>
      </c>
      <c r="K568" t="str">
        <f>IFERROR(VLOOKUP(Prestamos[[#This Row],[ID Libro]],Inventario_Libros!A:D,4,0),"Libro No Existe")</f>
        <v>Filosofía Y Pensamiento</v>
      </c>
      <c r="L568">
        <f>IFERROR(VLOOKUP(Prestamos[[#This Row],[ID Libro]],Inventario_Libros!A:E,5,0),"Libro No Existe")</f>
        <v>1940</v>
      </c>
      <c r="M568" t="str">
        <f>_xlfn.XLOOKUP(D:D,Inventario_Libros!A:A,Inventario_Libros!G:G,"No Existe",0)</f>
        <v>A-1</v>
      </c>
      <c r="N568" t="str">
        <f>IFERROR(VLOOKUP(Prestamos[[#This Row],[ID Libro]],Inventario_Libros!A:H,8,0),"Libro No Existe")</f>
        <v>Retirado</v>
      </c>
    </row>
    <row r="569" spans="1:14" x14ac:dyDescent="0.3">
      <c r="A569" s="5" t="s">
        <v>1096</v>
      </c>
      <c r="B569" s="1">
        <v>45889</v>
      </c>
      <c r="C569" s="1" t="s">
        <v>289</v>
      </c>
      <c r="D569" s="4" t="s">
        <v>423</v>
      </c>
      <c r="E569" s="2" t="s">
        <v>264</v>
      </c>
      <c r="F569" s="2" t="s">
        <v>263</v>
      </c>
      <c r="G569" s="2" t="s">
        <v>257</v>
      </c>
      <c r="H569" s="3">
        <v>5</v>
      </c>
      <c r="I569" t="str">
        <f>IFERROR(VLOOKUP(Prestamos[[#This Row],[ID Libro]],Inventario_Libros!A:B,2,0),"Libro No Existe")</f>
        <v>Orgullo Y Prejuicio</v>
      </c>
      <c r="J569" t="str">
        <f>IFERROR(VLOOKUP(Prestamos[[#This Row],[ID Libro]],Inventario_Libros!A:C,3,0),"Libro No Existe")</f>
        <v>Jane Austen</v>
      </c>
      <c r="K569" t="str">
        <f>IFERROR(VLOOKUP(Prestamos[[#This Row],[ID Libro]],Inventario_Libros!A:D,4,0),"Libro No Existe")</f>
        <v>Novela</v>
      </c>
      <c r="L569">
        <f>IFERROR(VLOOKUP(Prestamos[[#This Row],[ID Libro]],Inventario_Libros!A:E,5,0),"Libro No Existe")</f>
        <v>2009</v>
      </c>
      <c r="M569" t="str">
        <f>_xlfn.XLOOKUP(D:D,Inventario_Libros!A:A,Inventario_Libros!G:G,"No Existe",0)</f>
        <v>Est-1</v>
      </c>
      <c r="N569" t="str">
        <f>IFERROR(VLOOKUP(Prestamos[[#This Row],[ID Libro]],Inventario_Libros!A:H,8,0),"Libro No Existe")</f>
        <v>Retirado</v>
      </c>
    </row>
    <row r="570" spans="1:14" x14ac:dyDescent="0.3">
      <c r="A570" s="5" t="s">
        <v>1097</v>
      </c>
      <c r="B570" s="1">
        <v>45868</v>
      </c>
      <c r="C570" s="1">
        <v>45908</v>
      </c>
      <c r="D570" s="4" t="s">
        <v>343</v>
      </c>
      <c r="E570" s="2" t="s">
        <v>254</v>
      </c>
      <c r="F570" s="2" t="s">
        <v>263</v>
      </c>
      <c r="G570" s="2" t="s">
        <v>253</v>
      </c>
      <c r="H570" s="3">
        <v>25</v>
      </c>
      <c r="I570" t="str">
        <f>IFERROR(VLOOKUP(Prestamos[[#This Row],[ID Libro]],Inventario_Libros!A:B,2,0),"Libro No Existe")</f>
        <v>Los Detectives Salvajes</v>
      </c>
      <c r="J570" t="str">
        <f>IFERROR(VLOOKUP(Prestamos[[#This Row],[ID Libro]],Inventario_Libros!A:C,3,0),"Libro No Existe")</f>
        <v>Roberto Bolaño</v>
      </c>
      <c r="K570" t="str">
        <f>IFERROR(VLOOKUP(Prestamos[[#This Row],[ID Libro]],Inventario_Libros!A:D,4,0),"Libro No Existe")</f>
        <v>Novela</v>
      </c>
      <c r="L570">
        <f>IFERROR(VLOOKUP(Prestamos[[#This Row],[ID Libro]],Inventario_Libros!A:E,5,0),"Libro No Existe")</f>
        <v>1919</v>
      </c>
      <c r="M570" t="str">
        <f>_xlfn.XLOOKUP(D:D,Inventario_Libros!A:A,Inventario_Libros!G:G,"No Existe",0)</f>
        <v>B-2</v>
      </c>
      <c r="N570" t="str">
        <f>IFERROR(VLOOKUP(Prestamos[[#This Row],[ID Libro]],Inventario_Libros!A:H,8,0),"Libro No Existe")</f>
        <v>Activo</v>
      </c>
    </row>
    <row r="571" spans="1:14" x14ac:dyDescent="0.3">
      <c r="A571" s="5" t="s">
        <v>1098</v>
      </c>
      <c r="B571" s="1">
        <v>45699</v>
      </c>
      <c r="C571" s="1">
        <v>45739</v>
      </c>
      <c r="D571" s="4" t="s">
        <v>400</v>
      </c>
      <c r="E571" s="2" t="s">
        <v>269</v>
      </c>
      <c r="F571" s="2" t="s">
        <v>258</v>
      </c>
      <c r="G571" s="2" t="s">
        <v>279</v>
      </c>
      <c r="H571" s="3" t="s">
        <v>289</v>
      </c>
      <c r="I571" t="str">
        <f>IFERROR(VLOOKUP(Prestamos[[#This Row],[ID Libro]],Inventario_Libros!A:B,2,0),"Libro No Existe")</f>
        <v>El Principito</v>
      </c>
      <c r="J571" t="str">
        <f>IFERROR(VLOOKUP(Prestamos[[#This Row],[ID Libro]],Inventario_Libros!A:C,3,0),"Libro No Existe")</f>
        <v>Antoine De Saint-Exupéry</v>
      </c>
      <c r="K571" t="str">
        <f>IFERROR(VLOOKUP(Prestamos[[#This Row],[ID Libro]],Inventario_Libros!A:D,4,0),"Libro No Existe")</f>
        <v>Literatura Infantil / Fábula Filosófica</v>
      </c>
      <c r="L571">
        <f>IFERROR(VLOOKUP(Prestamos[[#This Row],[ID Libro]],Inventario_Libros!A:E,5,0),"Libro No Existe")</f>
        <v>2000</v>
      </c>
      <c r="M571" t="str">
        <f>_xlfn.XLOOKUP(D:D,Inventario_Libros!A:A,Inventario_Libros!G:G,"No Existe",0)</f>
        <v>A-1</v>
      </c>
      <c r="N571" t="str">
        <f>IFERROR(VLOOKUP(Prestamos[[#This Row],[ID Libro]],Inventario_Libros!A:H,8,0),"Libro No Existe")</f>
        <v>Retirado</v>
      </c>
    </row>
    <row r="572" spans="1:14" x14ac:dyDescent="0.3">
      <c r="A572" s="5" t="s">
        <v>1099</v>
      </c>
      <c r="B572" s="1">
        <v>45689</v>
      </c>
      <c r="C572" s="1" t="s">
        <v>289</v>
      </c>
      <c r="D572" s="4" t="s">
        <v>411</v>
      </c>
      <c r="E572" s="2" t="s">
        <v>269</v>
      </c>
      <c r="F572" s="2" t="s">
        <v>252</v>
      </c>
      <c r="G572" s="2" t="s">
        <v>257</v>
      </c>
      <c r="H572" s="3">
        <v>3</v>
      </c>
      <c r="I572" t="str">
        <f>IFERROR(VLOOKUP(Prestamos[[#This Row],[ID Libro]],Inventario_Libros!A:B,2,0),"Libro No Existe")</f>
        <v>La Casa De Los Espíritus</v>
      </c>
      <c r="J572" t="str">
        <f>IFERROR(VLOOKUP(Prestamos[[#This Row],[ID Libro]],Inventario_Libros!A:C,3,0),"Libro No Existe")</f>
        <v>Isabel Allende</v>
      </c>
      <c r="K572" t="str">
        <f>IFERROR(VLOOKUP(Prestamos[[#This Row],[ID Libro]],Inventario_Libros!A:D,4,0),"Libro No Existe")</f>
        <v>Novela</v>
      </c>
      <c r="L572">
        <f>IFERROR(VLOOKUP(Prestamos[[#This Row],[ID Libro]],Inventario_Libros!A:E,5,0),"Libro No Existe")</f>
        <v>2018</v>
      </c>
      <c r="M572" t="str">
        <f>_xlfn.XLOOKUP(D:D,Inventario_Libros!A:A,Inventario_Libros!G:G,"No Existe",0)</f>
        <v>Est-1</v>
      </c>
      <c r="N572" t="str">
        <f>IFERROR(VLOOKUP(Prestamos[[#This Row],[ID Libro]],Inventario_Libros!A:H,8,0),"Libro No Existe")</f>
        <v>Activo</v>
      </c>
    </row>
    <row r="573" spans="1:14" x14ac:dyDescent="0.3">
      <c r="A573" s="5" t="s">
        <v>1100</v>
      </c>
      <c r="B573" s="1">
        <v>45689</v>
      </c>
      <c r="C573" s="1">
        <v>45936</v>
      </c>
      <c r="D573" s="4" t="s">
        <v>527</v>
      </c>
      <c r="E573" s="2" t="s">
        <v>261</v>
      </c>
      <c r="F573" s="2" t="s">
        <v>258</v>
      </c>
      <c r="G573" s="2" t="s">
        <v>279</v>
      </c>
      <c r="H573" s="3" t="s">
        <v>289</v>
      </c>
      <c r="I573" t="str">
        <f>IFERROR(VLOOKUP(Prestamos[[#This Row],[ID Libro]],Inventario_Libros!A:B,2,0),"Libro No Existe")</f>
        <v>Libro No Existe</v>
      </c>
      <c r="J573" t="str">
        <f>IFERROR(VLOOKUP(Prestamos[[#This Row],[ID Libro]],Inventario_Libros!A:C,3,0),"Libro No Existe")</f>
        <v>Libro No Existe</v>
      </c>
      <c r="K573" t="str">
        <f>IFERROR(VLOOKUP(Prestamos[[#This Row],[ID Libro]],Inventario_Libros!A:D,4,0),"Libro No Existe")</f>
        <v>Libro No Existe</v>
      </c>
      <c r="L573" t="str">
        <f>IFERROR(VLOOKUP(Prestamos[[#This Row],[ID Libro]],Inventario_Libros!A:E,5,0),"Libro No Existe")</f>
        <v>Libro No Existe</v>
      </c>
      <c r="M573" t="str">
        <f>_xlfn.XLOOKUP(D:D,Inventario_Libros!A:A,Inventario_Libros!G:G,"No Existe",0)</f>
        <v>No Existe</v>
      </c>
      <c r="N573" t="str">
        <f>IFERROR(VLOOKUP(Prestamos[[#This Row],[ID Libro]],Inventario_Libros!A:H,8,0),"Libro No Existe")</f>
        <v>Libro No Existe</v>
      </c>
    </row>
    <row r="574" spans="1:14" x14ac:dyDescent="0.3">
      <c r="A574" s="5" t="s">
        <v>1101</v>
      </c>
      <c r="B574" s="1">
        <v>45689</v>
      </c>
      <c r="C574" s="1">
        <v>45957</v>
      </c>
      <c r="D574" s="4" t="s">
        <v>461</v>
      </c>
      <c r="E574" s="2" t="s">
        <v>261</v>
      </c>
      <c r="F574" s="2" t="s">
        <v>263</v>
      </c>
      <c r="G574" s="2" t="s">
        <v>279</v>
      </c>
      <c r="H574" s="3" t="s">
        <v>289</v>
      </c>
      <c r="I574" t="str">
        <f>IFERROR(VLOOKUP(Prestamos[[#This Row],[ID Libro]],Inventario_Libros!A:B,2,0),"Libro No Existe")</f>
        <v>La Ciudad Y Los Perros</v>
      </c>
      <c r="J574" t="str">
        <f>IFERROR(VLOOKUP(Prestamos[[#This Row],[ID Libro]],Inventario_Libros!A:C,3,0),"Libro No Existe")</f>
        <v>Mario Vargas Llosa</v>
      </c>
      <c r="K574" t="str">
        <f>IFERROR(VLOOKUP(Prestamos[[#This Row],[ID Libro]],Inventario_Libros!A:D,4,0),"Libro No Existe")</f>
        <v>Novela</v>
      </c>
      <c r="L574">
        <f>IFERROR(VLOOKUP(Prestamos[[#This Row],[ID Libro]],Inventario_Libros!A:E,5,0),"Libro No Existe")</f>
        <v>2009</v>
      </c>
      <c r="M574" t="str">
        <f>_xlfn.XLOOKUP(D:D,Inventario_Libros!A:A,Inventario_Libros!G:G,"No Existe",0)</f>
        <v>Est-1</v>
      </c>
      <c r="N574" t="str">
        <f>IFERROR(VLOOKUP(Prestamos[[#This Row],[ID Libro]],Inventario_Libros!A:H,8,0),"Libro No Existe")</f>
        <v>Retirado</v>
      </c>
    </row>
    <row r="575" spans="1:14" x14ac:dyDescent="0.3">
      <c r="A575" s="5" t="s">
        <v>1102</v>
      </c>
      <c r="B575" s="1">
        <v>45689</v>
      </c>
      <c r="C575" s="1">
        <v>45908</v>
      </c>
      <c r="D575" s="4" t="s">
        <v>502</v>
      </c>
      <c r="E575" s="2" t="s">
        <v>277</v>
      </c>
      <c r="F575" s="2" t="s">
        <v>258</v>
      </c>
      <c r="G575" s="2" t="s">
        <v>279</v>
      </c>
      <c r="H575" s="3" t="s">
        <v>289</v>
      </c>
      <c r="I575" t="str">
        <f>IFERROR(VLOOKUP(Prestamos[[#This Row],[ID Libro]],Inventario_Libros!A:B,2,0),"Libro No Existe")</f>
        <v>Hamlet</v>
      </c>
      <c r="J575" t="str">
        <f>IFERROR(VLOOKUP(Prestamos[[#This Row],[ID Libro]],Inventario_Libros!A:C,3,0),"Libro No Existe")</f>
        <v>William Shakespeare</v>
      </c>
      <c r="K575" t="str">
        <f>IFERROR(VLOOKUP(Prestamos[[#This Row],[ID Libro]],Inventario_Libros!A:D,4,0),"Libro No Existe")</f>
        <v>Clásicos</v>
      </c>
      <c r="L575">
        <f>IFERROR(VLOOKUP(Prestamos[[#This Row],[ID Libro]],Inventario_Libros!A:E,5,0),"Libro No Existe")</f>
        <v>1880</v>
      </c>
      <c r="M575" t="str">
        <f>_xlfn.XLOOKUP(D:D,Inventario_Libros!A:A,Inventario_Libros!G:G,"No Existe",0)</f>
        <v>B-2</v>
      </c>
      <c r="N575" t="str">
        <f>IFERROR(VLOOKUP(Prestamos[[#This Row],[ID Libro]],Inventario_Libros!A:H,8,0),"Libro No Existe")</f>
        <v>Activo</v>
      </c>
    </row>
    <row r="576" spans="1:14" x14ac:dyDescent="0.3">
      <c r="A576" s="5" t="s">
        <v>1103</v>
      </c>
      <c r="B576" s="1">
        <v>45689</v>
      </c>
      <c r="C576" s="1" t="s">
        <v>289</v>
      </c>
      <c r="D576" s="4" t="s">
        <v>359</v>
      </c>
      <c r="E576" s="2" t="s">
        <v>266</v>
      </c>
      <c r="F576" s="2" t="s">
        <v>263</v>
      </c>
      <c r="G576" s="2" t="s">
        <v>257</v>
      </c>
      <c r="H576" s="3">
        <v>3</v>
      </c>
      <c r="I576" t="str">
        <f>IFERROR(VLOOKUP(Prestamos[[#This Row],[ID Libro]],Inventario_Libros!A:B,2,0),"Libro No Existe")</f>
        <v>Pedro Páramo</v>
      </c>
      <c r="J576" t="str">
        <f>IFERROR(VLOOKUP(Prestamos[[#This Row],[ID Libro]],Inventario_Libros!A:C,3,0),"Libro No Existe")</f>
        <v>Juan Rulfo</v>
      </c>
      <c r="K576" t="str">
        <f>IFERROR(VLOOKUP(Prestamos[[#This Row],[ID Libro]],Inventario_Libros!A:D,4,0),"Libro No Existe")</f>
        <v>Novela</v>
      </c>
      <c r="L576">
        <f>IFERROR(VLOOKUP(Prestamos[[#This Row],[ID Libro]],Inventario_Libros!A:E,5,0),"Libro No Existe")</f>
        <v>1920</v>
      </c>
      <c r="M576" t="str">
        <f>_xlfn.XLOOKUP(D:D,Inventario_Libros!A:A,Inventario_Libros!G:G,"No Existe",0)</f>
        <v>No Asignado</v>
      </c>
      <c r="N576" t="str">
        <f>IFERROR(VLOOKUP(Prestamos[[#This Row],[ID Libro]],Inventario_Libros!A:H,8,0),"Libro No Existe")</f>
        <v>Retirado</v>
      </c>
    </row>
    <row r="577" spans="1:14" x14ac:dyDescent="0.3">
      <c r="A577" s="5" t="s">
        <v>1104</v>
      </c>
      <c r="B577" s="1">
        <v>45689</v>
      </c>
      <c r="C577" s="1">
        <v>45815</v>
      </c>
      <c r="D577" s="4" t="s">
        <v>344</v>
      </c>
      <c r="E577" s="2" t="s">
        <v>272</v>
      </c>
      <c r="F577" s="2" t="s">
        <v>255</v>
      </c>
      <c r="G577" s="2" t="s">
        <v>253</v>
      </c>
      <c r="H577" s="3">
        <v>0</v>
      </c>
      <c r="I577" t="str">
        <f>IFERROR(VLOOKUP(Prestamos[[#This Row],[ID Libro]],Inventario_Libros!A:B,2,0),"Libro No Existe")</f>
        <v>Matar A Un Ruiseñor</v>
      </c>
      <c r="J577" t="str">
        <f>IFERROR(VLOOKUP(Prestamos[[#This Row],[ID Libro]],Inventario_Libros!A:C,3,0),"Libro No Existe")</f>
        <v>Harper Lee</v>
      </c>
      <c r="K577" t="str">
        <f>IFERROR(VLOOKUP(Prestamos[[#This Row],[ID Libro]],Inventario_Libros!A:D,4,0),"Libro No Existe")</f>
        <v>Novela</v>
      </c>
      <c r="L577">
        <f>IFERROR(VLOOKUP(Prestamos[[#This Row],[ID Libro]],Inventario_Libros!A:E,5,0),"Libro No Existe")</f>
        <v>1981</v>
      </c>
      <c r="M577" t="str">
        <f>_xlfn.XLOOKUP(D:D,Inventario_Libros!A:A,Inventario_Libros!G:G,"No Existe",0)</f>
        <v>C-3</v>
      </c>
      <c r="N577" t="str">
        <f>IFERROR(VLOOKUP(Prestamos[[#This Row],[ID Libro]],Inventario_Libros!A:H,8,0),"Libro No Existe")</f>
        <v>Retirado</v>
      </c>
    </row>
    <row r="578" spans="1:14" x14ac:dyDescent="0.3">
      <c r="A578" s="5" t="s">
        <v>1105</v>
      </c>
      <c r="B578" s="1">
        <v>45689</v>
      </c>
      <c r="C578" s="1" t="s">
        <v>289</v>
      </c>
      <c r="D578" s="4" t="s">
        <v>507</v>
      </c>
      <c r="E578" s="2" t="s">
        <v>256</v>
      </c>
      <c r="F578" s="2" t="s">
        <v>258</v>
      </c>
      <c r="G578" s="2" t="s">
        <v>253</v>
      </c>
      <c r="H578" s="3">
        <v>3</v>
      </c>
      <c r="I578" t="str">
        <f>IFERROR(VLOOKUP(Prestamos[[#This Row],[ID Libro]],Inventario_Libros!A:B,2,0),"Libro No Existe")</f>
        <v>El Túnel</v>
      </c>
      <c r="J578" t="str">
        <f>IFERROR(VLOOKUP(Prestamos[[#This Row],[ID Libro]],Inventario_Libros!A:C,3,0),"Libro No Existe")</f>
        <v>Ernesto Sabato</v>
      </c>
      <c r="K578" t="str">
        <f>IFERROR(VLOOKUP(Prestamos[[#This Row],[ID Libro]],Inventario_Libros!A:D,4,0),"Libro No Existe")</f>
        <v>Novela</v>
      </c>
      <c r="L578">
        <f>IFERROR(VLOOKUP(Prestamos[[#This Row],[ID Libro]],Inventario_Libros!A:E,5,0),"Libro No Existe")</f>
        <v>1943</v>
      </c>
      <c r="M578" t="str">
        <f>_xlfn.XLOOKUP(D:D,Inventario_Libros!A:A,Inventario_Libros!G:G,"No Existe",0)</f>
        <v>Est-1</v>
      </c>
      <c r="N578" t="str">
        <f>IFERROR(VLOOKUP(Prestamos[[#This Row],[ID Libro]],Inventario_Libros!A:H,8,0),"Libro No Existe")</f>
        <v>Retirado</v>
      </c>
    </row>
    <row r="579" spans="1:14" x14ac:dyDescent="0.3">
      <c r="A579" s="5" t="s">
        <v>1106</v>
      </c>
      <c r="B579" s="1">
        <v>45689</v>
      </c>
      <c r="C579" s="1">
        <v>45765</v>
      </c>
      <c r="D579" s="4" t="s">
        <v>457</v>
      </c>
      <c r="E579" s="2" t="s">
        <v>256</v>
      </c>
      <c r="F579" s="2" t="s">
        <v>252</v>
      </c>
      <c r="G579" s="2" t="s">
        <v>253</v>
      </c>
      <c r="H579" s="3">
        <v>0</v>
      </c>
      <c r="I579" t="str">
        <f>IFERROR(VLOOKUP(Prestamos[[#This Row],[ID Libro]],Inventario_Libros!A:B,2,0),"Libro No Existe")</f>
        <v>Sobre La Felicidad</v>
      </c>
      <c r="J579" t="str">
        <f>IFERROR(VLOOKUP(Prestamos[[#This Row],[ID Libro]],Inventario_Libros!A:C,3,0),"Libro No Existe")</f>
        <v>Lucio Anneo Séneca</v>
      </c>
      <c r="K579" t="str">
        <f>IFERROR(VLOOKUP(Prestamos[[#This Row],[ID Libro]],Inventario_Libros!A:D,4,0),"Libro No Existe")</f>
        <v>Filosofía Y Pensamiento</v>
      </c>
      <c r="L579">
        <f>IFERROR(VLOOKUP(Prestamos[[#This Row],[ID Libro]],Inventario_Libros!A:E,5,0),"Libro No Existe")</f>
        <v>1895</v>
      </c>
      <c r="M579" t="str">
        <f>_xlfn.XLOOKUP(D:D,Inventario_Libros!A:A,Inventario_Libros!G:G,"No Existe",0)</f>
        <v>A-1</v>
      </c>
      <c r="N579" t="str">
        <f>IFERROR(VLOOKUP(Prestamos[[#This Row],[ID Libro]],Inventario_Libros!A:H,8,0),"Libro No Existe")</f>
        <v>Retirado</v>
      </c>
    </row>
    <row r="580" spans="1:14" x14ac:dyDescent="0.3">
      <c r="A580" s="5" t="s">
        <v>1107</v>
      </c>
      <c r="B580" s="1">
        <v>45689</v>
      </c>
      <c r="C580" s="1">
        <v>45936</v>
      </c>
      <c r="D580" s="4" t="s">
        <v>377</v>
      </c>
      <c r="E580" s="2" t="s">
        <v>251</v>
      </c>
      <c r="F580" s="2" t="s">
        <v>258</v>
      </c>
      <c r="G580" s="2" t="s">
        <v>253</v>
      </c>
      <c r="H580" s="3">
        <v>0</v>
      </c>
      <c r="I580" t="str">
        <f>IFERROR(VLOOKUP(Prestamos[[#This Row],[ID Libro]],Inventario_Libros!A:B,2,0),"Libro No Existe")</f>
        <v>Orgullo Y Prejuicio</v>
      </c>
      <c r="J580" t="str">
        <f>IFERROR(VLOOKUP(Prestamos[[#This Row],[ID Libro]],Inventario_Libros!A:C,3,0),"Libro No Existe")</f>
        <v>Jane Austen</v>
      </c>
      <c r="K580" t="str">
        <f>IFERROR(VLOOKUP(Prestamos[[#This Row],[ID Libro]],Inventario_Libros!A:D,4,0),"Libro No Existe")</f>
        <v>Novela</v>
      </c>
      <c r="L580">
        <f>IFERROR(VLOOKUP(Prestamos[[#This Row],[ID Libro]],Inventario_Libros!A:E,5,0),"Libro No Existe")</f>
        <v>1934</v>
      </c>
      <c r="M580" t="str">
        <f>_xlfn.XLOOKUP(D:D,Inventario_Libros!A:A,Inventario_Libros!G:G,"No Existe",0)</f>
        <v>A-1</v>
      </c>
      <c r="N580" t="str">
        <f>IFERROR(VLOOKUP(Prestamos[[#This Row],[ID Libro]],Inventario_Libros!A:H,8,0),"Libro No Existe")</f>
        <v>Activo</v>
      </c>
    </row>
    <row r="581" spans="1:14" x14ac:dyDescent="0.3">
      <c r="A581" s="5" t="s">
        <v>1108</v>
      </c>
      <c r="B581" s="1">
        <v>45689</v>
      </c>
      <c r="C581" s="1" t="s">
        <v>289</v>
      </c>
      <c r="D581" s="4" t="s">
        <v>373</v>
      </c>
      <c r="E581" s="2" t="s">
        <v>259</v>
      </c>
      <c r="F581" s="2" t="s">
        <v>252</v>
      </c>
      <c r="G581" s="2" t="s">
        <v>257</v>
      </c>
      <c r="H581" s="3">
        <v>5</v>
      </c>
      <c r="I581" t="str">
        <f>IFERROR(VLOOKUP(Prestamos[[#This Row],[ID Libro]],Inventario_Libros!A:B,2,0),"Libro No Existe")</f>
        <v>Ficciones</v>
      </c>
      <c r="J581" t="str">
        <f>IFERROR(VLOOKUP(Prestamos[[#This Row],[ID Libro]],Inventario_Libros!A:C,3,0),"Libro No Existe")</f>
        <v>Jorge Luis Borges</v>
      </c>
      <c r="K581" t="str">
        <f>IFERROR(VLOOKUP(Prestamos[[#This Row],[ID Libro]],Inventario_Libros!A:D,4,0),"Libro No Existe")</f>
        <v>Cuentos / Fantasía Metafísica</v>
      </c>
      <c r="L581">
        <f>IFERROR(VLOOKUP(Prestamos[[#This Row],[ID Libro]],Inventario_Libros!A:E,5,0),"Libro No Existe")</f>
        <v>1990</v>
      </c>
      <c r="M581" t="str">
        <f>_xlfn.XLOOKUP(D:D,Inventario_Libros!A:A,Inventario_Libros!G:G,"No Existe",0)</f>
        <v>B-2</v>
      </c>
      <c r="N581" t="str">
        <f>IFERROR(VLOOKUP(Prestamos[[#This Row],[ID Libro]],Inventario_Libros!A:H,8,0),"Libro No Existe")</f>
        <v>Retirado</v>
      </c>
    </row>
    <row r="582" spans="1:14" x14ac:dyDescent="0.3">
      <c r="A582" s="5" t="s">
        <v>1109</v>
      </c>
      <c r="B582" s="1">
        <v>45689</v>
      </c>
      <c r="C582" s="1" t="s">
        <v>289</v>
      </c>
      <c r="D582" s="4" t="s">
        <v>528</v>
      </c>
      <c r="E582" s="2" t="s">
        <v>274</v>
      </c>
      <c r="F582" s="2" t="s">
        <v>252</v>
      </c>
      <c r="G582" s="2" t="s">
        <v>257</v>
      </c>
      <c r="H582" s="3">
        <v>3</v>
      </c>
      <c r="I582" t="str">
        <f>IFERROR(VLOOKUP(Prestamos[[#This Row],[ID Libro]],Inventario_Libros!A:B,2,0),"Libro No Existe")</f>
        <v>La Tregua</v>
      </c>
      <c r="J582" t="str">
        <f>IFERROR(VLOOKUP(Prestamos[[#This Row],[ID Libro]],Inventario_Libros!A:C,3,0),"Libro No Existe")</f>
        <v>Mario Benedetti</v>
      </c>
      <c r="K582" t="str">
        <f>IFERROR(VLOOKUP(Prestamos[[#This Row],[ID Libro]],Inventario_Libros!A:D,4,0),"Libro No Existe")</f>
        <v>Novela</v>
      </c>
      <c r="L582">
        <f>IFERROR(VLOOKUP(Prestamos[[#This Row],[ID Libro]],Inventario_Libros!A:E,5,0),"Libro No Existe")</f>
        <v>1962</v>
      </c>
      <c r="M582" t="str">
        <f>_xlfn.XLOOKUP(D:D,Inventario_Libros!A:A,Inventario_Libros!G:G,"No Existe",0)</f>
        <v>No Asignado</v>
      </c>
      <c r="N582" t="str">
        <f>IFERROR(VLOOKUP(Prestamos[[#This Row],[ID Libro]],Inventario_Libros!A:H,8,0),"Libro No Existe")</f>
        <v>Retirado</v>
      </c>
    </row>
    <row r="583" spans="1:14" x14ac:dyDescent="0.3">
      <c r="A583" s="5" t="s">
        <v>1110</v>
      </c>
      <c r="B583" s="1">
        <v>45689</v>
      </c>
      <c r="C583" s="1" t="s">
        <v>289</v>
      </c>
      <c r="D583" s="4" t="s">
        <v>360</v>
      </c>
      <c r="E583" s="2" t="s">
        <v>261</v>
      </c>
      <c r="F583" s="2" t="s">
        <v>258</v>
      </c>
      <c r="G583" s="2" t="s">
        <v>257</v>
      </c>
      <c r="H583" s="3">
        <v>3</v>
      </c>
      <c r="I583" t="str">
        <f>IFERROR(VLOOKUP(Prestamos[[#This Row],[ID Libro]],Inventario_Libros!A:B,2,0),"Libro No Existe")</f>
        <v>Sobre La Felicidad</v>
      </c>
      <c r="J583" t="str">
        <f>IFERROR(VLOOKUP(Prestamos[[#This Row],[ID Libro]],Inventario_Libros!A:C,3,0),"Libro No Existe")</f>
        <v>Lucio Anneo Séneca</v>
      </c>
      <c r="K583" t="str">
        <f>IFERROR(VLOOKUP(Prestamos[[#This Row],[ID Libro]],Inventario_Libros!A:D,4,0),"Libro No Existe")</f>
        <v>Filosofía Y Pensamiento</v>
      </c>
      <c r="L583">
        <f>IFERROR(VLOOKUP(Prestamos[[#This Row],[ID Libro]],Inventario_Libros!A:E,5,0),"Libro No Existe")</f>
        <v>1917</v>
      </c>
      <c r="M583" t="str">
        <f>_xlfn.XLOOKUP(D:D,Inventario_Libros!A:A,Inventario_Libros!G:G,"No Existe",0)</f>
        <v>B-2</v>
      </c>
      <c r="N583" t="str">
        <f>IFERROR(VLOOKUP(Prestamos[[#This Row],[ID Libro]],Inventario_Libros!A:H,8,0),"Libro No Existe")</f>
        <v>Retirado</v>
      </c>
    </row>
    <row r="584" spans="1:14" x14ac:dyDescent="0.3">
      <c r="A584" s="5" t="s">
        <v>1111</v>
      </c>
      <c r="B584" s="1">
        <v>45689</v>
      </c>
      <c r="C584" s="1">
        <v>46008</v>
      </c>
      <c r="D584" s="4" t="s">
        <v>392</v>
      </c>
      <c r="E584" s="2" t="s">
        <v>266</v>
      </c>
      <c r="F584" s="2" t="s">
        <v>255</v>
      </c>
      <c r="G584" s="2" t="s">
        <v>279</v>
      </c>
      <c r="H584" s="3" t="s">
        <v>289</v>
      </c>
      <c r="I584" t="str">
        <f>IFERROR(VLOOKUP(Prestamos[[#This Row],[ID Libro]],Inventario_Libros!A:B,2,0),"Libro No Existe")</f>
        <v>Ficciones</v>
      </c>
      <c r="J584" t="str">
        <f>IFERROR(VLOOKUP(Prestamos[[#This Row],[ID Libro]],Inventario_Libros!A:C,3,0),"Libro No Existe")</f>
        <v>Jorge Luis Borges</v>
      </c>
      <c r="K584" t="str">
        <f>IFERROR(VLOOKUP(Prestamos[[#This Row],[ID Libro]],Inventario_Libros!A:D,4,0),"Libro No Existe")</f>
        <v>Cuentos / Fantasía Metafísica</v>
      </c>
      <c r="L584">
        <f>IFERROR(VLOOKUP(Prestamos[[#This Row],[ID Libro]],Inventario_Libros!A:E,5,0),"Libro No Existe")</f>
        <v>2022</v>
      </c>
      <c r="M584" t="str">
        <f>_xlfn.XLOOKUP(D:D,Inventario_Libros!A:A,Inventario_Libros!G:G,"No Existe",0)</f>
        <v>A-1</v>
      </c>
      <c r="N584" t="str">
        <f>IFERROR(VLOOKUP(Prestamos[[#This Row],[ID Libro]],Inventario_Libros!A:H,8,0),"Libro No Existe")</f>
        <v>Retirado</v>
      </c>
    </row>
    <row r="585" spans="1:14" x14ac:dyDescent="0.3">
      <c r="A585" s="5" t="s">
        <v>1112</v>
      </c>
      <c r="B585" s="1">
        <v>45689</v>
      </c>
      <c r="C585" s="1" t="s">
        <v>289</v>
      </c>
      <c r="D585" s="4" t="s">
        <v>491</v>
      </c>
      <c r="E585" s="2" t="s">
        <v>273</v>
      </c>
      <c r="F585" s="2" t="s">
        <v>263</v>
      </c>
      <c r="G585" s="2" t="s">
        <v>257</v>
      </c>
      <c r="H585" s="3">
        <v>5</v>
      </c>
      <c r="I585" t="str">
        <f>IFERROR(VLOOKUP(Prestamos[[#This Row],[ID Libro]],Inventario_Libros!A:B,2,0),"Libro No Existe")</f>
        <v>La Casa De Los Espíritus</v>
      </c>
      <c r="J585" t="str">
        <f>IFERROR(VLOOKUP(Prestamos[[#This Row],[ID Libro]],Inventario_Libros!A:C,3,0),"Libro No Existe")</f>
        <v>Isabel Allende</v>
      </c>
      <c r="K585" t="str">
        <f>IFERROR(VLOOKUP(Prestamos[[#This Row],[ID Libro]],Inventario_Libros!A:D,4,0),"Libro No Existe")</f>
        <v>Novela</v>
      </c>
      <c r="L585">
        <f>IFERROR(VLOOKUP(Prestamos[[#This Row],[ID Libro]],Inventario_Libros!A:E,5,0),"Libro No Existe")</f>
        <v>1970</v>
      </c>
      <c r="M585" t="str">
        <f>_xlfn.XLOOKUP(D:D,Inventario_Libros!A:A,Inventario_Libros!G:G,"No Existe",0)</f>
        <v>C-3</v>
      </c>
      <c r="N585" t="str">
        <f>IFERROR(VLOOKUP(Prestamos[[#This Row],[ID Libro]],Inventario_Libros!A:H,8,0),"Libro No Existe")</f>
        <v>Activo</v>
      </c>
    </row>
    <row r="586" spans="1:14" x14ac:dyDescent="0.3">
      <c r="A586" s="5" t="s">
        <v>1113</v>
      </c>
      <c r="B586" s="1">
        <v>45689</v>
      </c>
      <c r="C586" s="1" t="s">
        <v>289</v>
      </c>
      <c r="D586" s="4" t="s">
        <v>359</v>
      </c>
      <c r="E586" s="2" t="s">
        <v>262</v>
      </c>
      <c r="F586" s="2" t="s">
        <v>255</v>
      </c>
      <c r="G586" s="2" t="s">
        <v>257</v>
      </c>
      <c r="H586" s="3">
        <v>3</v>
      </c>
      <c r="I586" t="str">
        <f>IFERROR(VLOOKUP(Prestamos[[#This Row],[ID Libro]],Inventario_Libros!A:B,2,0),"Libro No Existe")</f>
        <v>Pedro Páramo</v>
      </c>
      <c r="J586" t="str">
        <f>IFERROR(VLOOKUP(Prestamos[[#This Row],[ID Libro]],Inventario_Libros!A:C,3,0),"Libro No Existe")</f>
        <v>Juan Rulfo</v>
      </c>
      <c r="K586" t="str">
        <f>IFERROR(VLOOKUP(Prestamos[[#This Row],[ID Libro]],Inventario_Libros!A:D,4,0),"Libro No Existe")</f>
        <v>Novela</v>
      </c>
      <c r="L586">
        <f>IFERROR(VLOOKUP(Prestamos[[#This Row],[ID Libro]],Inventario_Libros!A:E,5,0),"Libro No Existe")</f>
        <v>1920</v>
      </c>
      <c r="M586" t="str">
        <f>_xlfn.XLOOKUP(D:D,Inventario_Libros!A:A,Inventario_Libros!G:G,"No Existe",0)</f>
        <v>No Asignado</v>
      </c>
      <c r="N586" t="str">
        <f>IFERROR(VLOOKUP(Prestamos[[#This Row],[ID Libro]],Inventario_Libros!A:H,8,0),"Libro No Existe")</f>
        <v>Retirado</v>
      </c>
    </row>
    <row r="587" spans="1:14" x14ac:dyDescent="0.3">
      <c r="A587" s="5" t="s">
        <v>1114</v>
      </c>
      <c r="B587" s="1">
        <v>45689</v>
      </c>
      <c r="C587" s="1" t="s">
        <v>289</v>
      </c>
      <c r="D587" s="4" t="s">
        <v>513</v>
      </c>
      <c r="E587" s="2" t="s">
        <v>264</v>
      </c>
      <c r="F587" s="2" t="s">
        <v>275</v>
      </c>
      <c r="G587" s="2" t="s">
        <v>257</v>
      </c>
      <c r="H587" s="3">
        <v>3</v>
      </c>
      <c r="I587" t="str">
        <f>IFERROR(VLOOKUP(Prestamos[[#This Row],[ID Libro]],Inventario_Libros!A:B,2,0),"Libro No Existe")</f>
        <v>El Aleph</v>
      </c>
      <c r="J587" t="str">
        <f>IFERROR(VLOOKUP(Prestamos[[#This Row],[ID Libro]],Inventario_Libros!A:C,3,0),"Libro No Existe")</f>
        <v>Jorge Luis Borges</v>
      </c>
      <c r="K587" t="str">
        <f>IFERROR(VLOOKUP(Prestamos[[#This Row],[ID Libro]],Inventario_Libros!A:D,4,0),"Libro No Existe")</f>
        <v>Cuentos / Fantasía Metafísica</v>
      </c>
      <c r="L587">
        <f>IFERROR(VLOOKUP(Prestamos[[#This Row],[ID Libro]],Inventario_Libros!A:E,5,0),"Libro No Existe")</f>
        <v>1977</v>
      </c>
      <c r="M587" t="str">
        <f>_xlfn.XLOOKUP(D:D,Inventario_Libros!A:A,Inventario_Libros!G:G,"No Existe",0)</f>
        <v>No Asignado</v>
      </c>
      <c r="N587" t="str">
        <f>IFERROR(VLOOKUP(Prestamos[[#This Row],[ID Libro]],Inventario_Libros!A:H,8,0),"Libro No Existe")</f>
        <v>Activo</v>
      </c>
    </row>
    <row r="588" spans="1:14" x14ac:dyDescent="0.3">
      <c r="A588" s="5" t="s">
        <v>1115</v>
      </c>
      <c r="B588" s="1">
        <v>45689</v>
      </c>
      <c r="C588" s="1" t="s">
        <v>289</v>
      </c>
      <c r="D588" s="4" t="s">
        <v>381</v>
      </c>
      <c r="E588" s="2" t="s">
        <v>273</v>
      </c>
      <c r="F588" s="2" t="s">
        <v>263</v>
      </c>
      <c r="G588" s="2" t="s">
        <v>257</v>
      </c>
      <c r="H588" s="3">
        <v>5</v>
      </c>
      <c r="I588" t="str">
        <f>IFERROR(VLOOKUP(Prestamos[[#This Row],[ID Libro]],Inventario_Libros!A:B,2,0),"Libro No Existe")</f>
        <v>Rebelión En La Granja</v>
      </c>
      <c r="J588" t="str">
        <f>IFERROR(VLOOKUP(Prestamos[[#This Row],[ID Libro]],Inventario_Libros!A:C,3,0),"Libro No Existe")</f>
        <v>George Orwell</v>
      </c>
      <c r="K588" t="str">
        <f>IFERROR(VLOOKUP(Prestamos[[#This Row],[ID Libro]],Inventario_Libros!A:D,4,0),"Libro No Existe")</f>
        <v>Ciencia Ficción</v>
      </c>
      <c r="L588">
        <f>IFERROR(VLOOKUP(Prestamos[[#This Row],[ID Libro]],Inventario_Libros!A:E,5,0),"Libro No Existe")</f>
        <v>1995</v>
      </c>
      <c r="M588" t="str">
        <f>_xlfn.XLOOKUP(D:D,Inventario_Libros!A:A,Inventario_Libros!G:G,"No Existe",0)</f>
        <v>A-1</v>
      </c>
      <c r="N588" t="str">
        <f>IFERROR(VLOOKUP(Prestamos[[#This Row],[ID Libro]],Inventario_Libros!A:H,8,0),"Libro No Existe")</f>
        <v>Activo</v>
      </c>
    </row>
    <row r="589" spans="1:14" x14ac:dyDescent="0.3">
      <c r="A589" s="5" t="s">
        <v>1116</v>
      </c>
      <c r="B589" s="1">
        <v>45689</v>
      </c>
      <c r="C589" s="1" t="s">
        <v>289</v>
      </c>
      <c r="D589" s="4" t="s">
        <v>375</v>
      </c>
      <c r="E589" s="2" t="s">
        <v>277</v>
      </c>
      <c r="F589" s="2" t="s">
        <v>252</v>
      </c>
      <c r="G589" s="2" t="s">
        <v>253</v>
      </c>
      <c r="H589" s="3">
        <v>0</v>
      </c>
      <c r="I589" t="str">
        <f>IFERROR(VLOOKUP(Prestamos[[#This Row],[ID Libro]],Inventario_Libros!A:B,2,0),"Libro No Existe")</f>
        <v>Matadero Cinco</v>
      </c>
      <c r="J589" t="str">
        <f>IFERROR(VLOOKUP(Prestamos[[#This Row],[ID Libro]],Inventario_Libros!A:C,3,0),"Libro No Existe")</f>
        <v>Kurt Vonnegut</v>
      </c>
      <c r="K589" t="str">
        <f>IFERROR(VLOOKUP(Prestamos[[#This Row],[ID Libro]],Inventario_Libros!A:D,4,0),"Libro No Existe")</f>
        <v>Ciencia Ficción</v>
      </c>
      <c r="L589">
        <f>IFERROR(VLOOKUP(Prestamos[[#This Row],[ID Libro]],Inventario_Libros!A:E,5,0),"Libro No Existe")</f>
        <v>1923</v>
      </c>
      <c r="M589" t="str">
        <f>_xlfn.XLOOKUP(D:D,Inventario_Libros!A:A,Inventario_Libros!G:G,"No Existe",0)</f>
        <v>Est-1</v>
      </c>
      <c r="N589" t="str">
        <f>IFERROR(VLOOKUP(Prestamos[[#This Row],[ID Libro]],Inventario_Libros!A:H,8,0),"Libro No Existe")</f>
        <v>Retirado</v>
      </c>
    </row>
    <row r="590" spans="1:14" x14ac:dyDescent="0.3">
      <c r="A590" s="5" t="s">
        <v>1117</v>
      </c>
      <c r="B590" s="1">
        <v>45689</v>
      </c>
      <c r="C590" s="1">
        <v>45834</v>
      </c>
      <c r="D590" s="4" t="s">
        <v>349</v>
      </c>
      <c r="E590" s="2" t="s">
        <v>259</v>
      </c>
      <c r="F590" s="2" t="s">
        <v>258</v>
      </c>
      <c r="G590" s="2" t="s">
        <v>279</v>
      </c>
      <c r="H590" s="3" t="s">
        <v>289</v>
      </c>
      <c r="I590" t="str">
        <f>IFERROR(VLOOKUP(Prestamos[[#This Row],[ID Libro]],Inventario_Libros!A:B,2,0),"Libro No Existe")</f>
        <v>Los Detectives Salvajes</v>
      </c>
      <c r="J590" t="str">
        <f>IFERROR(VLOOKUP(Prestamos[[#This Row],[ID Libro]],Inventario_Libros!A:C,3,0),"Libro No Existe")</f>
        <v>Roberto Bolaño</v>
      </c>
      <c r="K590" t="str">
        <f>IFERROR(VLOOKUP(Prestamos[[#This Row],[ID Libro]],Inventario_Libros!A:D,4,0),"Libro No Existe")</f>
        <v>Novela</v>
      </c>
      <c r="L590">
        <f>IFERROR(VLOOKUP(Prestamos[[#This Row],[ID Libro]],Inventario_Libros!A:E,5,0),"Libro No Existe")</f>
        <v>1914</v>
      </c>
      <c r="M590" t="str">
        <f>_xlfn.XLOOKUP(D:D,Inventario_Libros!A:A,Inventario_Libros!G:G,"No Existe",0)</f>
        <v>C-3</v>
      </c>
      <c r="N590" t="str">
        <f>IFERROR(VLOOKUP(Prestamos[[#This Row],[ID Libro]],Inventario_Libros!A:H,8,0),"Libro No Existe")</f>
        <v>Retirado</v>
      </c>
    </row>
    <row r="591" spans="1:14" x14ac:dyDescent="0.3">
      <c r="A591" s="5" t="s">
        <v>1118</v>
      </c>
      <c r="B591" s="1">
        <v>45689</v>
      </c>
      <c r="C591" s="1">
        <v>45980</v>
      </c>
      <c r="D591" s="4" t="s">
        <v>355</v>
      </c>
      <c r="E591" s="2" t="s">
        <v>276</v>
      </c>
      <c r="F591" s="2" t="s">
        <v>263</v>
      </c>
      <c r="G591" s="2" t="s">
        <v>279</v>
      </c>
      <c r="H591" s="3" t="s">
        <v>289</v>
      </c>
      <c r="I591" t="str">
        <f>IFERROR(VLOOKUP(Prestamos[[#This Row],[ID Libro]],Inventario_Libros!A:B,2,0),"Libro No Existe")</f>
        <v>La Iliada</v>
      </c>
      <c r="J591" t="str">
        <f>IFERROR(VLOOKUP(Prestamos[[#This Row],[ID Libro]],Inventario_Libros!A:C,3,0),"Libro No Existe")</f>
        <v>Homero</v>
      </c>
      <c r="K591" t="str">
        <f>IFERROR(VLOOKUP(Prestamos[[#This Row],[ID Libro]],Inventario_Libros!A:D,4,0),"Libro No Existe")</f>
        <v>Clásicos</v>
      </c>
      <c r="L591">
        <f>IFERROR(VLOOKUP(Prestamos[[#This Row],[ID Libro]],Inventario_Libros!A:E,5,0),"Libro No Existe")</f>
        <v>2021</v>
      </c>
      <c r="M591" t="str">
        <f>_xlfn.XLOOKUP(D:D,Inventario_Libros!A:A,Inventario_Libros!G:G,"No Existe",0)</f>
        <v>Est-1</v>
      </c>
      <c r="N591" t="str">
        <f>IFERROR(VLOOKUP(Prestamos[[#This Row],[ID Libro]],Inventario_Libros!A:H,8,0),"Libro No Existe")</f>
        <v>Activo</v>
      </c>
    </row>
    <row r="592" spans="1:14" x14ac:dyDescent="0.3">
      <c r="A592" s="5" t="s">
        <v>1119</v>
      </c>
      <c r="B592" s="1">
        <v>45689</v>
      </c>
      <c r="C592" s="1">
        <v>45701</v>
      </c>
      <c r="D592" s="4" t="s">
        <v>505</v>
      </c>
      <c r="E592" s="2" t="s">
        <v>265</v>
      </c>
      <c r="F592" s="2" t="s">
        <v>263</v>
      </c>
      <c r="G592" s="2" t="s">
        <v>279</v>
      </c>
      <c r="H592" s="3" t="s">
        <v>289</v>
      </c>
      <c r="I592" t="str">
        <f>IFERROR(VLOOKUP(Prestamos[[#This Row],[ID Libro]],Inventario_Libros!A:B,2,0),"Libro No Existe")</f>
        <v>La Ciudad Y Los Perros</v>
      </c>
      <c r="J592" t="str">
        <f>IFERROR(VLOOKUP(Prestamos[[#This Row],[ID Libro]],Inventario_Libros!A:C,3,0),"Libro No Existe")</f>
        <v>Mario Vargas Llosa</v>
      </c>
      <c r="K592" t="str">
        <f>IFERROR(VLOOKUP(Prestamos[[#This Row],[ID Libro]],Inventario_Libros!A:D,4,0),"Libro No Existe")</f>
        <v>Novela</v>
      </c>
      <c r="L592">
        <f>IFERROR(VLOOKUP(Prestamos[[#This Row],[ID Libro]],Inventario_Libros!A:E,5,0),"Libro No Existe")</f>
        <v>2018</v>
      </c>
      <c r="M592" t="str">
        <f>_xlfn.XLOOKUP(D:D,Inventario_Libros!A:A,Inventario_Libros!G:G,"No Existe",0)</f>
        <v>Est-1</v>
      </c>
      <c r="N592" t="str">
        <f>IFERROR(VLOOKUP(Prestamos[[#This Row],[ID Libro]],Inventario_Libros!A:H,8,0),"Libro No Existe")</f>
        <v>Retirado</v>
      </c>
    </row>
    <row r="593" spans="1:14" x14ac:dyDescent="0.3">
      <c r="A593" s="5" t="s">
        <v>1120</v>
      </c>
      <c r="B593" s="1">
        <v>45689</v>
      </c>
      <c r="C593" s="1">
        <v>45860</v>
      </c>
      <c r="D593" s="4" t="s">
        <v>421</v>
      </c>
      <c r="E593" s="2" t="s">
        <v>286</v>
      </c>
      <c r="F593" s="2" t="s">
        <v>275</v>
      </c>
      <c r="G593" s="2" t="s">
        <v>253</v>
      </c>
      <c r="H593" s="3" t="s">
        <v>280</v>
      </c>
      <c r="I593" t="str">
        <f>IFERROR(VLOOKUP(Prestamos[[#This Row],[ID Libro]],Inventario_Libros!A:B,2,0),"Libro No Existe")</f>
        <v>Rayuela</v>
      </c>
      <c r="J593" t="str">
        <f>IFERROR(VLOOKUP(Prestamos[[#This Row],[ID Libro]],Inventario_Libros!A:C,3,0),"Libro No Existe")</f>
        <v>Julio Cortázar</v>
      </c>
      <c r="K593" t="str">
        <f>IFERROR(VLOOKUP(Prestamos[[#This Row],[ID Libro]],Inventario_Libros!A:D,4,0),"Libro No Existe")</f>
        <v>Novela</v>
      </c>
      <c r="L593">
        <f>IFERROR(VLOOKUP(Prestamos[[#This Row],[ID Libro]],Inventario_Libros!A:E,5,0),"Libro No Existe")</f>
        <v>1932</v>
      </c>
      <c r="M593" t="str">
        <f>_xlfn.XLOOKUP(D:D,Inventario_Libros!A:A,Inventario_Libros!G:G,"No Existe",0)</f>
        <v>B-2</v>
      </c>
      <c r="N593" t="str">
        <f>IFERROR(VLOOKUP(Prestamos[[#This Row],[ID Libro]],Inventario_Libros!A:H,8,0),"Libro No Existe")</f>
        <v>Activo</v>
      </c>
    </row>
    <row r="594" spans="1:14" x14ac:dyDescent="0.3">
      <c r="A594" s="5" t="s">
        <v>1121</v>
      </c>
      <c r="B594" s="1">
        <v>45689</v>
      </c>
      <c r="C594" s="1">
        <v>45905</v>
      </c>
      <c r="D594" s="4" t="s">
        <v>497</v>
      </c>
      <c r="E594" s="2" t="s">
        <v>256</v>
      </c>
      <c r="F594" s="2" t="s">
        <v>255</v>
      </c>
      <c r="G594" s="2" t="s">
        <v>279</v>
      </c>
      <c r="H594" s="3" t="s">
        <v>289</v>
      </c>
      <c r="I594" t="str">
        <f>IFERROR(VLOOKUP(Prestamos[[#This Row],[ID Libro]],Inventario_Libros!A:B,2,0),"Libro No Existe")</f>
        <v>La Odisea</v>
      </c>
      <c r="J594" t="str">
        <f>IFERROR(VLOOKUP(Prestamos[[#This Row],[ID Libro]],Inventario_Libros!A:C,3,0),"Libro No Existe")</f>
        <v>Homero</v>
      </c>
      <c r="K594" t="str">
        <f>IFERROR(VLOOKUP(Prestamos[[#This Row],[ID Libro]],Inventario_Libros!A:D,4,0),"Libro No Existe")</f>
        <v>Clásicos</v>
      </c>
      <c r="L594">
        <f>IFERROR(VLOOKUP(Prestamos[[#This Row],[ID Libro]],Inventario_Libros!A:E,5,0),"Libro No Existe")</f>
        <v>2019</v>
      </c>
      <c r="M594" t="str">
        <f>_xlfn.XLOOKUP(D:D,Inventario_Libros!A:A,Inventario_Libros!G:G,"No Existe",0)</f>
        <v>Est-1</v>
      </c>
      <c r="N594" t="str">
        <f>IFERROR(VLOOKUP(Prestamos[[#This Row],[ID Libro]],Inventario_Libros!A:H,8,0),"Libro No Existe")</f>
        <v>Activo</v>
      </c>
    </row>
    <row r="595" spans="1:14" x14ac:dyDescent="0.3">
      <c r="A595" s="5" t="s">
        <v>1122</v>
      </c>
      <c r="B595" s="1">
        <v>45689</v>
      </c>
      <c r="C595" s="1" t="s">
        <v>289</v>
      </c>
      <c r="D595" s="4" t="s">
        <v>405</v>
      </c>
      <c r="E595" s="2" t="s">
        <v>269</v>
      </c>
      <c r="F595" s="2" t="s">
        <v>275</v>
      </c>
      <c r="G595" s="2" t="s">
        <v>257</v>
      </c>
      <c r="H595" s="3">
        <v>5</v>
      </c>
      <c r="I595" t="str">
        <f>IFERROR(VLOOKUP(Prestamos[[#This Row],[ID Libro]],Inventario_Libros!A:B,2,0),"Libro No Existe")</f>
        <v>El Aleph</v>
      </c>
      <c r="J595" t="str">
        <f>IFERROR(VLOOKUP(Prestamos[[#This Row],[ID Libro]],Inventario_Libros!A:C,3,0),"Libro No Existe")</f>
        <v>Jorge Luis Borges</v>
      </c>
      <c r="K595" t="str">
        <f>IFERROR(VLOOKUP(Prestamos[[#This Row],[ID Libro]],Inventario_Libros!A:D,4,0),"Libro No Existe")</f>
        <v>Cuentos / Fantasía Metafísica</v>
      </c>
      <c r="L595">
        <f>IFERROR(VLOOKUP(Prestamos[[#This Row],[ID Libro]],Inventario_Libros!A:E,5,0),"Libro No Existe")</f>
        <v>1994</v>
      </c>
      <c r="M595" t="str">
        <f>_xlfn.XLOOKUP(D:D,Inventario_Libros!A:A,Inventario_Libros!G:G,"No Existe",0)</f>
        <v>Est-1</v>
      </c>
      <c r="N595" t="str">
        <f>IFERROR(VLOOKUP(Prestamos[[#This Row],[ID Libro]],Inventario_Libros!A:H,8,0),"Libro No Existe")</f>
        <v>Retirado</v>
      </c>
    </row>
    <row r="596" spans="1:14" x14ac:dyDescent="0.3">
      <c r="A596" s="5" t="s">
        <v>1123</v>
      </c>
      <c r="B596" s="1">
        <v>45689</v>
      </c>
      <c r="C596" s="1">
        <v>45901</v>
      </c>
      <c r="D596" s="4" t="s">
        <v>444</v>
      </c>
      <c r="E596" s="2" t="s">
        <v>251</v>
      </c>
      <c r="F596" s="2" t="s">
        <v>263</v>
      </c>
      <c r="G596" s="2" t="s">
        <v>253</v>
      </c>
      <c r="H596" s="3" t="s">
        <v>280</v>
      </c>
      <c r="I596" t="str">
        <f>IFERROR(VLOOKUP(Prestamos[[#This Row],[ID Libro]],Inventario_Libros!A:B,2,0),"Libro No Existe")</f>
        <v>El Amor En Los Tiempos Del Cólera</v>
      </c>
      <c r="J596" t="str">
        <f>IFERROR(VLOOKUP(Prestamos[[#This Row],[ID Libro]],Inventario_Libros!A:C,3,0),"Libro No Existe")</f>
        <v>Gabriel García Márquez</v>
      </c>
      <c r="K596" t="str">
        <f>IFERROR(VLOOKUP(Prestamos[[#This Row],[ID Libro]],Inventario_Libros!A:D,4,0),"Libro No Existe")</f>
        <v>Novela</v>
      </c>
      <c r="L596">
        <f>IFERROR(VLOOKUP(Prestamos[[#This Row],[ID Libro]],Inventario_Libros!A:E,5,0),"Libro No Existe")</f>
        <v>1979</v>
      </c>
      <c r="M596" t="str">
        <f>_xlfn.XLOOKUP(D:D,Inventario_Libros!A:A,Inventario_Libros!G:G,"No Existe",0)</f>
        <v>B-2</v>
      </c>
      <c r="N596" t="str">
        <f>IFERROR(VLOOKUP(Prestamos[[#This Row],[ID Libro]],Inventario_Libros!A:H,8,0),"Libro No Existe")</f>
        <v>Activo</v>
      </c>
    </row>
    <row r="597" spans="1:14" x14ac:dyDescent="0.3">
      <c r="A597" s="5" t="s">
        <v>1124</v>
      </c>
      <c r="B597" s="1">
        <v>45689</v>
      </c>
      <c r="C597" s="1">
        <v>45917</v>
      </c>
      <c r="D597" s="4" t="s">
        <v>373</v>
      </c>
      <c r="E597" s="2" t="s">
        <v>267</v>
      </c>
      <c r="F597" s="2" t="s">
        <v>263</v>
      </c>
      <c r="G597" s="2" t="s">
        <v>253</v>
      </c>
      <c r="H597" s="3" t="s">
        <v>280</v>
      </c>
      <c r="I597" t="str">
        <f>IFERROR(VLOOKUP(Prestamos[[#This Row],[ID Libro]],Inventario_Libros!A:B,2,0),"Libro No Existe")</f>
        <v>Ficciones</v>
      </c>
      <c r="J597" t="str">
        <f>IFERROR(VLOOKUP(Prestamos[[#This Row],[ID Libro]],Inventario_Libros!A:C,3,0),"Libro No Existe")</f>
        <v>Jorge Luis Borges</v>
      </c>
      <c r="K597" t="str">
        <f>IFERROR(VLOOKUP(Prestamos[[#This Row],[ID Libro]],Inventario_Libros!A:D,4,0),"Libro No Existe")</f>
        <v>Cuentos / Fantasía Metafísica</v>
      </c>
      <c r="L597">
        <f>IFERROR(VLOOKUP(Prestamos[[#This Row],[ID Libro]],Inventario_Libros!A:E,5,0),"Libro No Existe")</f>
        <v>1990</v>
      </c>
      <c r="M597" t="str">
        <f>_xlfn.XLOOKUP(D:D,Inventario_Libros!A:A,Inventario_Libros!G:G,"No Existe",0)</f>
        <v>B-2</v>
      </c>
      <c r="N597" t="str">
        <f>IFERROR(VLOOKUP(Prestamos[[#This Row],[ID Libro]],Inventario_Libros!A:H,8,0),"Libro No Existe")</f>
        <v>Retirado</v>
      </c>
    </row>
    <row r="598" spans="1:14" x14ac:dyDescent="0.3">
      <c r="A598" s="5" t="s">
        <v>1125</v>
      </c>
      <c r="B598" s="1">
        <v>45689</v>
      </c>
      <c r="C598" s="1" t="s">
        <v>289</v>
      </c>
      <c r="D598" s="4" t="s">
        <v>422</v>
      </c>
      <c r="E598" s="2" t="s">
        <v>260</v>
      </c>
      <c r="F598" s="2" t="s">
        <v>258</v>
      </c>
      <c r="G598" s="2" t="s">
        <v>257</v>
      </c>
      <c r="H598" s="3">
        <v>5</v>
      </c>
      <c r="I598" t="str">
        <f>IFERROR(VLOOKUP(Prestamos[[#This Row],[ID Libro]],Inventario_Libros!A:B,2,0),"Libro No Existe")</f>
        <v>Pedro Páramo</v>
      </c>
      <c r="J598" t="str">
        <f>IFERROR(VLOOKUP(Prestamos[[#This Row],[ID Libro]],Inventario_Libros!A:C,3,0),"Libro No Existe")</f>
        <v>Juan Rulfo</v>
      </c>
      <c r="K598" t="str">
        <f>IFERROR(VLOOKUP(Prestamos[[#This Row],[ID Libro]],Inventario_Libros!A:D,4,0),"Libro No Existe")</f>
        <v>Novela</v>
      </c>
      <c r="L598">
        <f>IFERROR(VLOOKUP(Prestamos[[#This Row],[ID Libro]],Inventario_Libros!A:E,5,0),"Libro No Existe")</f>
        <v>1966</v>
      </c>
      <c r="M598" t="str">
        <f>_xlfn.XLOOKUP(D:D,Inventario_Libros!A:A,Inventario_Libros!G:G,"No Existe",0)</f>
        <v>Est-1</v>
      </c>
      <c r="N598" t="str">
        <f>IFERROR(VLOOKUP(Prestamos[[#This Row],[ID Libro]],Inventario_Libros!A:H,8,0),"Libro No Existe")</f>
        <v>Retirado</v>
      </c>
    </row>
    <row r="599" spans="1:14" x14ac:dyDescent="0.3">
      <c r="A599" s="5" t="s">
        <v>1126</v>
      </c>
      <c r="B599" s="1">
        <v>45689</v>
      </c>
      <c r="C599" s="1">
        <v>45917</v>
      </c>
      <c r="D599" s="4" t="s">
        <v>452</v>
      </c>
      <c r="E599" s="2" t="s">
        <v>254</v>
      </c>
      <c r="F599" s="2" t="s">
        <v>258</v>
      </c>
      <c r="G599" s="2" t="s">
        <v>253</v>
      </c>
      <c r="H599" s="3">
        <v>1</v>
      </c>
      <c r="I599" t="str">
        <f>IFERROR(VLOOKUP(Prestamos[[#This Row],[ID Libro]],Inventario_Libros!A:B,2,0),"Libro No Existe")</f>
        <v>La Sombra Del Viento</v>
      </c>
      <c r="J599" t="str">
        <f>IFERROR(VLOOKUP(Prestamos[[#This Row],[ID Libro]],Inventario_Libros!A:C,3,0),"Libro No Existe")</f>
        <v>Carlos Ruiz Zafón</v>
      </c>
      <c r="K599" t="str">
        <f>IFERROR(VLOOKUP(Prestamos[[#This Row],[ID Libro]],Inventario_Libros!A:D,4,0),"Libro No Existe")</f>
        <v>Misterio</v>
      </c>
      <c r="L599">
        <f>IFERROR(VLOOKUP(Prestamos[[#This Row],[ID Libro]],Inventario_Libros!A:E,5,0),"Libro No Existe")</f>
        <v>1906</v>
      </c>
      <c r="M599" t="str">
        <f>_xlfn.XLOOKUP(D:D,Inventario_Libros!A:A,Inventario_Libros!G:G,"No Existe",0)</f>
        <v>A-1</v>
      </c>
      <c r="N599" t="str">
        <f>IFERROR(VLOOKUP(Prestamos[[#This Row],[ID Libro]],Inventario_Libros!A:H,8,0),"Libro No Existe")</f>
        <v>Retirado</v>
      </c>
    </row>
    <row r="600" spans="1:14" x14ac:dyDescent="0.3">
      <c r="A600" s="5" t="s">
        <v>1127</v>
      </c>
      <c r="B600" s="1">
        <v>45689</v>
      </c>
      <c r="C600" s="1" t="s">
        <v>289</v>
      </c>
      <c r="D600" s="4" t="s">
        <v>517</v>
      </c>
      <c r="E600" s="2" t="s">
        <v>254</v>
      </c>
      <c r="F600" s="2" t="s">
        <v>263</v>
      </c>
      <c r="G600" s="2" t="s">
        <v>257</v>
      </c>
      <c r="H600" s="3">
        <v>5</v>
      </c>
      <c r="I600" t="str">
        <f>IFERROR(VLOOKUP(Prestamos[[#This Row],[ID Libro]],Inventario_Libros!A:B,2,0),"Libro No Existe")</f>
        <v>El Código Da Vinci</v>
      </c>
      <c r="J600" t="str">
        <f>IFERROR(VLOOKUP(Prestamos[[#This Row],[ID Libro]],Inventario_Libros!A:C,3,0),"Libro No Existe")</f>
        <v>Dan Brown</v>
      </c>
      <c r="K600" t="str">
        <f>IFERROR(VLOOKUP(Prestamos[[#This Row],[ID Libro]],Inventario_Libros!A:D,4,0),"Libro No Existe")</f>
        <v>Misterio</v>
      </c>
      <c r="L600">
        <f>IFERROR(VLOOKUP(Prestamos[[#This Row],[ID Libro]],Inventario_Libros!A:E,5,0),"Libro No Existe")</f>
        <v>1896</v>
      </c>
      <c r="M600" t="str">
        <f>_xlfn.XLOOKUP(D:D,Inventario_Libros!A:A,Inventario_Libros!G:G,"No Existe",0)</f>
        <v>No Asignado</v>
      </c>
      <c r="N600" t="str">
        <f>IFERROR(VLOOKUP(Prestamos[[#This Row],[ID Libro]],Inventario_Libros!A:H,8,0),"Libro No Existe")</f>
        <v>Retirado</v>
      </c>
    </row>
    <row r="601" spans="1:14" x14ac:dyDescent="0.3">
      <c r="A601" s="5" t="s">
        <v>1128</v>
      </c>
      <c r="B601" s="1">
        <v>45689</v>
      </c>
      <c r="C601" s="1" t="s">
        <v>289</v>
      </c>
      <c r="D601" s="4" t="s">
        <v>318</v>
      </c>
      <c r="E601" s="2" t="s">
        <v>261</v>
      </c>
      <c r="F601" s="2" t="s">
        <v>252</v>
      </c>
      <c r="G601" s="2" t="s">
        <v>257</v>
      </c>
      <c r="H601" s="3">
        <v>1</v>
      </c>
      <c r="I601" t="str">
        <f>IFERROR(VLOOKUP(Prestamos[[#This Row],[ID Libro]],Inventario_Libros!A:B,2,0),"Libro No Existe")</f>
        <v>Ficciones</v>
      </c>
      <c r="J601" t="str">
        <f>IFERROR(VLOOKUP(Prestamos[[#This Row],[ID Libro]],Inventario_Libros!A:C,3,0),"Libro No Existe")</f>
        <v>Jorge Luis Borges</v>
      </c>
      <c r="K601" t="str">
        <f>IFERROR(VLOOKUP(Prestamos[[#This Row],[ID Libro]],Inventario_Libros!A:D,4,0),"Libro No Existe")</f>
        <v>Cuentos / Fantasía Metafísica</v>
      </c>
      <c r="L601">
        <f>IFERROR(VLOOKUP(Prestamos[[#This Row],[ID Libro]],Inventario_Libros!A:E,5,0),"Libro No Existe")</f>
        <v>1990</v>
      </c>
      <c r="M601" t="str">
        <f>_xlfn.XLOOKUP(D:D,Inventario_Libros!A:A,Inventario_Libros!G:G,"No Existe",0)</f>
        <v>A-1</v>
      </c>
      <c r="N601" t="str">
        <f>IFERROR(VLOOKUP(Prestamos[[#This Row],[ID Libro]],Inventario_Libros!A:H,8,0),"Libro No Existe")</f>
        <v>Retirado</v>
      </c>
    </row>
  </sheetData>
  <pageMargins left="0.75" right="0.75" top="1" bottom="1" header="0.5" footer="0.5"/>
  <headerFooter>
    <oddHeader>&amp;L&amp;"Aptos"&amp;6&amp;K0000FF Documento/Email Para uso compartido Público&amp;1#_x000D_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1E46C-42B8-4650-98D8-D154EA0AC8AE}">
  <sheetPr>
    <tabColor theme="9" tint="0.79998168889431442"/>
  </sheetPr>
  <dimension ref="A3:B57"/>
  <sheetViews>
    <sheetView workbookViewId="0">
      <selection activeCell="I35" sqref="I35"/>
    </sheetView>
  </sheetViews>
  <sheetFormatPr baseColWidth="10" defaultRowHeight="14.4" x14ac:dyDescent="0.3"/>
  <cols>
    <col min="1" max="2" width="20.33203125" bestFit="1" customWidth="1"/>
  </cols>
  <sheetData>
    <row r="3" spans="1:2" x14ac:dyDescent="0.3">
      <c r="A3" s="6" t="s">
        <v>1129</v>
      </c>
      <c r="B3" t="s">
        <v>1131</v>
      </c>
    </row>
    <row r="4" spans="1:2" x14ac:dyDescent="0.3">
      <c r="A4" s="7" t="s">
        <v>263</v>
      </c>
      <c r="B4">
        <v>194</v>
      </c>
    </row>
    <row r="5" spans="1:2" x14ac:dyDescent="0.3">
      <c r="A5" s="7" t="s">
        <v>255</v>
      </c>
      <c r="B5">
        <v>75</v>
      </c>
    </row>
    <row r="6" spans="1:2" x14ac:dyDescent="0.3">
      <c r="A6" s="7" t="s">
        <v>275</v>
      </c>
      <c r="B6">
        <v>132</v>
      </c>
    </row>
    <row r="7" spans="1:2" x14ac:dyDescent="0.3">
      <c r="A7" s="7" t="s">
        <v>252</v>
      </c>
      <c r="B7">
        <v>58</v>
      </c>
    </row>
    <row r="8" spans="1:2" x14ac:dyDescent="0.3">
      <c r="A8" s="7" t="s">
        <v>258</v>
      </c>
      <c r="B8">
        <v>141</v>
      </c>
    </row>
    <row r="9" spans="1:2" x14ac:dyDescent="0.3">
      <c r="A9" s="7" t="s">
        <v>1130</v>
      </c>
      <c r="B9">
        <v>600</v>
      </c>
    </row>
    <row r="21" spans="1:2" x14ac:dyDescent="0.3">
      <c r="A21" s="6" t="s">
        <v>1129</v>
      </c>
      <c r="B21" t="s">
        <v>1131</v>
      </c>
    </row>
    <row r="22" spans="1:2" x14ac:dyDescent="0.3">
      <c r="A22" s="7" t="s">
        <v>253</v>
      </c>
      <c r="B22">
        <v>220</v>
      </c>
    </row>
    <row r="23" spans="1:2" x14ac:dyDescent="0.3">
      <c r="A23" s="7" t="s">
        <v>279</v>
      </c>
      <c r="B23">
        <v>120</v>
      </c>
    </row>
    <row r="24" spans="1:2" x14ac:dyDescent="0.3">
      <c r="A24" s="7" t="s">
        <v>257</v>
      </c>
      <c r="B24">
        <v>260</v>
      </c>
    </row>
    <row r="25" spans="1:2" x14ac:dyDescent="0.3">
      <c r="A25" s="7" t="s">
        <v>1130</v>
      </c>
      <c r="B25">
        <v>600</v>
      </c>
    </row>
    <row r="36" spans="1:2" x14ac:dyDescent="0.3">
      <c r="A36" s="6" t="s">
        <v>1129</v>
      </c>
      <c r="B36" t="s">
        <v>1131</v>
      </c>
    </row>
    <row r="37" spans="1:2" x14ac:dyDescent="0.3">
      <c r="A37" s="7" t="s">
        <v>1132</v>
      </c>
      <c r="B37">
        <v>184</v>
      </c>
    </row>
    <row r="38" spans="1:2" x14ac:dyDescent="0.3">
      <c r="A38" s="7" t="s">
        <v>1133</v>
      </c>
      <c r="B38">
        <v>140</v>
      </c>
    </row>
    <row r="39" spans="1:2" x14ac:dyDescent="0.3">
      <c r="A39" s="7" t="s">
        <v>1134</v>
      </c>
      <c r="B39">
        <v>160</v>
      </c>
    </row>
    <row r="40" spans="1:2" x14ac:dyDescent="0.3">
      <c r="A40" s="7" t="s">
        <v>1135</v>
      </c>
      <c r="B40">
        <v>116</v>
      </c>
    </row>
    <row r="41" spans="1:2" x14ac:dyDescent="0.3">
      <c r="A41" s="7" t="s">
        <v>1130</v>
      </c>
      <c r="B41">
        <v>600</v>
      </c>
    </row>
    <row r="55" spans="1:2" x14ac:dyDescent="0.3">
      <c r="A55" t="s">
        <v>1131</v>
      </c>
    </row>
    <row r="56" spans="1:2" x14ac:dyDescent="0.3">
      <c r="A56">
        <v>600</v>
      </c>
    </row>
    <row r="57" spans="1:2" x14ac:dyDescent="0.3">
      <c r="B57">
        <f>GETPIVOTDATA("ID Préstamo",$A$55)</f>
        <v>600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  <ext xmlns:x15="http://schemas.microsoft.com/office/spreadsheetml/2010/11/main" uri="{7E03D99C-DC04-49d9-9315-930204A7B6E9}">
      <x15:timelineRefs>
        <x15:timelineRef r:id="rId7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20A2-6D88-420B-A144-35C0182BAAA8}">
  <sheetPr>
    <tabColor theme="9" tint="0.79998168889431442"/>
  </sheetPr>
  <dimension ref="A1:S32"/>
  <sheetViews>
    <sheetView showGridLines="0" workbookViewId="0">
      <selection activeCell="E1" sqref="E1:S4"/>
    </sheetView>
  </sheetViews>
  <sheetFormatPr baseColWidth="10" defaultRowHeight="14.4" x14ac:dyDescent="0.3"/>
  <sheetData>
    <row r="1" spans="1:19" x14ac:dyDescent="0.3">
      <c r="A1" s="11"/>
      <c r="B1" s="11"/>
      <c r="C1" s="11"/>
      <c r="D1" s="11"/>
      <c r="E1" s="16" t="s">
        <v>1255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19" x14ac:dyDescent="0.3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x14ac:dyDescent="0.3">
      <c r="A3" s="11"/>
      <c r="B3" s="11"/>
      <c r="C3" s="11"/>
      <c r="D3" s="11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19" x14ac:dyDescent="0.3">
      <c r="A4" s="11"/>
      <c r="B4" s="11"/>
      <c r="C4" s="11"/>
      <c r="D4" s="11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19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19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19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1:19" ht="58.2" customHeight="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19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1:19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1:19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1:19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1:19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:19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1:19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1:19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spans="1:19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</sheetData>
  <mergeCells count="10">
    <mergeCell ref="A1:D4"/>
    <mergeCell ref="A5:D9"/>
    <mergeCell ref="E1:S4"/>
    <mergeCell ref="E5:K18"/>
    <mergeCell ref="L5:S32"/>
    <mergeCell ref="A10:D14"/>
    <mergeCell ref="A15:D20"/>
    <mergeCell ref="A21:D26"/>
    <mergeCell ref="A27:D32"/>
    <mergeCell ref="E19:K32"/>
  </mergeCells>
  <pageMargins left="0.7" right="0.7" top="0.75" bottom="0.75" header="0.3" footer="0.3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1071-0A5A-462C-AF80-E409370EB15F}">
  <dimension ref="A1:J168"/>
  <sheetViews>
    <sheetView workbookViewId="0">
      <selection activeCell="A2" sqref="A2:J168"/>
    </sheetView>
  </sheetViews>
  <sheetFormatPr baseColWidth="10" defaultRowHeight="14.4" x14ac:dyDescent="0.3"/>
  <cols>
    <col min="1" max="1" width="12" customWidth="1"/>
    <col min="2" max="2" width="28.44140625" customWidth="1"/>
    <col min="3" max="3" width="18.6640625" customWidth="1"/>
  </cols>
  <sheetData>
    <row r="1" spans="1:10" x14ac:dyDescent="0.3">
      <c r="A1" s="19" t="s">
        <v>1150</v>
      </c>
      <c r="B1" s="20" t="s">
        <v>1151</v>
      </c>
      <c r="C1" s="20" t="s">
        <v>1152</v>
      </c>
      <c r="D1" s="20" t="s">
        <v>1153</v>
      </c>
      <c r="E1" s="20" t="s">
        <v>1154</v>
      </c>
      <c r="F1" s="20" t="s">
        <v>1155</v>
      </c>
      <c r="G1" s="20" t="s">
        <v>1156</v>
      </c>
      <c r="H1" s="20" t="s">
        <v>1157</v>
      </c>
      <c r="I1" s="21" t="s">
        <v>1158</v>
      </c>
      <c r="J1" s="22" t="s">
        <v>1159</v>
      </c>
    </row>
    <row r="2" spans="1:10" x14ac:dyDescent="0.3">
      <c r="A2" s="4">
        <v>10375</v>
      </c>
      <c r="B2" t="s">
        <v>1160</v>
      </c>
      <c r="C2" t="s">
        <v>1140</v>
      </c>
      <c r="D2" t="s">
        <v>1147</v>
      </c>
      <c r="E2" t="s">
        <v>1145</v>
      </c>
      <c r="F2" t="s">
        <v>1161</v>
      </c>
      <c r="G2" s="1">
        <v>41280</v>
      </c>
      <c r="H2" s="8">
        <v>321.92</v>
      </c>
      <c r="I2" s="9">
        <v>8.6918399999999991</v>
      </c>
      <c r="J2" s="9">
        <v>330.61183999999997</v>
      </c>
    </row>
    <row r="3" spans="1:10" x14ac:dyDescent="0.3">
      <c r="A3" s="4">
        <v>10381</v>
      </c>
      <c r="B3" t="s">
        <v>1162</v>
      </c>
      <c r="C3" t="s">
        <v>1163</v>
      </c>
      <c r="D3" t="s">
        <v>1147</v>
      </c>
      <c r="E3" t="s">
        <v>1146</v>
      </c>
      <c r="F3" t="s">
        <v>1164</v>
      </c>
      <c r="G3" s="1">
        <v>41286</v>
      </c>
      <c r="H3" s="8">
        <v>511.36</v>
      </c>
      <c r="I3" s="9">
        <v>17.386240000000001</v>
      </c>
      <c r="J3" s="9">
        <v>528.74623999999994</v>
      </c>
    </row>
    <row r="4" spans="1:10" x14ac:dyDescent="0.3">
      <c r="A4" s="4">
        <v>10391</v>
      </c>
      <c r="B4" t="s">
        <v>1165</v>
      </c>
      <c r="C4" t="s">
        <v>1137</v>
      </c>
      <c r="D4" t="s">
        <v>1147</v>
      </c>
      <c r="E4" t="s">
        <v>1146</v>
      </c>
      <c r="F4" t="s">
        <v>1164</v>
      </c>
      <c r="G4" s="1">
        <v>41297</v>
      </c>
      <c r="H4" s="8">
        <v>348.8</v>
      </c>
      <c r="I4" s="9">
        <v>8.3712</v>
      </c>
      <c r="J4" s="9">
        <v>357.1712</v>
      </c>
    </row>
    <row r="5" spans="1:10" x14ac:dyDescent="0.3">
      <c r="A5" s="4">
        <v>10410</v>
      </c>
      <c r="B5" t="s">
        <v>1166</v>
      </c>
      <c r="C5" t="s">
        <v>1139</v>
      </c>
      <c r="D5" t="s">
        <v>1147</v>
      </c>
      <c r="E5" t="s">
        <v>1146</v>
      </c>
      <c r="F5" t="s">
        <v>1164</v>
      </c>
      <c r="G5" s="1">
        <v>41315</v>
      </c>
      <c r="H5" s="8">
        <v>153.6</v>
      </c>
      <c r="I5" s="9">
        <v>5.5296000000000003</v>
      </c>
      <c r="J5" s="9">
        <v>159.12960000000001</v>
      </c>
    </row>
    <row r="6" spans="1:10" x14ac:dyDescent="0.3">
      <c r="A6" s="4">
        <v>10432</v>
      </c>
      <c r="B6" t="s">
        <v>1167</v>
      </c>
      <c r="C6" t="s">
        <v>1140</v>
      </c>
      <c r="D6" t="s">
        <v>1147</v>
      </c>
      <c r="E6" t="s">
        <v>1145</v>
      </c>
      <c r="F6" t="s">
        <v>1161</v>
      </c>
      <c r="G6" s="1">
        <v>41336</v>
      </c>
      <c r="H6" s="8">
        <v>277.76</v>
      </c>
      <c r="I6" s="9">
        <v>7.4995200000000004</v>
      </c>
      <c r="J6" s="9">
        <v>285.25952000000001</v>
      </c>
    </row>
    <row r="7" spans="1:10" x14ac:dyDescent="0.3">
      <c r="A7" s="4">
        <v>10434</v>
      </c>
      <c r="B7" t="s">
        <v>1168</v>
      </c>
      <c r="C7" t="s">
        <v>1143</v>
      </c>
      <c r="D7" t="s">
        <v>1147</v>
      </c>
      <c r="E7" t="s">
        <v>1145</v>
      </c>
      <c r="F7" t="s">
        <v>1161</v>
      </c>
      <c r="G7" s="1">
        <v>41339</v>
      </c>
      <c r="H7" s="8">
        <v>286.72000000000003</v>
      </c>
      <c r="I7" s="9">
        <v>10.608639999999999</v>
      </c>
      <c r="J7" s="9">
        <v>297.32864000000001</v>
      </c>
    </row>
    <row r="8" spans="1:10" x14ac:dyDescent="0.3">
      <c r="A8" s="4">
        <v>10438</v>
      </c>
      <c r="B8" t="s">
        <v>1169</v>
      </c>
      <c r="C8" t="s">
        <v>1137</v>
      </c>
      <c r="D8" t="s">
        <v>1147</v>
      </c>
      <c r="E8" t="s">
        <v>1145</v>
      </c>
      <c r="F8" t="s">
        <v>1161</v>
      </c>
      <c r="G8" s="1">
        <v>41342</v>
      </c>
      <c r="H8" s="8">
        <v>527.36</v>
      </c>
      <c r="I8" s="9">
        <v>12.12928</v>
      </c>
      <c r="J8" s="9">
        <v>539.48928000000001</v>
      </c>
    </row>
    <row r="9" spans="1:10" x14ac:dyDescent="0.3">
      <c r="A9" s="4">
        <v>10444</v>
      </c>
      <c r="B9" t="s">
        <v>1170</v>
      </c>
      <c r="C9" t="s">
        <v>1143</v>
      </c>
      <c r="D9" t="s">
        <v>1147</v>
      </c>
      <c r="E9" t="s">
        <v>1146</v>
      </c>
      <c r="F9" t="s">
        <v>1164</v>
      </c>
      <c r="G9" s="1">
        <v>41348</v>
      </c>
      <c r="H9" s="8">
        <v>224</v>
      </c>
      <c r="I9" s="9">
        <v>8.5120000000000005</v>
      </c>
      <c r="J9" s="9">
        <v>232.512</v>
      </c>
    </row>
    <row r="10" spans="1:10" x14ac:dyDescent="0.3">
      <c r="A10" s="4">
        <v>10449</v>
      </c>
      <c r="B10" t="s">
        <v>1171</v>
      </c>
      <c r="C10" t="s">
        <v>1141</v>
      </c>
      <c r="D10" t="s">
        <v>1147</v>
      </c>
      <c r="E10" t="s">
        <v>1145</v>
      </c>
      <c r="F10" t="s">
        <v>1161</v>
      </c>
      <c r="G10" s="1">
        <v>41354</v>
      </c>
      <c r="H10" s="8">
        <v>852.8</v>
      </c>
      <c r="I10" s="9">
        <v>16.203199999999999</v>
      </c>
      <c r="J10" s="9">
        <v>869.00319999999999</v>
      </c>
    </row>
    <row r="11" spans="1:10" x14ac:dyDescent="0.3">
      <c r="A11" s="4">
        <v>10468</v>
      </c>
      <c r="B11" t="s">
        <v>1172</v>
      </c>
      <c r="C11" t="s">
        <v>1137</v>
      </c>
      <c r="D11" t="s">
        <v>1147</v>
      </c>
      <c r="E11" t="s">
        <v>1146</v>
      </c>
      <c r="F11" t="s">
        <v>1164</v>
      </c>
      <c r="G11" s="1">
        <v>41371</v>
      </c>
      <c r="H11" s="8">
        <v>705.92</v>
      </c>
      <c r="I11" s="9">
        <v>16.942080000000001</v>
      </c>
      <c r="J11" s="9">
        <v>722.86207999999999</v>
      </c>
    </row>
    <row r="12" spans="1:10" x14ac:dyDescent="0.3">
      <c r="A12" s="4">
        <v>10484</v>
      </c>
      <c r="B12" t="s">
        <v>1173</v>
      </c>
      <c r="C12" t="s">
        <v>1142</v>
      </c>
      <c r="D12" t="s">
        <v>1147</v>
      </c>
      <c r="E12" t="s">
        <v>1146</v>
      </c>
      <c r="F12" t="s">
        <v>1164</v>
      </c>
      <c r="G12" s="1">
        <v>41388</v>
      </c>
      <c r="H12" s="8">
        <v>440.32</v>
      </c>
      <c r="I12" s="9">
        <v>14.09024</v>
      </c>
      <c r="J12" s="9">
        <v>454.41023999999999</v>
      </c>
    </row>
    <row r="13" spans="1:10" x14ac:dyDescent="0.3">
      <c r="A13" s="4">
        <v>10495</v>
      </c>
      <c r="B13" t="s">
        <v>1174</v>
      </c>
      <c r="C13" t="s">
        <v>1139</v>
      </c>
      <c r="D13" t="s">
        <v>1147</v>
      </c>
      <c r="E13" t="s">
        <v>1146</v>
      </c>
      <c r="F13" t="s">
        <v>1164</v>
      </c>
      <c r="G13" s="1">
        <v>41398</v>
      </c>
      <c r="H13" s="8">
        <v>297.60000000000002</v>
      </c>
      <c r="I13" s="9">
        <v>10.7136</v>
      </c>
      <c r="J13" s="9">
        <v>308.31360000000001</v>
      </c>
    </row>
    <row r="14" spans="1:10" x14ac:dyDescent="0.3">
      <c r="A14" s="4">
        <v>10505</v>
      </c>
      <c r="B14" t="s">
        <v>1175</v>
      </c>
      <c r="C14" t="s">
        <v>1139</v>
      </c>
      <c r="D14" t="s">
        <v>1147</v>
      </c>
      <c r="E14" t="s">
        <v>1146</v>
      </c>
      <c r="F14" t="s">
        <v>1164</v>
      </c>
      <c r="G14" s="1">
        <v>41409</v>
      </c>
      <c r="H14" s="8">
        <v>456.32</v>
      </c>
      <c r="I14" s="9">
        <v>16.427520000000001</v>
      </c>
      <c r="J14" s="9">
        <v>472.74752000000001</v>
      </c>
    </row>
    <row r="15" spans="1:10" x14ac:dyDescent="0.3">
      <c r="A15" s="4">
        <v>10517</v>
      </c>
      <c r="B15" t="s">
        <v>1176</v>
      </c>
      <c r="C15" t="s">
        <v>1142</v>
      </c>
      <c r="D15" t="s">
        <v>1147</v>
      </c>
      <c r="E15" t="s">
        <v>1146</v>
      </c>
      <c r="F15" t="s">
        <v>1164</v>
      </c>
      <c r="G15" s="1">
        <v>41419</v>
      </c>
      <c r="H15" s="8">
        <v>513.12</v>
      </c>
      <c r="I15" s="9">
        <v>16.419840000000001</v>
      </c>
      <c r="J15" s="9">
        <v>529.53984000000003</v>
      </c>
    </row>
    <row r="16" spans="1:10" x14ac:dyDescent="0.3">
      <c r="A16" s="4">
        <v>10548</v>
      </c>
      <c r="B16" t="s">
        <v>1169</v>
      </c>
      <c r="C16" t="s">
        <v>1137</v>
      </c>
      <c r="D16" t="s">
        <v>1147</v>
      </c>
      <c r="E16" t="s">
        <v>1145</v>
      </c>
      <c r="F16" t="s">
        <v>1161</v>
      </c>
      <c r="G16" s="1">
        <v>41451</v>
      </c>
      <c r="H16" s="8">
        <v>91.52</v>
      </c>
      <c r="I16" s="9">
        <v>2.1049600000000002</v>
      </c>
      <c r="J16" s="9">
        <v>93.624960000000002</v>
      </c>
    </row>
    <row r="17" spans="1:10" x14ac:dyDescent="0.3">
      <c r="A17" s="4">
        <v>10568</v>
      </c>
      <c r="B17" t="s">
        <v>1177</v>
      </c>
      <c r="C17" t="s">
        <v>1178</v>
      </c>
      <c r="D17" t="s">
        <v>1147</v>
      </c>
      <c r="E17" t="s">
        <v>1146</v>
      </c>
      <c r="F17" t="s">
        <v>1164</v>
      </c>
      <c r="G17" s="1">
        <v>41469</v>
      </c>
      <c r="H17" s="8">
        <v>418.56</v>
      </c>
      <c r="I17" s="9">
        <v>19.25376</v>
      </c>
      <c r="J17" s="9">
        <v>437.81376</v>
      </c>
    </row>
    <row r="18" spans="1:10" x14ac:dyDescent="0.3">
      <c r="A18" s="4">
        <v>10576</v>
      </c>
      <c r="B18" t="s">
        <v>1179</v>
      </c>
      <c r="C18" t="s">
        <v>1180</v>
      </c>
      <c r="D18" t="s">
        <v>1147</v>
      </c>
      <c r="E18" t="s">
        <v>1146</v>
      </c>
      <c r="F18" t="s">
        <v>1164</v>
      </c>
      <c r="G18" s="1">
        <v>41479</v>
      </c>
      <c r="H18" s="8">
        <v>296.95999999999998</v>
      </c>
      <c r="I18" s="9">
        <v>14.25408</v>
      </c>
      <c r="J18" s="9">
        <v>311.21408000000002</v>
      </c>
    </row>
    <row r="19" spans="1:10" x14ac:dyDescent="0.3">
      <c r="A19" s="4">
        <v>10582</v>
      </c>
      <c r="B19" t="s">
        <v>1181</v>
      </c>
      <c r="C19" t="s">
        <v>1137</v>
      </c>
      <c r="D19" t="s">
        <v>1147</v>
      </c>
      <c r="E19" t="s">
        <v>1145</v>
      </c>
      <c r="F19" t="s">
        <v>1164</v>
      </c>
      <c r="G19" s="1">
        <v>41483</v>
      </c>
      <c r="H19" s="8">
        <v>443.36</v>
      </c>
      <c r="I19" s="9">
        <v>10.640639999999999</v>
      </c>
      <c r="J19" s="9">
        <v>454.00063999999998</v>
      </c>
    </row>
    <row r="20" spans="1:10" x14ac:dyDescent="0.3">
      <c r="A20" s="4">
        <v>10594</v>
      </c>
      <c r="B20" t="s">
        <v>1182</v>
      </c>
      <c r="C20" t="s">
        <v>1140</v>
      </c>
      <c r="D20" t="s">
        <v>1147</v>
      </c>
      <c r="E20" t="s">
        <v>1145</v>
      </c>
      <c r="F20" t="s">
        <v>1164</v>
      </c>
      <c r="G20" s="1">
        <v>41495</v>
      </c>
      <c r="H20" s="8">
        <v>335.36</v>
      </c>
      <c r="I20" s="9">
        <v>9.3900799999999993</v>
      </c>
      <c r="J20" s="9">
        <v>344.75008000000003</v>
      </c>
    </row>
    <row r="21" spans="1:10" x14ac:dyDescent="0.3">
      <c r="A21" s="4">
        <v>10644</v>
      </c>
      <c r="B21" t="s">
        <v>1183</v>
      </c>
      <c r="C21" t="s">
        <v>1184</v>
      </c>
      <c r="D21" t="s">
        <v>1147</v>
      </c>
      <c r="E21" t="s">
        <v>1145</v>
      </c>
      <c r="F21" t="s">
        <v>1164</v>
      </c>
      <c r="G21" s="1">
        <v>41542</v>
      </c>
      <c r="H21" s="8">
        <v>80.281599999999997</v>
      </c>
      <c r="I21" s="9">
        <v>1.7661952000000001</v>
      </c>
      <c r="J21" s="9">
        <v>82.047795199999996</v>
      </c>
    </row>
    <row r="22" spans="1:10" x14ac:dyDescent="0.3">
      <c r="A22" s="4">
        <v>10662</v>
      </c>
      <c r="B22" t="s">
        <v>1185</v>
      </c>
      <c r="C22" t="s">
        <v>1140</v>
      </c>
      <c r="D22" t="s">
        <v>1147</v>
      </c>
      <c r="E22" t="s">
        <v>1145</v>
      </c>
      <c r="F22" t="s">
        <v>1164</v>
      </c>
      <c r="G22" s="1">
        <v>41557</v>
      </c>
      <c r="H22" s="8">
        <v>81.92</v>
      </c>
      <c r="I22" s="9">
        <v>2.2937599999999998</v>
      </c>
      <c r="J22" s="9">
        <v>84.213759999999994</v>
      </c>
    </row>
    <row r="23" spans="1:10" x14ac:dyDescent="0.3">
      <c r="A23" s="4">
        <v>10682</v>
      </c>
      <c r="B23" t="s">
        <v>1186</v>
      </c>
      <c r="C23" t="s">
        <v>1180</v>
      </c>
      <c r="D23" t="s">
        <v>1147</v>
      </c>
      <c r="E23" t="s">
        <v>1145</v>
      </c>
      <c r="F23" t="s">
        <v>1164</v>
      </c>
      <c r="G23" s="1">
        <v>41573</v>
      </c>
      <c r="H23" s="8">
        <v>578.08000000000004</v>
      </c>
      <c r="I23" s="9">
        <v>27.74784</v>
      </c>
      <c r="J23" s="9">
        <v>605.82784000000004</v>
      </c>
    </row>
    <row r="24" spans="1:10" x14ac:dyDescent="0.3">
      <c r="A24" s="4">
        <v>10699</v>
      </c>
      <c r="B24" t="s">
        <v>1187</v>
      </c>
      <c r="C24" t="s">
        <v>1137</v>
      </c>
      <c r="D24" t="s">
        <v>1147</v>
      </c>
      <c r="E24" t="s">
        <v>1146</v>
      </c>
      <c r="F24" t="s">
        <v>1164</v>
      </c>
      <c r="G24" s="1">
        <v>41587</v>
      </c>
      <c r="H24" s="8">
        <v>1377.8943999999999</v>
      </c>
      <c r="I24" s="9">
        <v>33.069465600000001</v>
      </c>
      <c r="J24" s="9">
        <v>1410.9638656</v>
      </c>
    </row>
    <row r="25" spans="1:10" x14ac:dyDescent="0.3">
      <c r="A25" s="4">
        <v>10739</v>
      </c>
      <c r="B25" t="s">
        <v>1188</v>
      </c>
      <c r="C25" t="s">
        <v>1141</v>
      </c>
      <c r="D25" t="s">
        <v>1147</v>
      </c>
      <c r="E25" t="s">
        <v>1146</v>
      </c>
      <c r="F25" t="s">
        <v>1164</v>
      </c>
      <c r="G25" s="1">
        <v>41621</v>
      </c>
      <c r="H25" s="8">
        <v>709.12</v>
      </c>
      <c r="I25" s="9">
        <v>14.182399999999999</v>
      </c>
      <c r="J25" s="9">
        <v>723.30240000000003</v>
      </c>
    </row>
    <row r="26" spans="1:10" x14ac:dyDescent="0.3">
      <c r="A26" s="4">
        <v>10759</v>
      </c>
      <c r="B26" t="s">
        <v>1189</v>
      </c>
      <c r="C26" t="s">
        <v>1180</v>
      </c>
      <c r="D26" t="s">
        <v>1147</v>
      </c>
      <c r="E26" t="s">
        <v>1146</v>
      </c>
      <c r="F26" t="s">
        <v>1164</v>
      </c>
      <c r="G26" s="1">
        <v>41637</v>
      </c>
      <c r="H26" s="8">
        <v>767.36</v>
      </c>
      <c r="I26" s="9">
        <v>36.833280000000002</v>
      </c>
      <c r="J26" s="9">
        <v>804.19327999999996</v>
      </c>
    </row>
    <row r="27" spans="1:10" x14ac:dyDescent="0.3">
      <c r="A27" s="4">
        <v>10763</v>
      </c>
      <c r="B27" t="s">
        <v>1190</v>
      </c>
      <c r="C27" t="s">
        <v>1141</v>
      </c>
      <c r="D27" t="s">
        <v>1147</v>
      </c>
      <c r="E27" t="s">
        <v>1146</v>
      </c>
      <c r="F27" t="s">
        <v>1164</v>
      </c>
      <c r="G27" s="1">
        <v>41642</v>
      </c>
      <c r="H27" s="8">
        <v>597.6</v>
      </c>
      <c r="I27" s="9">
        <v>11.952</v>
      </c>
      <c r="J27" s="9">
        <v>609.55200000000002</v>
      </c>
    </row>
    <row r="28" spans="1:10" x14ac:dyDescent="0.3">
      <c r="A28" s="4">
        <v>10765</v>
      </c>
      <c r="B28" t="s">
        <v>1191</v>
      </c>
      <c r="C28" t="s">
        <v>1137</v>
      </c>
      <c r="D28" t="s">
        <v>1147</v>
      </c>
      <c r="E28" t="s">
        <v>1146</v>
      </c>
      <c r="F28" t="s">
        <v>1164</v>
      </c>
      <c r="G28" s="1">
        <v>41643</v>
      </c>
      <c r="H28" s="8">
        <v>683.84</v>
      </c>
      <c r="I28" s="9">
        <v>16.41216</v>
      </c>
      <c r="J28" s="9">
        <v>700.25216</v>
      </c>
    </row>
    <row r="29" spans="1:10" x14ac:dyDescent="0.3">
      <c r="A29" s="4">
        <v>10793</v>
      </c>
      <c r="B29" t="s">
        <v>1192</v>
      </c>
      <c r="C29" t="s">
        <v>1142</v>
      </c>
      <c r="D29" t="s">
        <v>1147</v>
      </c>
      <c r="E29" t="s">
        <v>1146</v>
      </c>
      <c r="F29" t="s">
        <v>1164</v>
      </c>
      <c r="G29" s="1">
        <v>41663</v>
      </c>
      <c r="H29" s="8">
        <v>289.27999999999997</v>
      </c>
      <c r="I29" s="9">
        <v>9.2569599999999994</v>
      </c>
      <c r="J29" s="9">
        <v>298.53696000000002</v>
      </c>
    </row>
    <row r="30" spans="1:10" x14ac:dyDescent="0.3">
      <c r="A30" s="4">
        <v>10806</v>
      </c>
      <c r="B30" t="s">
        <v>1193</v>
      </c>
      <c r="C30" t="s">
        <v>1141</v>
      </c>
      <c r="D30" t="s">
        <v>1147</v>
      </c>
      <c r="E30" t="s">
        <v>1145</v>
      </c>
      <c r="F30" t="s">
        <v>1164</v>
      </c>
      <c r="G30" s="1">
        <v>41670</v>
      </c>
      <c r="H30" s="8">
        <v>353.76</v>
      </c>
      <c r="I30" s="9">
        <v>7.0751999999999997</v>
      </c>
      <c r="J30" s="9">
        <v>360.83519999999999</v>
      </c>
    </row>
    <row r="31" spans="1:10" x14ac:dyDescent="0.3">
      <c r="A31" s="4">
        <v>10820</v>
      </c>
      <c r="B31" t="s">
        <v>1194</v>
      </c>
      <c r="C31" t="s">
        <v>1140</v>
      </c>
      <c r="D31" t="s">
        <v>1147</v>
      </c>
      <c r="E31" t="s">
        <v>1145</v>
      </c>
      <c r="F31" t="s">
        <v>1164</v>
      </c>
      <c r="G31" s="1">
        <v>41677</v>
      </c>
      <c r="H31" s="8">
        <v>600.32000000000005</v>
      </c>
      <c r="I31" s="9">
        <v>16.808959999999999</v>
      </c>
      <c r="J31" s="9">
        <v>617.12896000000001</v>
      </c>
    </row>
    <row r="32" spans="1:10" x14ac:dyDescent="0.3">
      <c r="A32" s="4">
        <v>10839</v>
      </c>
      <c r="B32" t="s">
        <v>1195</v>
      </c>
      <c r="C32" t="s">
        <v>1184</v>
      </c>
      <c r="D32" t="s">
        <v>1147</v>
      </c>
      <c r="E32" t="s">
        <v>1146</v>
      </c>
      <c r="F32" t="s">
        <v>1164</v>
      </c>
      <c r="G32" s="1">
        <v>41689</v>
      </c>
      <c r="H32" s="8">
        <v>566.88</v>
      </c>
      <c r="I32" s="9">
        <v>12.471360000000001</v>
      </c>
      <c r="J32" s="9">
        <v>579.35136</v>
      </c>
    </row>
    <row r="33" spans="1:10" x14ac:dyDescent="0.3">
      <c r="A33" s="4">
        <v>10860</v>
      </c>
      <c r="B33" t="s">
        <v>1196</v>
      </c>
      <c r="C33" t="s">
        <v>1141</v>
      </c>
      <c r="D33" t="s">
        <v>1147</v>
      </c>
      <c r="E33" t="s">
        <v>1146</v>
      </c>
      <c r="F33" t="s">
        <v>1164</v>
      </c>
      <c r="G33" s="1">
        <v>41698</v>
      </c>
      <c r="H33" s="8">
        <v>308.16000000000003</v>
      </c>
      <c r="I33" s="9">
        <v>6.1631999999999998</v>
      </c>
      <c r="J33" s="9">
        <v>314.32319999999999</v>
      </c>
    </row>
    <row r="34" spans="1:10" x14ac:dyDescent="0.3">
      <c r="A34" s="4">
        <v>10879</v>
      </c>
      <c r="B34" t="s">
        <v>1197</v>
      </c>
      <c r="C34" t="s">
        <v>1198</v>
      </c>
      <c r="D34" t="s">
        <v>1147</v>
      </c>
      <c r="E34" t="s">
        <v>1146</v>
      </c>
      <c r="F34" t="s">
        <v>1164</v>
      </c>
      <c r="G34" s="1">
        <v>41710</v>
      </c>
      <c r="H34" s="8">
        <v>544</v>
      </c>
      <c r="I34" s="9">
        <v>16.32</v>
      </c>
      <c r="J34" s="9">
        <v>560.32000000000005</v>
      </c>
    </row>
    <row r="35" spans="1:10" x14ac:dyDescent="0.3">
      <c r="A35" s="4">
        <v>10903</v>
      </c>
      <c r="B35" t="s">
        <v>1199</v>
      </c>
      <c r="C35" t="s">
        <v>1184</v>
      </c>
      <c r="D35" t="s">
        <v>1147</v>
      </c>
      <c r="E35" t="s">
        <v>1146</v>
      </c>
      <c r="F35" t="s">
        <v>1164</v>
      </c>
      <c r="G35" s="1">
        <v>41724</v>
      </c>
      <c r="H35" s="8">
        <v>587.36</v>
      </c>
      <c r="I35" s="9">
        <v>12.92192</v>
      </c>
      <c r="J35" s="9">
        <v>600.28192000000001</v>
      </c>
    </row>
    <row r="36" spans="1:10" x14ac:dyDescent="0.3">
      <c r="A36" s="4">
        <v>10934</v>
      </c>
      <c r="B36" t="s">
        <v>1200</v>
      </c>
      <c r="C36" t="s">
        <v>1137</v>
      </c>
      <c r="D36" t="s">
        <v>1147</v>
      </c>
      <c r="E36" t="s">
        <v>1146</v>
      </c>
      <c r="F36" t="s">
        <v>1164</v>
      </c>
      <c r="G36" s="1">
        <v>41737</v>
      </c>
      <c r="H36" s="8">
        <v>512.16</v>
      </c>
      <c r="I36" s="9">
        <v>12.291840000000001</v>
      </c>
      <c r="J36" s="9">
        <v>524.45183999999995</v>
      </c>
    </row>
    <row r="37" spans="1:10" x14ac:dyDescent="0.3">
      <c r="A37" s="4">
        <v>10936</v>
      </c>
      <c r="B37" t="s">
        <v>1201</v>
      </c>
      <c r="C37" t="s">
        <v>1140</v>
      </c>
      <c r="D37" t="s">
        <v>1147</v>
      </c>
      <c r="E37" t="s">
        <v>1145</v>
      </c>
      <c r="F37" t="s">
        <v>1164</v>
      </c>
      <c r="G37" s="1">
        <v>41737</v>
      </c>
      <c r="H37" s="8">
        <v>538.88</v>
      </c>
      <c r="I37" s="9">
        <v>15.08864</v>
      </c>
      <c r="J37" s="9">
        <v>553.96864000000005</v>
      </c>
    </row>
    <row r="38" spans="1:10" x14ac:dyDescent="0.3">
      <c r="A38" s="4">
        <v>10938</v>
      </c>
      <c r="B38" t="s">
        <v>1191</v>
      </c>
      <c r="C38" t="s">
        <v>1137</v>
      </c>
      <c r="D38" t="s">
        <v>1147</v>
      </c>
      <c r="E38" t="s">
        <v>1145</v>
      </c>
      <c r="F38" t="s">
        <v>1164</v>
      </c>
      <c r="G38" s="1">
        <v>41738</v>
      </c>
      <c r="H38" s="8">
        <v>510.24</v>
      </c>
      <c r="I38" s="9">
        <v>12.245760000000001</v>
      </c>
      <c r="J38" s="9">
        <v>522.48576000000003</v>
      </c>
    </row>
    <row r="39" spans="1:10" x14ac:dyDescent="0.3">
      <c r="A39" s="4">
        <v>10947</v>
      </c>
      <c r="B39" t="s">
        <v>1173</v>
      </c>
      <c r="C39" t="s">
        <v>1142</v>
      </c>
      <c r="D39" t="s">
        <v>1147</v>
      </c>
      <c r="E39" t="s">
        <v>1145</v>
      </c>
      <c r="F39" t="s">
        <v>1164</v>
      </c>
      <c r="G39" s="1">
        <v>41741</v>
      </c>
      <c r="H39" s="8">
        <v>208.64</v>
      </c>
      <c r="I39" s="9">
        <v>6.6764799999999997</v>
      </c>
      <c r="J39" s="9">
        <v>215.31648000000001</v>
      </c>
    </row>
    <row r="40" spans="1:10" x14ac:dyDescent="0.3">
      <c r="A40" s="4">
        <v>10948</v>
      </c>
      <c r="B40" t="s">
        <v>1202</v>
      </c>
      <c r="C40" t="s">
        <v>1178</v>
      </c>
      <c r="D40" t="s">
        <v>1147</v>
      </c>
      <c r="E40" t="s">
        <v>1146</v>
      </c>
      <c r="F40" t="s">
        <v>1164</v>
      </c>
      <c r="G40" s="1">
        <v>41741</v>
      </c>
      <c r="H40" s="8">
        <v>374.24</v>
      </c>
      <c r="I40" s="9">
        <v>17.215039999999998</v>
      </c>
      <c r="J40" s="9">
        <v>391.45504</v>
      </c>
    </row>
    <row r="41" spans="1:10" x14ac:dyDescent="0.3">
      <c r="A41" s="4">
        <v>10974</v>
      </c>
      <c r="B41" t="s">
        <v>1167</v>
      </c>
      <c r="C41" t="s">
        <v>1140</v>
      </c>
      <c r="D41" t="s">
        <v>1147</v>
      </c>
      <c r="E41" t="s">
        <v>1146</v>
      </c>
      <c r="F41" t="s">
        <v>1164</v>
      </c>
      <c r="G41" s="1">
        <v>41753</v>
      </c>
      <c r="H41" s="8">
        <v>207.36</v>
      </c>
      <c r="I41" s="9">
        <v>5.8060799999999997</v>
      </c>
      <c r="J41" s="9">
        <v>213.16607999999999</v>
      </c>
    </row>
    <row r="42" spans="1:10" x14ac:dyDescent="0.3">
      <c r="A42" s="4">
        <v>11003</v>
      </c>
      <c r="B42" t="s">
        <v>1203</v>
      </c>
      <c r="C42" t="s">
        <v>1140</v>
      </c>
      <c r="D42" t="s">
        <v>1147</v>
      </c>
      <c r="E42" t="s">
        <v>1146</v>
      </c>
      <c r="F42" t="s">
        <v>1164</v>
      </c>
      <c r="G42" s="1">
        <v>41765</v>
      </c>
      <c r="H42" s="8">
        <v>238.56</v>
      </c>
      <c r="I42" s="9">
        <v>6.6796800000000003</v>
      </c>
      <c r="J42" s="9">
        <v>245.23967999999999</v>
      </c>
    </row>
    <row r="43" spans="1:10" x14ac:dyDescent="0.3">
      <c r="A43" s="4">
        <v>11006</v>
      </c>
      <c r="B43" t="s">
        <v>1201</v>
      </c>
      <c r="C43" t="s">
        <v>1140</v>
      </c>
      <c r="D43" t="s">
        <v>1147</v>
      </c>
      <c r="E43" t="s">
        <v>1145</v>
      </c>
      <c r="F43" t="s">
        <v>1164</v>
      </c>
      <c r="G43" s="1">
        <v>41766</v>
      </c>
      <c r="H43" s="8">
        <v>403.04</v>
      </c>
      <c r="I43" s="9">
        <v>11.285119999999999</v>
      </c>
      <c r="J43" s="9">
        <v>414.32512000000003</v>
      </c>
    </row>
    <row r="44" spans="1:10" x14ac:dyDescent="0.3">
      <c r="A44" s="4">
        <v>11057</v>
      </c>
      <c r="B44" t="s">
        <v>1176</v>
      </c>
      <c r="C44" t="s">
        <v>1142</v>
      </c>
      <c r="D44" t="s">
        <v>1147</v>
      </c>
      <c r="E44" t="s">
        <v>1146</v>
      </c>
      <c r="F44" t="s">
        <v>1164</v>
      </c>
      <c r="G44" s="1">
        <v>41788</v>
      </c>
      <c r="H44" s="8">
        <v>264.32</v>
      </c>
      <c r="I44" s="9">
        <v>8.45824</v>
      </c>
      <c r="J44" s="9">
        <v>272.77823999999998</v>
      </c>
    </row>
    <row r="45" spans="1:10" x14ac:dyDescent="0.3">
      <c r="A45" s="4">
        <v>10427</v>
      </c>
      <c r="B45" t="s">
        <v>1204</v>
      </c>
      <c r="C45" t="s">
        <v>1205</v>
      </c>
      <c r="D45" t="s">
        <v>1148</v>
      </c>
      <c r="E45" t="s">
        <v>1145</v>
      </c>
      <c r="F45" t="s">
        <v>1161</v>
      </c>
      <c r="G45" s="1">
        <v>41332</v>
      </c>
      <c r="H45" s="8">
        <v>500.64</v>
      </c>
      <c r="I45" s="9">
        <v>28.536480000000001</v>
      </c>
      <c r="J45" s="9">
        <v>529.17647999999997</v>
      </c>
    </row>
    <row r="46" spans="1:10" x14ac:dyDescent="0.3">
      <c r="A46" s="4">
        <v>10431</v>
      </c>
      <c r="B46" t="s">
        <v>1166</v>
      </c>
      <c r="C46" t="s">
        <v>1139</v>
      </c>
      <c r="D46" t="s">
        <v>1148</v>
      </c>
      <c r="E46" t="s">
        <v>1145</v>
      </c>
      <c r="F46" t="s">
        <v>1161</v>
      </c>
      <c r="G46" s="1">
        <v>41335</v>
      </c>
      <c r="H46" s="8">
        <v>706.72</v>
      </c>
      <c r="I46" s="9">
        <v>24.735199999999999</v>
      </c>
      <c r="J46" s="9">
        <v>731.45519999999999</v>
      </c>
    </row>
    <row r="47" spans="1:10" x14ac:dyDescent="0.3">
      <c r="A47" s="4">
        <v>10448</v>
      </c>
      <c r="B47" t="s">
        <v>1206</v>
      </c>
      <c r="C47" t="s">
        <v>1138</v>
      </c>
      <c r="D47" t="s">
        <v>1148</v>
      </c>
      <c r="E47" t="s">
        <v>1145</v>
      </c>
      <c r="F47" t="s">
        <v>1161</v>
      </c>
      <c r="G47" s="1">
        <v>41353</v>
      </c>
      <c r="H47" s="8">
        <v>621.12</v>
      </c>
      <c r="I47" s="9">
        <v>24.223680000000002</v>
      </c>
      <c r="J47" s="9">
        <v>645.34367999999995</v>
      </c>
    </row>
    <row r="48" spans="1:10" x14ac:dyDescent="0.3">
      <c r="A48" s="4">
        <v>10454</v>
      </c>
      <c r="B48" t="s">
        <v>1207</v>
      </c>
      <c r="C48" t="s">
        <v>1141</v>
      </c>
      <c r="D48" t="s">
        <v>1148</v>
      </c>
      <c r="E48" t="s">
        <v>1146</v>
      </c>
      <c r="F48" t="s">
        <v>1164</v>
      </c>
      <c r="G48" s="1">
        <v>41357</v>
      </c>
      <c r="H48" s="8">
        <v>175.36</v>
      </c>
      <c r="I48" s="9">
        <v>3.5072000000000001</v>
      </c>
      <c r="J48" s="9">
        <v>178.8672</v>
      </c>
    </row>
    <row r="49" spans="1:10" x14ac:dyDescent="0.3">
      <c r="A49" s="4">
        <v>10459</v>
      </c>
      <c r="B49" t="s">
        <v>1193</v>
      </c>
      <c r="C49" t="s">
        <v>1141</v>
      </c>
      <c r="D49" t="s">
        <v>1148</v>
      </c>
      <c r="E49" t="s">
        <v>1145</v>
      </c>
      <c r="F49" t="s">
        <v>1161</v>
      </c>
      <c r="G49" s="1">
        <v>41363</v>
      </c>
      <c r="H49" s="8">
        <v>401.44</v>
      </c>
      <c r="I49" s="9">
        <v>7.6273600000000004</v>
      </c>
      <c r="J49" s="9">
        <v>409.06736000000001</v>
      </c>
    </row>
    <row r="50" spans="1:10" x14ac:dyDescent="0.3">
      <c r="A50" s="4">
        <v>10493</v>
      </c>
      <c r="B50" t="s">
        <v>1207</v>
      </c>
      <c r="C50" t="s">
        <v>1141</v>
      </c>
      <c r="D50" t="s">
        <v>1148</v>
      </c>
      <c r="E50" t="s">
        <v>1146</v>
      </c>
      <c r="F50" t="s">
        <v>1164</v>
      </c>
      <c r="G50" s="1">
        <v>41397</v>
      </c>
      <c r="H50" s="8">
        <v>680.96</v>
      </c>
      <c r="I50" s="9">
        <v>13.619199999999999</v>
      </c>
      <c r="J50" s="9">
        <v>694.57920000000001</v>
      </c>
    </row>
    <row r="51" spans="1:10" x14ac:dyDescent="0.3">
      <c r="A51" s="4">
        <v>10564</v>
      </c>
      <c r="B51" t="s">
        <v>1194</v>
      </c>
      <c r="C51" t="s">
        <v>1140</v>
      </c>
      <c r="D51" t="s">
        <v>1148</v>
      </c>
      <c r="E51" t="s">
        <v>1146</v>
      </c>
      <c r="F51" t="s">
        <v>1164</v>
      </c>
      <c r="G51" s="1">
        <v>41466</v>
      </c>
      <c r="H51" s="8">
        <v>220</v>
      </c>
      <c r="I51" s="9">
        <v>6.16</v>
      </c>
      <c r="J51" s="9">
        <v>226.16</v>
      </c>
    </row>
    <row r="52" spans="1:10" x14ac:dyDescent="0.3">
      <c r="A52" s="4">
        <v>10574</v>
      </c>
      <c r="B52" t="s">
        <v>1208</v>
      </c>
      <c r="C52" t="s">
        <v>1140</v>
      </c>
      <c r="D52" t="s">
        <v>1148</v>
      </c>
      <c r="E52" t="s">
        <v>1145</v>
      </c>
      <c r="F52" t="s">
        <v>1164</v>
      </c>
      <c r="G52" s="1">
        <v>41475</v>
      </c>
      <c r="H52" s="8">
        <v>601.6</v>
      </c>
      <c r="I52" s="9">
        <v>16.844799999999999</v>
      </c>
      <c r="J52" s="9">
        <v>618.44479999999999</v>
      </c>
    </row>
    <row r="53" spans="1:10" x14ac:dyDescent="0.3">
      <c r="A53" s="4">
        <v>10578</v>
      </c>
      <c r="B53" t="s">
        <v>1173</v>
      </c>
      <c r="C53" t="s">
        <v>1142</v>
      </c>
      <c r="D53" t="s">
        <v>1148</v>
      </c>
      <c r="E53" t="s">
        <v>1146</v>
      </c>
      <c r="F53" t="s">
        <v>1164</v>
      </c>
      <c r="G53" s="1">
        <v>41480</v>
      </c>
      <c r="H53" s="8">
        <v>473.6</v>
      </c>
      <c r="I53" s="9">
        <v>15.155200000000001</v>
      </c>
      <c r="J53" s="9">
        <v>488.7552</v>
      </c>
    </row>
    <row r="54" spans="1:10" x14ac:dyDescent="0.3">
      <c r="A54" s="4">
        <v>10590</v>
      </c>
      <c r="B54" t="s">
        <v>1175</v>
      </c>
      <c r="C54" t="s">
        <v>1139</v>
      </c>
      <c r="D54" t="s">
        <v>1148</v>
      </c>
      <c r="E54" t="s">
        <v>1146</v>
      </c>
      <c r="F54" t="s">
        <v>1164</v>
      </c>
      <c r="G54" s="1">
        <v>41493</v>
      </c>
      <c r="H54" s="8">
        <v>716.32</v>
      </c>
      <c r="I54" s="9">
        <v>25.787520000000001</v>
      </c>
      <c r="J54" s="9">
        <v>742.10752000000002</v>
      </c>
    </row>
    <row r="55" spans="1:10" x14ac:dyDescent="0.3">
      <c r="A55" s="4">
        <v>10608</v>
      </c>
      <c r="B55" t="s">
        <v>1169</v>
      </c>
      <c r="C55" t="s">
        <v>1137</v>
      </c>
      <c r="D55" t="s">
        <v>1148</v>
      </c>
      <c r="E55" t="s">
        <v>1145</v>
      </c>
      <c r="F55" t="s">
        <v>1164</v>
      </c>
      <c r="G55" s="1">
        <v>41509</v>
      </c>
      <c r="H55" s="8">
        <v>444.64</v>
      </c>
      <c r="I55" s="9">
        <v>10.67136</v>
      </c>
      <c r="J55" s="9">
        <v>455.31135999999998</v>
      </c>
    </row>
    <row r="56" spans="1:10" x14ac:dyDescent="0.3">
      <c r="A56" s="4">
        <v>10613</v>
      </c>
      <c r="B56" t="s">
        <v>1209</v>
      </c>
      <c r="C56" t="s">
        <v>1163</v>
      </c>
      <c r="D56" t="s">
        <v>1148</v>
      </c>
      <c r="E56" t="s">
        <v>1145</v>
      </c>
      <c r="F56" t="s">
        <v>1164</v>
      </c>
      <c r="G56" s="1">
        <v>41515</v>
      </c>
      <c r="H56" s="8">
        <v>519.04</v>
      </c>
      <c r="I56" s="9">
        <v>17.647359999999999</v>
      </c>
      <c r="J56" s="9">
        <v>536.68736000000001</v>
      </c>
    </row>
    <row r="57" spans="1:10" x14ac:dyDescent="0.3">
      <c r="A57" s="4">
        <v>10617</v>
      </c>
      <c r="B57" t="s">
        <v>1201</v>
      </c>
      <c r="C57" t="s">
        <v>1140</v>
      </c>
      <c r="D57" t="s">
        <v>1148</v>
      </c>
      <c r="E57" t="s">
        <v>1145</v>
      </c>
      <c r="F57" t="s">
        <v>1164</v>
      </c>
      <c r="G57" s="1">
        <v>41517</v>
      </c>
      <c r="H57" s="8">
        <v>296.48</v>
      </c>
      <c r="I57" s="9">
        <v>8.3014399999999995</v>
      </c>
      <c r="J57" s="9">
        <v>304.78143999999998</v>
      </c>
    </row>
    <row r="58" spans="1:10" x14ac:dyDescent="0.3">
      <c r="A58" s="4">
        <v>10621</v>
      </c>
      <c r="B58" t="s">
        <v>1210</v>
      </c>
      <c r="C58" t="s">
        <v>1142</v>
      </c>
      <c r="D58" t="s">
        <v>1148</v>
      </c>
      <c r="E58" t="s">
        <v>1145</v>
      </c>
      <c r="F58" t="s">
        <v>1164</v>
      </c>
      <c r="G58" s="1">
        <v>41522</v>
      </c>
      <c r="H58" s="8">
        <v>379.68</v>
      </c>
      <c r="I58" s="9">
        <v>12.149760000000001</v>
      </c>
      <c r="J58" s="9">
        <v>391.82976000000002</v>
      </c>
    </row>
    <row r="59" spans="1:10" x14ac:dyDescent="0.3">
      <c r="A59" s="4">
        <v>10628</v>
      </c>
      <c r="B59" t="s">
        <v>1171</v>
      </c>
      <c r="C59" t="s">
        <v>1141</v>
      </c>
      <c r="D59" t="s">
        <v>1148</v>
      </c>
      <c r="E59" t="s">
        <v>1146</v>
      </c>
      <c r="F59" t="s">
        <v>1164</v>
      </c>
      <c r="G59" s="1">
        <v>41529</v>
      </c>
      <c r="H59" s="8">
        <v>485.76</v>
      </c>
      <c r="I59" s="9">
        <v>9.7151999999999994</v>
      </c>
      <c r="J59" s="9">
        <v>495.47519999999997</v>
      </c>
    </row>
    <row r="60" spans="1:10" x14ac:dyDescent="0.3">
      <c r="A60" s="4">
        <v>10647</v>
      </c>
      <c r="B60" t="s">
        <v>1211</v>
      </c>
      <c r="C60" t="s">
        <v>1184</v>
      </c>
      <c r="D60" t="s">
        <v>1148</v>
      </c>
      <c r="E60" t="s">
        <v>1145</v>
      </c>
      <c r="F60" t="s">
        <v>1164</v>
      </c>
      <c r="G60" s="1">
        <v>41544</v>
      </c>
      <c r="H60" s="8">
        <v>728.64</v>
      </c>
      <c r="I60" s="9">
        <v>16.030080000000002</v>
      </c>
      <c r="J60" s="9">
        <v>744.67007999999998</v>
      </c>
    </row>
    <row r="61" spans="1:10" x14ac:dyDescent="0.3">
      <c r="A61" s="4">
        <v>10652</v>
      </c>
      <c r="B61" t="s">
        <v>1212</v>
      </c>
      <c r="C61" t="s">
        <v>1184</v>
      </c>
      <c r="D61" t="s">
        <v>1148</v>
      </c>
      <c r="E61" t="s">
        <v>1145</v>
      </c>
      <c r="F61" t="s">
        <v>1164</v>
      </c>
      <c r="G61" s="1">
        <v>41549</v>
      </c>
      <c r="H61" s="8">
        <v>456.96</v>
      </c>
      <c r="I61" s="9">
        <v>10.05312</v>
      </c>
      <c r="J61" s="9">
        <v>467.01312000000001</v>
      </c>
    </row>
    <row r="62" spans="1:10" x14ac:dyDescent="0.3">
      <c r="A62" s="4">
        <v>10674</v>
      </c>
      <c r="B62" t="s">
        <v>1210</v>
      </c>
      <c r="C62" t="s">
        <v>1142</v>
      </c>
      <c r="D62" t="s">
        <v>1148</v>
      </c>
      <c r="E62" t="s">
        <v>1145</v>
      </c>
      <c r="F62" t="s">
        <v>1164</v>
      </c>
      <c r="G62" s="1">
        <v>41566</v>
      </c>
      <c r="H62" s="8">
        <v>3317.76</v>
      </c>
      <c r="I62" s="9">
        <v>106.16831999999999</v>
      </c>
      <c r="J62" s="9">
        <v>3423.92832</v>
      </c>
    </row>
    <row r="63" spans="1:10" x14ac:dyDescent="0.3">
      <c r="A63" s="4">
        <v>10685</v>
      </c>
      <c r="B63" t="s">
        <v>1212</v>
      </c>
      <c r="C63" t="s">
        <v>1184</v>
      </c>
      <c r="D63" t="s">
        <v>1148</v>
      </c>
      <c r="E63" t="s">
        <v>1145</v>
      </c>
      <c r="F63" t="s">
        <v>1164</v>
      </c>
      <c r="G63" s="1">
        <v>41577</v>
      </c>
      <c r="H63" s="8">
        <v>540</v>
      </c>
      <c r="I63" s="9">
        <v>11.88</v>
      </c>
      <c r="J63" s="9">
        <v>551.88</v>
      </c>
    </row>
    <row r="64" spans="1:10" x14ac:dyDescent="0.3">
      <c r="A64" s="4">
        <v>10707</v>
      </c>
      <c r="B64" t="s">
        <v>1192</v>
      </c>
      <c r="C64" t="s">
        <v>1142</v>
      </c>
      <c r="D64" t="s">
        <v>1148</v>
      </c>
      <c r="E64" t="s">
        <v>1146</v>
      </c>
      <c r="F64" t="s">
        <v>1164</v>
      </c>
      <c r="G64" s="1">
        <v>41594</v>
      </c>
      <c r="H64" s="8">
        <v>347.84</v>
      </c>
      <c r="I64" s="9">
        <v>11.130879999999999</v>
      </c>
      <c r="J64" s="9">
        <v>358.97088000000002</v>
      </c>
    </row>
    <row r="65" spans="1:10" x14ac:dyDescent="0.3">
      <c r="A65" s="4">
        <v>10716</v>
      </c>
      <c r="B65" t="s">
        <v>1206</v>
      </c>
      <c r="C65" t="s">
        <v>1138</v>
      </c>
      <c r="D65" t="s">
        <v>1148</v>
      </c>
      <c r="E65" t="s">
        <v>1145</v>
      </c>
      <c r="F65" t="s">
        <v>1164</v>
      </c>
      <c r="G65" s="1">
        <v>41602</v>
      </c>
      <c r="H65" s="8">
        <v>361.12</v>
      </c>
      <c r="I65" s="9">
        <v>14.444800000000001</v>
      </c>
      <c r="J65" s="9">
        <v>375.56479999999999</v>
      </c>
    </row>
    <row r="66" spans="1:10" x14ac:dyDescent="0.3">
      <c r="A66" s="4">
        <v>10725</v>
      </c>
      <c r="B66" t="s">
        <v>1213</v>
      </c>
      <c r="C66" t="s">
        <v>1184</v>
      </c>
      <c r="D66" t="s">
        <v>1148</v>
      </c>
      <c r="E66" t="s">
        <v>1146</v>
      </c>
      <c r="F66" t="s">
        <v>1164</v>
      </c>
      <c r="G66" s="1">
        <v>41609</v>
      </c>
      <c r="H66" s="8">
        <v>693.12</v>
      </c>
      <c r="I66" s="9">
        <v>15.24864</v>
      </c>
      <c r="J66" s="9">
        <v>708.36864000000003</v>
      </c>
    </row>
    <row r="67" spans="1:10" x14ac:dyDescent="0.3">
      <c r="A67" s="4">
        <v>10741</v>
      </c>
      <c r="B67" t="s">
        <v>1170</v>
      </c>
      <c r="C67" t="s">
        <v>1143</v>
      </c>
      <c r="D67" t="s">
        <v>1148</v>
      </c>
      <c r="E67" t="s">
        <v>1146</v>
      </c>
      <c r="F67" t="s">
        <v>1164</v>
      </c>
      <c r="G67" s="1">
        <v>41623</v>
      </c>
      <c r="H67" s="8">
        <v>701.44</v>
      </c>
      <c r="I67" s="9">
        <v>26.654720000000001</v>
      </c>
      <c r="J67" s="9">
        <v>728.09472000000005</v>
      </c>
    </row>
    <row r="68" spans="1:10" x14ac:dyDescent="0.3">
      <c r="A68" s="4">
        <v>10755</v>
      </c>
      <c r="B68" t="s">
        <v>1214</v>
      </c>
      <c r="C68" t="s">
        <v>1141</v>
      </c>
      <c r="D68" t="s">
        <v>1148</v>
      </c>
      <c r="E68" t="s">
        <v>1145</v>
      </c>
      <c r="F68" t="s">
        <v>1164</v>
      </c>
      <c r="G68" s="1">
        <v>41635</v>
      </c>
      <c r="H68" s="8">
        <v>267.36</v>
      </c>
      <c r="I68" s="9">
        <v>5.3472</v>
      </c>
      <c r="J68" s="9">
        <v>272.7072</v>
      </c>
    </row>
    <row r="69" spans="1:10" x14ac:dyDescent="0.3">
      <c r="A69" s="4">
        <v>10767</v>
      </c>
      <c r="B69" t="s">
        <v>1215</v>
      </c>
      <c r="C69" t="s">
        <v>1216</v>
      </c>
      <c r="D69" t="s">
        <v>1148</v>
      </c>
      <c r="E69" t="s">
        <v>1146</v>
      </c>
      <c r="F69" t="s">
        <v>1164</v>
      </c>
      <c r="G69" s="1">
        <v>41644</v>
      </c>
      <c r="H69" s="8">
        <v>101.76</v>
      </c>
      <c r="I69" s="9">
        <v>2.6457600000000001</v>
      </c>
      <c r="J69" s="9">
        <v>104.40576</v>
      </c>
    </row>
    <row r="70" spans="1:10" x14ac:dyDescent="0.3">
      <c r="A70" s="4">
        <v>10840</v>
      </c>
      <c r="B70" t="s">
        <v>1217</v>
      </c>
      <c r="C70" t="s">
        <v>1163</v>
      </c>
      <c r="D70" t="s">
        <v>1148</v>
      </c>
      <c r="E70" t="s">
        <v>1145</v>
      </c>
      <c r="F70" t="s">
        <v>1164</v>
      </c>
      <c r="G70" s="1">
        <v>41689</v>
      </c>
      <c r="H70" s="8">
        <v>173.44</v>
      </c>
      <c r="I70" s="9">
        <v>5.89696</v>
      </c>
      <c r="J70" s="9">
        <v>179.33696</v>
      </c>
    </row>
    <row r="71" spans="1:10" x14ac:dyDescent="0.3">
      <c r="A71" s="4">
        <v>10843</v>
      </c>
      <c r="B71" t="s">
        <v>1193</v>
      </c>
      <c r="C71" t="s">
        <v>1141</v>
      </c>
      <c r="D71" t="s">
        <v>1148</v>
      </c>
      <c r="E71" t="s">
        <v>1145</v>
      </c>
      <c r="F71" t="s">
        <v>1164</v>
      </c>
      <c r="G71" s="1">
        <v>41691</v>
      </c>
      <c r="H71" s="8">
        <v>592.64</v>
      </c>
      <c r="I71" s="9">
        <v>11.8528</v>
      </c>
      <c r="J71" s="9">
        <v>604.49279999999999</v>
      </c>
    </row>
    <row r="72" spans="1:10" x14ac:dyDescent="0.3">
      <c r="A72" s="4">
        <v>10861</v>
      </c>
      <c r="B72" t="s">
        <v>1218</v>
      </c>
      <c r="C72" t="s">
        <v>1140</v>
      </c>
      <c r="D72" t="s">
        <v>1148</v>
      </c>
      <c r="E72" t="s">
        <v>1145</v>
      </c>
      <c r="F72" t="s">
        <v>1164</v>
      </c>
      <c r="G72" s="1">
        <v>41699</v>
      </c>
      <c r="H72" s="8">
        <v>238.88</v>
      </c>
      <c r="I72" s="9">
        <v>6.6886400000000004</v>
      </c>
      <c r="J72" s="9">
        <v>245.56863999999999</v>
      </c>
    </row>
    <row r="73" spans="1:10" x14ac:dyDescent="0.3">
      <c r="A73" s="4">
        <v>10863</v>
      </c>
      <c r="B73" t="s">
        <v>1209</v>
      </c>
      <c r="C73" t="s">
        <v>1163</v>
      </c>
      <c r="D73" t="s">
        <v>1148</v>
      </c>
      <c r="E73" t="s">
        <v>1145</v>
      </c>
      <c r="F73" t="s">
        <v>1164</v>
      </c>
      <c r="G73" s="1">
        <v>41702</v>
      </c>
      <c r="H73" s="8">
        <v>484.16</v>
      </c>
      <c r="I73" s="9">
        <v>16.46144</v>
      </c>
      <c r="J73" s="9">
        <v>500.62144000000001</v>
      </c>
    </row>
    <row r="74" spans="1:10" x14ac:dyDescent="0.3">
      <c r="A74" s="4">
        <v>10864</v>
      </c>
      <c r="B74" t="s">
        <v>1192</v>
      </c>
      <c r="C74" t="s">
        <v>1142</v>
      </c>
      <c r="D74" t="s">
        <v>1148</v>
      </c>
      <c r="E74" t="s">
        <v>1145</v>
      </c>
      <c r="F74" t="s">
        <v>1164</v>
      </c>
      <c r="G74" s="1">
        <v>41702</v>
      </c>
      <c r="H74" s="8">
        <v>194.56</v>
      </c>
      <c r="I74" s="9">
        <v>6.2259200000000003</v>
      </c>
      <c r="J74" s="9">
        <v>200.78592</v>
      </c>
    </row>
    <row r="75" spans="1:10" x14ac:dyDescent="0.3">
      <c r="A75" s="4">
        <v>10875</v>
      </c>
      <c r="B75" t="s">
        <v>1170</v>
      </c>
      <c r="C75" t="s">
        <v>1143</v>
      </c>
      <c r="D75" t="s">
        <v>1148</v>
      </c>
      <c r="E75" t="s">
        <v>1145</v>
      </c>
      <c r="F75" t="s">
        <v>1164</v>
      </c>
      <c r="G75" s="1">
        <v>41706</v>
      </c>
      <c r="H75" s="8">
        <v>517.91999999999996</v>
      </c>
      <c r="I75" s="9">
        <v>19.680959999999999</v>
      </c>
      <c r="J75" s="9">
        <v>537.60095999999999</v>
      </c>
    </row>
    <row r="76" spans="1:10" x14ac:dyDescent="0.3">
      <c r="A76" s="4">
        <v>10882</v>
      </c>
      <c r="B76" t="s">
        <v>1219</v>
      </c>
      <c r="C76" t="s">
        <v>1140</v>
      </c>
      <c r="D76" t="s">
        <v>1148</v>
      </c>
      <c r="E76" t="s">
        <v>1146</v>
      </c>
      <c r="F76" t="s">
        <v>1164</v>
      </c>
      <c r="G76" s="1">
        <v>41711</v>
      </c>
      <c r="H76" s="8">
        <v>369.6</v>
      </c>
      <c r="I76" s="9">
        <v>10.348800000000001</v>
      </c>
      <c r="J76" s="9">
        <v>379.94880000000001</v>
      </c>
    </row>
    <row r="77" spans="1:10" x14ac:dyDescent="0.3">
      <c r="A77" s="4">
        <v>10898</v>
      </c>
      <c r="B77" t="s">
        <v>1220</v>
      </c>
      <c r="C77" t="s">
        <v>1138</v>
      </c>
      <c r="D77" t="s">
        <v>1148</v>
      </c>
      <c r="E77" t="s">
        <v>1145</v>
      </c>
      <c r="F77" t="s">
        <v>1164</v>
      </c>
      <c r="G77" s="1">
        <v>41720</v>
      </c>
      <c r="H77" s="8">
        <v>81.28</v>
      </c>
      <c r="I77" s="9">
        <v>3.2511999999999999</v>
      </c>
      <c r="J77" s="9">
        <v>84.531199999999998</v>
      </c>
    </row>
    <row r="78" spans="1:10" x14ac:dyDescent="0.3">
      <c r="A78" s="4">
        <v>10906</v>
      </c>
      <c r="B78" t="s">
        <v>1221</v>
      </c>
      <c r="C78" t="s">
        <v>1222</v>
      </c>
      <c r="D78" t="s">
        <v>1148</v>
      </c>
      <c r="E78" t="s">
        <v>1146</v>
      </c>
      <c r="F78" t="s">
        <v>1164</v>
      </c>
      <c r="G78" s="1">
        <v>41725</v>
      </c>
      <c r="H78" s="8">
        <v>420.64</v>
      </c>
      <c r="I78" s="9">
        <v>21.032</v>
      </c>
      <c r="J78" s="9">
        <v>441.67200000000003</v>
      </c>
    </row>
    <row r="79" spans="1:10" x14ac:dyDescent="0.3">
      <c r="A79" s="4">
        <v>10908</v>
      </c>
      <c r="B79" t="s">
        <v>1223</v>
      </c>
      <c r="C79" t="s">
        <v>1224</v>
      </c>
      <c r="D79" t="s">
        <v>1148</v>
      </c>
      <c r="E79" t="s">
        <v>1145</v>
      </c>
      <c r="F79" t="s">
        <v>1164</v>
      </c>
      <c r="G79" s="1">
        <v>41726</v>
      </c>
      <c r="H79" s="8">
        <v>527.36</v>
      </c>
      <c r="I79" s="9">
        <v>23.20384</v>
      </c>
      <c r="J79" s="9">
        <v>550.56384000000003</v>
      </c>
    </row>
    <row r="80" spans="1:10" x14ac:dyDescent="0.3">
      <c r="A80" s="4">
        <v>10917</v>
      </c>
      <c r="B80" t="s">
        <v>1225</v>
      </c>
      <c r="C80" t="s">
        <v>1178</v>
      </c>
      <c r="D80" t="s">
        <v>1148</v>
      </c>
      <c r="E80" t="s">
        <v>1145</v>
      </c>
      <c r="F80" t="s">
        <v>1164</v>
      </c>
      <c r="G80" s="1">
        <v>41730</v>
      </c>
      <c r="H80" s="8">
        <v>530.55999999999995</v>
      </c>
      <c r="I80" s="9">
        <v>24.405760000000001</v>
      </c>
      <c r="J80" s="9">
        <v>554.96576000000005</v>
      </c>
    </row>
    <row r="81" spans="1:10" x14ac:dyDescent="0.3">
      <c r="A81" s="4">
        <v>10920</v>
      </c>
      <c r="B81" t="s">
        <v>1192</v>
      </c>
      <c r="C81" t="s">
        <v>1142</v>
      </c>
      <c r="D81" t="s">
        <v>1148</v>
      </c>
      <c r="E81" t="s">
        <v>1145</v>
      </c>
      <c r="F81" t="s">
        <v>1164</v>
      </c>
      <c r="G81" s="1">
        <v>41731</v>
      </c>
      <c r="H81" s="8">
        <v>473.76</v>
      </c>
      <c r="I81" s="9">
        <v>15.16032</v>
      </c>
      <c r="J81" s="9">
        <v>488.92032</v>
      </c>
    </row>
    <row r="82" spans="1:10" x14ac:dyDescent="0.3">
      <c r="A82" s="4">
        <v>10926</v>
      </c>
      <c r="B82" t="s">
        <v>1189</v>
      </c>
      <c r="C82" t="s">
        <v>1180</v>
      </c>
      <c r="D82" t="s">
        <v>1148</v>
      </c>
      <c r="E82" t="s">
        <v>1146</v>
      </c>
      <c r="F82" t="s">
        <v>1164</v>
      </c>
      <c r="G82" s="1">
        <v>41732</v>
      </c>
      <c r="H82" s="8">
        <v>638.72</v>
      </c>
      <c r="I82" s="9">
        <v>30.658560000000001</v>
      </c>
      <c r="J82" s="9">
        <v>669.37855999999999</v>
      </c>
    </row>
    <row r="83" spans="1:10" x14ac:dyDescent="0.3">
      <c r="A83" s="4">
        <v>10930</v>
      </c>
      <c r="B83" t="s">
        <v>1215</v>
      </c>
      <c r="C83" t="s">
        <v>1216</v>
      </c>
      <c r="D83" t="s">
        <v>1148</v>
      </c>
      <c r="E83" t="s">
        <v>1146</v>
      </c>
      <c r="F83" t="s">
        <v>1164</v>
      </c>
      <c r="G83" s="1">
        <v>41734</v>
      </c>
      <c r="H83" s="8">
        <v>248.8</v>
      </c>
      <c r="I83" s="9">
        <v>6.4687999999999999</v>
      </c>
      <c r="J83" s="9">
        <v>255.2688</v>
      </c>
    </row>
    <row r="84" spans="1:10" x14ac:dyDescent="0.3">
      <c r="A84" s="4">
        <v>10931</v>
      </c>
      <c r="B84" t="s">
        <v>1226</v>
      </c>
      <c r="C84" t="s">
        <v>1227</v>
      </c>
      <c r="D84" t="s">
        <v>1148</v>
      </c>
      <c r="E84" t="s">
        <v>1145</v>
      </c>
      <c r="F84" t="s">
        <v>1164</v>
      </c>
      <c r="G84" s="1">
        <v>41734</v>
      </c>
      <c r="H84" s="8">
        <v>217.6</v>
      </c>
      <c r="I84" s="9">
        <v>12.185600000000001</v>
      </c>
      <c r="J84" s="9">
        <v>229.78559999999999</v>
      </c>
    </row>
    <row r="85" spans="1:10" x14ac:dyDescent="0.3">
      <c r="A85" s="4">
        <v>10943</v>
      </c>
      <c r="B85" t="s">
        <v>1173</v>
      </c>
      <c r="C85" t="s">
        <v>1142</v>
      </c>
      <c r="D85" t="s">
        <v>1148</v>
      </c>
      <c r="E85" t="s">
        <v>1145</v>
      </c>
      <c r="F85" t="s">
        <v>1164</v>
      </c>
      <c r="G85" s="1">
        <v>41739</v>
      </c>
      <c r="H85" s="8">
        <v>138.88</v>
      </c>
      <c r="I85" s="9">
        <v>4.4441600000000001</v>
      </c>
      <c r="J85" s="9">
        <v>143.32416000000001</v>
      </c>
    </row>
    <row r="86" spans="1:10" x14ac:dyDescent="0.3">
      <c r="A86" s="4">
        <v>10972</v>
      </c>
      <c r="B86" t="s">
        <v>1228</v>
      </c>
      <c r="C86" t="s">
        <v>1141</v>
      </c>
      <c r="D86" t="s">
        <v>1148</v>
      </c>
      <c r="E86" t="s">
        <v>1145</v>
      </c>
      <c r="F86" t="s">
        <v>1164</v>
      </c>
      <c r="G86" s="1">
        <v>41752</v>
      </c>
      <c r="H86" s="8">
        <v>131.53337343999999</v>
      </c>
      <c r="I86" s="9">
        <v>2.6306674688</v>
      </c>
      <c r="J86" s="9">
        <v>134.16404090879999</v>
      </c>
    </row>
    <row r="87" spans="1:10" x14ac:dyDescent="0.3">
      <c r="A87" s="4">
        <v>10996</v>
      </c>
      <c r="B87" t="s">
        <v>1191</v>
      </c>
      <c r="C87" t="s">
        <v>1137</v>
      </c>
      <c r="D87" t="s">
        <v>1148</v>
      </c>
      <c r="E87" t="s">
        <v>1145</v>
      </c>
      <c r="F87" t="s">
        <v>1164</v>
      </c>
      <c r="G87" s="1">
        <v>41761</v>
      </c>
      <c r="H87" s="8">
        <v>71.680000000000007</v>
      </c>
      <c r="I87" s="9">
        <v>1.7203200000000001</v>
      </c>
      <c r="J87" s="9">
        <v>73.400319999999994</v>
      </c>
    </row>
    <row r="88" spans="1:10" x14ac:dyDescent="0.3">
      <c r="A88" s="4">
        <v>11018</v>
      </c>
      <c r="B88" t="s">
        <v>1185</v>
      </c>
      <c r="C88" t="s">
        <v>1140</v>
      </c>
      <c r="D88" t="s">
        <v>1148</v>
      </c>
      <c r="E88" t="s">
        <v>1145</v>
      </c>
      <c r="F88" t="s">
        <v>1164</v>
      </c>
      <c r="G88" s="1">
        <v>41772</v>
      </c>
      <c r="H88" s="8">
        <v>745.6</v>
      </c>
      <c r="I88" s="9">
        <v>20.876799999999999</v>
      </c>
      <c r="J88" s="9">
        <v>766.47680000000003</v>
      </c>
    </row>
    <row r="89" spans="1:10" x14ac:dyDescent="0.3">
      <c r="A89" s="4">
        <v>11040</v>
      </c>
      <c r="B89" t="s">
        <v>1201</v>
      </c>
      <c r="C89" t="s">
        <v>1140</v>
      </c>
      <c r="D89" t="s">
        <v>1148</v>
      </c>
      <c r="E89" t="s">
        <v>1146</v>
      </c>
      <c r="F89" t="s">
        <v>1164</v>
      </c>
      <c r="G89" s="1">
        <v>41781</v>
      </c>
      <c r="H89" s="8">
        <v>301.44</v>
      </c>
      <c r="I89" s="9">
        <v>8.4403199999999998</v>
      </c>
      <c r="J89" s="9">
        <v>309.88031999999998</v>
      </c>
    </row>
    <row r="90" spans="1:10" x14ac:dyDescent="0.3">
      <c r="A90" s="4">
        <v>11061</v>
      </c>
      <c r="B90" t="s">
        <v>1201</v>
      </c>
      <c r="C90" t="s">
        <v>1140</v>
      </c>
      <c r="D90" t="s">
        <v>1148</v>
      </c>
      <c r="E90" t="s">
        <v>1146</v>
      </c>
      <c r="F90" t="s">
        <v>1164</v>
      </c>
      <c r="G90" s="1">
        <v>41789</v>
      </c>
      <c r="H90" s="8">
        <v>224.16</v>
      </c>
      <c r="I90" s="9">
        <v>6.2764800000000003</v>
      </c>
      <c r="J90" s="9">
        <v>230.43647999999999</v>
      </c>
    </row>
    <row r="91" spans="1:10" x14ac:dyDescent="0.3">
      <c r="A91" s="4">
        <v>11062</v>
      </c>
      <c r="B91" t="s">
        <v>1223</v>
      </c>
      <c r="C91" t="s">
        <v>1224</v>
      </c>
      <c r="D91" t="s">
        <v>1148</v>
      </c>
      <c r="E91" t="s">
        <v>1145</v>
      </c>
      <c r="F91" t="s">
        <v>1164</v>
      </c>
      <c r="G91" s="1">
        <v>41789</v>
      </c>
      <c r="H91" s="8">
        <v>478.88</v>
      </c>
      <c r="I91" s="9">
        <v>21.070720000000001</v>
      </c>
      <c r="J91" s="9">
        <v>499.95071999999999</v>
      </c>
    </row>
    <row r="92" spans="1:10" x14ac:dyDescent="0.3">
      <c r="A92" s="4">
        <v>11076</v>
      </c>
      <c r="B92" t="s">
        <v>1214</v>
      </c>
      <c r="C92" t="s">
        <v>1141</v>
      </c>
      <c r="D92" t="s">
        <v>1148</v>
      </c>
      <c r="E92" t="s">
        <v>1145</v>
      </c>
      <c r="F92" t="s">
        <v>1164</v>
      </c>
      <c r="G92" s="1">
        <v>41795</v>
      </c>
      <c r="H92" s="8">
        <v>612.48</v>
      </c>
      <c r="I92" s="9">
        <v>12.249599999999999</v>
      </c>
      <c r="J92" s="9">
        <v>624.7296</v>
      </c>
    </row>
    <row r="93" spans="1:10" x14ac:dyDescent="0.3">
      <c r="A93" s="4">
        <v>10378</v>
      </c>
      <c r="B93" t="s">
        <v>1168</v>
      </c>
      <c r="C93" t="s">
        <v>1143</v>
      </c>
      <c r="D93" t="s">
        <v>1229</v>
      </c>
      <c r="E93" t="s">
        <v>1146</v>
      </c>
      <c r="F93" t="s">
        <v>1164</v>
      </c>
      <c r="G93" s="1">
        <v>41284</v>
      </c>
      <c r="H93" s="8">
        <v>348.16</v>
      </c>
      <c r="I93" s="9">
        <v>13.230079999999999</v>
      </c>
      <c r="J93" s="9">
        <v>361.39008000000001</v>
      </c>
    </row>
    <row r="94" spans="1:10" x14ac:dyDescent="0.3">
      <c r="A94" s="4">
        <v>10463</v>
      </c>
      <c r="B94" t="s">
        <v>1215</v>
      </c>
      <c r="C94" t="s">
        <v>1216</v>
      </c>
      <c r="D94" t="s">
        <v>1229</v>
      </c>
      <c r="E94" t="s">
        <v>1146</v>
      </c>
      <c r="F94" t="s">
        <v>1164</v>
      </c>
      <c r="G94" s="1">
        <v>41368</v>
      </c>
      <c r="H94" s="8">
        <v>236.48</v>
      </c>
      <c r="I94" s="9">
        <v>6.1484800000000002</v>
      </c>
      <c r="J94" s="9">
        <v>242.62848</v>
      </c>
    </row>
    <row r="95" spans="1:10" x14ac:dyDescent="0.3">
      <c r="A95" s="4">
        <v>10477</v>
      </c>
      <c r="B95" t="s">
        <v>1230</v>
      </c>
      <c r="C95" t="s">
        <v>1231</v>
      </c>
      <c r="D95" t="s">
        <v>1229</v>
      </c>
      <c r="E95" t="s">
        <v>1145</v>
      </c>
      <c r="F95" t="s">
        <v>1161</v>
      </c>
      <c r="G95" s="1">
        <v>41381</v>
      </c>
      <c r="H95" s="8">
        <v>208.32</v>
      </c>
      <c r="I95" s="9">
        <v>8.5411199999999994</v>
      </c>
      <c r="J95" s="9">
        <v>216.86112</v>
      </c>
    </row>
    <row r="96" spans="1:10" x14ac:dyDescent="0.3">
      <c r="A96" s="4">
        <v>10648</v>
      </c>
      <c r="B96" t="s">
        <v>1232</v>
      </c>
      <c r="C96" t="s">
        <v>1184</v>
      </c>
      <c r="D96" t="s">
        <v>1229</v>
      </c>
      <c r="E96" t="s">
        <v>1145</v>
      </c>
      <c r="F96" t="s">
        <v>1164</v>
      </c>
      <c r="G96" s="1">
        <v>41545</v>
      </c>
      <c r="H96" s="8">
        <v>228</v>
      </c>
      <c r="I96" s="9">
        <v>5.016</v>
      </c>
      <c r="J96" s="9">
        <v>233.01599999999999</v>
      </c>
    </row>
    <row r="97" spans="1:10" x14ac:dyDescent="0.3">
      <c r="A97" s="4">
        <v>10649</v>
      </c>
      <c r="B97" t="s">
        <v>1233</v>
      </c>
      <c r="C97" t="s">
        <v>1216</v>
      </c>
      <c r="D97" t="s">
        <v>1229</v>
      </c>
      <c r="E97" t="s">
        <v>1146</v>
      </c>
      <c r="F97" t="s">
        <v>1164</v>
      </c>
      <c r="G97" s="1">
        <v>41545</v>
      </c>
      <c r="H97" s="8">
        <v>396.8</v>
      </c>
      <c r="I97" s="9">
        <v>10.316800000000001</v>
      </c>
      <c r="J97" s="9">
        <v>407.11680000000001</v>
      </c>
    </row>
    <row r="98" spans="1:10" x14ac:dyDescent="0.3">
      <c r="A98" s="4">
        <v>10675</v>
      </c>
      <c r="B98" t="s">
        <v>1234</v>
      </c>
      <c r="C98" t="s">
        <v>1137</v>
      </c>
      <c r="D98" t="s">
        <v>1229</v>
      </c>
      <c r="E98" t="s">
        <v>1145</v>
      </c>
      <c r="F98" t="s">
        <v>1164</v>
      </c>
      <c r="G98" s="1">
        <v>41567</v>
      </c>
      <c r="H98" s="8">
        <v>509.6</v>
      </c>
      <c r="I98" s="9">
        <v>12.230399999999999</v>
      </c>
      <c r="J98" s="9">
        <v>521.83040000000005</v>
      </c>
    </row>
    <row r="99" spans="1:10" x14ac:dyDescent="0.3">
      <c r="A99" s="4">
        <v>10714</v>
      </c>
      <c r="B99" t="s">
        <v>1219</v>
      </c>
      <c r="C99" t="s">
        <v>1140</v>
      </c>
      <c r="D99" t="s">
        <v>1229</v>
      </c>
      <c r="E99" t="s">
        <v>1146</v>
      </c>
      <c r="F99" t="s">
        <v>1164</v>
      </c>
      <c r="G99" s="1">
        <v>41600</v>
      </c>
      <c r="H99" s="8">
        <v>391.84</v>
      </c>
      <c r="I99" s="9">
        <v>10.97152</v>
      </c>
      <c r="J99" s="9">
        <v>402.81151999999997</v>
      </c>
    </row>
    <row r="100" spans="1:10" x14ac:dyDescent="0.3">
      <c r="A100" s="4">
        <v>10761</v>
      </c>
      <c r="B100" t="s">
        <v>1194</v>
      </c>
      <c r="C100" t="s">
        <v>1140</v>
      </c>
      <c r="D100" t="s">
        <v>1229</v>
      </c>
      <c r="E100" t="s">
        <v>1145</v>
      </c>
      <c r="F100" t="s">
        <v>1164</v>
      </c>
      <c r="G100" s="1">
        <v>41641</v>
      </c>
      <c r="H100" s="8">
        <v>298.56</v>
      </c>
      <c r="I100" s="9">
        <v>8.3596800000000009</v>
      </c>
      <c r="J100" s="9">
        <v>306.91968000000003</v>
      </c>
    </row>
    <row r="101" spans="1:10" x14ac:dyDescent="0.3">
      <c r="A101" s="4">
        <v>10870</v>
      </c>
      <c r="B101" t="s">
        <v>1218</v>
      </c>
      <c r="C101" t="s">
        <v>1140</v>
      </c>
      <c r="D101" t="s">
        <v>1229</v>
      </c>
      <c r="E101" t="s">
        <v>1146</v>
      </c>
      <c r="F101" t="s">
        <v>1164</v>
      </c>
      <c r="G101" s="1">
        <v>41704</v>
      </c>
      <c r="H101" s="8">
        <v>770.56</v>
      </c>
      <c r="I101" s="9">
        <v>21.575679999999998</v>
      </c>
      <c r="J101" s="9">
        <v>792.13567999999998</v>
      </c>
    </row>
    <row r="102" spans="1:10" x14ac:dyDescent="0.3">
      <c r="A102" s="4">
        <v>10874</v>
      </c>
      <c r="B102" t="s">
        <v>1202</v>
      </c>
      <c r="C102" t="s">
        <v>1178</v>
      </c>
      <c r="D102" t="s">
        <v>1229</v>
      </c>
      <c r="E102" t="s">
        <v>1145</v>
      </c>
      <c r="F102" t="s">
        <v>1164</v>
      </c>
      <c r="G102" s="1">
        <v>41706</v>
      </c>
      <c r="H102" s="8">
        <v>313.27999999999997</v>
      </c>
      <c r="I102" s="9">
        <v>14.410880000000001</v>
      </c>
      <c r="J102" s="9">
        <v>327.69087999999999</v>
      </c>
    </row>
    <row r="103" spans="1:10" x14ac:dyDescent="0.3">
      <c r="A103" s="4">
        <v>10899</v>
      </c>
      <c r="B103" t="s">
        <v>1162</v>
      </c>
      <c r="C103" t="s">
        <v>1163</v>
      </c>
      <c r="D103" t="s">
        <v>1229</v>
      </c>
      <c r="E103" t="s">
        <v>1146</v>
      </c>
      <c r="F103" t="s">
        <v>1164</v>
      </c>
      <c r="G103" s="1">
        <v>41720</v>
      </c>
      <c r="H103" s="8">
        <v>77.44</v>
      </c>
      <c r="I103" s="9">
        <v>2.6329600000000002</v>
      </c>
      <c r="J103" s="9">
        <v>80.072959999999995</v>
      </c>
    </row>
    <row r="104" spans="1:10" x14ac:dyDescent="0.3">
      <c r="A104" s="4">
        <v>11043</v>
      </c>
      <c r="B104" t="s">
        <v>1235</v>
      </c>
      <c r="C104" t="s">
        <v>1141</v>
      </c>
      <c r="D104" t="s">
        <v>1229</v>
      </c>
      <c r="E104" t="s">
        <v>1145</v>
      </c>
      <c r="F104" t="s">
        <v>1164</v>
      </c>
      <c r="G104" s="1">
        <v>41781</v>
      </c>
      <c r="H104" s="8">
        <v>563.20000000000005</v>
      </c>
      <c r="I104" s="9">
        <v>11.263999999999999</v>
      </c>
      <c r="J104" s="9">
        <v>574.46400000000006</v>
      </c>
    </row>
    <row r="105" spans="1:10" x14ac:dyDescent="0.3">
      <c r="A105" s="4">
        <v>10414</v>
      </c>
      <c r="B105" t="s">
        <v>1213</v>
      </c>
      <c r="C105" t="s">
        <v>1184</v>
      </c>
      <c r="D105" t="s">
        <v>1236</v>
      </c>
      <c r="E105" t="s">
        <v>1146</v>
      </c>
      <c r="F105" t="s">
        <v>1164</v>
      </c>
      <c r="G105" s="1">
        <v>41319</v>
      </c>
      <c r="H105" s="8">
        <v>343.68</v>
      </c>
      <c r="I105" s="9">
        <v>7.5609599999999997</v>
      </c>
      <c r="J105" s="9">
        <v>351.24095999999997</v>
      </c>
    </row>
    <row r="106" spans="1:10" x14ac:dyDescent="0.3">
      <c r="A106" s="4">
        <v>10471</v>
      </c>
      <c r="B106" t="s">
        <v>1173</v>
      </c>
      <c r="C106" t="s">
        <v>1142</v>
      </c>
      <c r="D106" t="s">
        <v>1236</v>
      </c>
      <c r="E106" t="s">
        <v>1146</v>
      </c>
      <c r="F106" t="s">
        <v>1164</v>
      </c>
      <c r="G106" s="1">
        <v>41375</v>
      </c>
      <c r="H106" s="8">
        <v>729.44</v>
      </c>
      <c r="I106" s="9">
        <v>23.342079999999999</v>
      </c>
      <c r="J106" s="9">
        <v>752.78207999999995</v>
      </c>
    </row>
    <row r="107" spans="1:10" x14ac:dyDescent="0.3">
      <c r="A107" s="4">
        <v>10478</v>
      </c>
      <c r="B107" t="s">
        <v>1193</v>
      </c>
      <c r="C107" t="s">
        <v>1141</v>
      </c>
      <c r="D107" t="s">
        <v>1236</v>
      </c>
      <c r="E107" t="s">
        <v>1146</v>
      </c>
      <c r="F107" t="s">
        <v>1164</v>
      </c>
      <c r="G107" s="1">
        <v>41382</v>
      </c>
      <c r="H107" s="8">
        <v>307.83999999999997</v>
      </c>
      <c r="I107" s="9">
        <v>6.1567999999999996</v>
      </c>
      <c r="J107" s="9">
        <v>313.99680000000001</v>
      </c>
    </row>
    <row r="108" spans="1:10" x14ac:dyDescent="0.3">
      <c r="A108" s="4">
        <v>10583</v>
      </c>
      <c r="B108" t="s">
        <v>1237</v>
      </c>
      <c r="C108" t="s">
        <v>1198</v>
      </c>
      <c r="D108" t="s">
        <v>1236</v>
      </c>
      <c r="E108" t="s">
        <v>1145</v>
      </c>
      <c r="F108" t="s">
        <v>1164</v>
      </c>
      <c r="G108" s="1">
        <v>41486</v>
      </c>
      <c r="H108" s="8">
        <v>465.92</v>
      </c>
      <c r="I108" s="9">
        <v>13.977600000000001</v>
      </c>
      <c r="J108" s="9">
        <v>479.89760000000001</v>
      </c>
    </row>
    <row r="109" spans="1:10" x14ac:dyDescent="0.3">
      <c r="A109" s="4">
        <v>10615</v>
      </c>
      <c r="B109" t="s">
        <v>1197</v>
      </c>
      <c r="C109" t="s">
        <v>1198</v>
      </c>
      <c r="D109" t="s">
        <v>1236</v>
      </c>
      <c r="E109" t="s">
        <v>1146</v>
      </c>
      <c r="F109" t="s">
        <v>1164</v>
      </c>
      <c r="G109" s="1">
        <v>41516</v>
      </c>
      <c r="H109" s="8">
        <v>2304</v>
      </c>
      <c r="I109" s="9">
        <v>69.12</v>
      </c>
      <c r="J109" s="9">
        <v>2373.12</v>
      </c>
    </row>
    <row r="110" spans="1:10" x14ac:dyDescent="0.3">
      <c r="A110" s="4">
        <v>10620</v>
      </c>
      <c r="B110" t="s">
        <v>1174</v>
      </c>
      <c r="C110" t="s">
        <v>1139</v>
      </c>
      <c r="D110" t="s">
        <v>1236</v>
      </c>
      <c r="E110" t="s">
        <v>1146</v>
      </c>
      <c r="F110" t="s">
        <v>1164</v>
      </c>
      <c r="G110" s="1">
        <v>41522</v>
      </c>
      <c r="H110" s="8">
        <v>3619.2256000000002</v>
      </c>
      <c r="I110" s="9">
        <v>130.2921216</v>
      </c>
      <c r="J110" s="9">
        <v>3749.5177216000002</v>
      </c>
    </row>
    <row r="111" spans="1:10" x14ac:dyDescent="0.3">
      <c r="A111" s="4">
        <v>10676</v>
      </c>
      <c r="B111" t="s">
        <v>1179</v>
      </c>
      <c r="C111" t="s">
        <v>1180</v>
      </c>
      <c r="D111" t="s">
        <v>1236</v>
      </c>
      <c r="E111" t="s">
        <v>1145</v>
      </c>
      <c r="F111" t="s">
        <v>1164</v>
      </c>
      <c r="G111" s="1">
        <v>41570</v>
      </c>
      <c r="H111" s="8">
        <v>128.63999999999999</v>
      </c>
      <c r="I111" s="9">
        <v>6.1747199999999998</v>
      </c>
      <c r="J111" s="9">
        <v>134.81471999999999</v>
      </c>
    </row>
    <row r="112" spans="1:10" x14ac:dyDescent="0.3">
      <c r="A112" s="4">
        <v>10734</v>
      </c>
      <c r="B112" t="s">
        <v>1212</v>
      </c>
      <c r="C112" t="s">
        <v>1184</v>
      </c>
      <c r="D112" t="s">
        <v>1236</v>
      </c>
      <c r="E112" t="s">
        <v>1146</v>
      </c>
      <c r="F112" t="s">
        <v>1164</v>
      </c>
      <c r="G112" s="1">
        <v>41616</v>
      </c>
      <c r="H112" s="8">
        <v>104.32</v>
      </c>
      <c r="I112" s="9">
        <v>2.2950400000000002</v>
      </c>
      <c r="J112" s="9">
        <v>106.61503999999999</v>
      </c>
    </row>
    <row r="113" spans="1:10" x14ac:dyDescent="0.3">
      <c r="A113" s="4">
        <v>10737</v>
      </c>
      <c r="B113" t="s">
        <v>1188</v>
      </c>
      <c r="C113" t="s">
        <v>1141</v>
      </c>
      <c r="D113" t="s">
        <v>1236</v>
      </c>
      <c r="E113" t="s">
        <v>1145</v>
      </c>
      <c r="F113" t="s">
        <v>1164</v>
      </c>
      <c r="G113" s="1">
        <v>41620</v>
      </c>
      <c r="H113" s="8">
        <v>498.56</v>
      </c>
      <c r="I113" s="9">
        <v>9.9711999999999996</v>
      </c>
      <c r="J113" s="9">
        <v>508.53120000000001</v>
      </c>
    </row>
    <row r="114" spans="1:10" x14ac:dyDescent="0.3">
      <c r="A114" s="4">
        <v>10752</v>
      </c>
      <c r="B114" t="s">
        <v>1176</v>
      </c>
      <c r="C114" t="s">
        <v>1142</v>
      </c>
      <c r="D114" t="s">
        <v>1236</v>
      </c>
      <c r="E114" t="s">
        <v>1146</v>
      </c>
      <c r="F114" t="s">
        <v>1164</v>
      </c>
      <c r="G114" s="1">
        <v>41633</v>
      </c>
      <c r="H114" s="8">
        <v>88.96</v>
      </c>
      <c r="I114" s="9">
        <v>2.8467199999999999</v>
      </c>
      <c r="J114" s="9">
        <v>91.806719999999999</v>
      </c>
    </row>
    <row r="115" spans="1:10" x14ac:dyDescent="0.3">
      <c r="A115" s="4">
        <v>10808</v>
      </c>
      <c r="B115" t="s">
        <v>1182</v>
      </c>
      <c r="C115" t="s">
        <v>1140</v>
      </c>
      <c r="D115" t="s">
        <v>1236</v>
      </c>
      <c r="E115" t="s">
        <v>1146</v>
      </c>
      <c r="F115" t="s">
        <v>1164</v>
      </c>
      <c r="G115" s="1">
        <v>41671</v>
      </c>
      <c r="H115" s="8">
        <v>728.48</v>
      </c>
      <c r="I115" s="9">
        <v>20.39744</v>
      </c>
      <c r="J115" s="9">
        <v>748.87743999999998</v>
      </c>
    </row>
    <row r="116" spans="1:10" x14ac:dyDescent="0.3">
      <c r="A116" s="4">
        <v>10810</v>
      </c>
      <c r="B116" t="s">
        <v>1174</v>
      </c>
      <c r="C116" t="s">
        <v>1139</v>
      </c>
      <c r="D116" t="s">
        <v>1236</v>
      </c>
      <c r="E116" t="s">
        <v>1146</v>
      </c>
      <c r="F116" t="s">
        <v>1164</v>
      </c>
      <c r="G116" s="1">
        <v>41671</v>
      </c>
      <c r="H116" s="8">
        <v>277.12</v>
      </c>
      <c r="I116" s="9">
        <v>9.9763199999999994</v>
      </c>
      <c r="J116" s="9">
        <v>287.09631999999999</v>
      </c>
    </row>
    <row r="117" spans="1:10" x14ac:dyDescent="0.3">
      <c r="A117" s="4">
        <v>10815</v>
      </c>
      <c r="B117" t="s">
        <v>1219</v>
      </c>
      <c r="C117" t="s">
        <v>1140</v>
      </c>
      <c r="D117" t="s">
        <v>1236</v>
      </c>
      <c r="E117" t="s">
        <v>1146</v>
      </c>
      <c r="F117" t="s">
        <v>1164</v>
      </c>
      <c r="G117" s="1">
        <v>41675</v>
      </c>
      <c r="H117" s="8">
        <v>233.92</v>
      </c>
      <c r="I117" s="9">
        <v>6.54976</v>
      </c>
      <c r="J117" s="9">
        <v>240.46976000000001</v>
      </c>
    </row>
    <row r="118" spans="1:10" x14ac:dyDescent="0.3">
      <c r="A118" s="4">
        <v>10819</v>
      </c>
      <c r="B118" t="s">
        <v>1238</v>
      </c>
      <c r="C118" t="s">
        <v>1138</v>
      </c>
      <c r="D118" t="s">
        <v>1236</v>
      </c>
      <c r="E118" t="s">
        <v>1146</v>
      </c>
      <c r="F118" t="s">
        <v>1164</v>
      </c>
      <c r="G118" s="1">
        <v>41677</v>
      </c>
      <c r="H118" s="8">
        <v>316.16000000000003</v>
      </c>
      <c r="I118" s="9">
        <v>12.6464</v>
      </c>
      <c r="J118" s="9">
        <v>328.8064</v>
      </c>
    </row>
    <row r="119" spans="1:10" x14ac:dyDescent="0.3">
      <c r="A119" s="4">
        <v>10832</v>
      </c>
      <c r="B119" t="s">
        <v>1207</v>
      </c>
      <c r="C119" t="s">
        <v>1141</v>
      </c>
      <c r="D119" t="s">
        <v>1236</v>
      </c>
      <c r="E119" t="s">
        <v>1145</v>
      </c>
      <c r="F119" t="s">
        <v>1164</v>
      </c>
      <c r="G119" s="1">
        <v>41684</v>
      </c>
      <c r="H119" s="8">
        <v>692.16</v>
      </c>
      <c r="I119" s="9">
        <v>13.8432</v>
      </c>
      <c r="J119" s="9">
        <v>706.00319999999999</v>
      </c>
    </row>
    <row r="120" spans="1:10" x14ac:dyDescent="0.3">
      <c r="A120" s="4">
        <v>10915</v>
      </c>
      <c r="B120" t="s">
        <v>1179</v>
      </c>
      <c r="C120" t="s">
        <v>1180</v>
      </c>
      <c r="D120" t="s">
        <v>1236</v>
      </c>
      <c r="E120" t="s">
        <v>1145</v>
      </c>
      <c r="F120" t="s">
        <v>1164</v>
      </c>
      <c r="G120" s="1">
        <v>41727</v>
      </c>
      <c r="H120" s="8">
        <v>224.64</v>
      </c>
      <c r="I120" s="9">
        <v>10.782719999999999</v>
      </c>
      <c r="J120" s="9">
        <v>235.42272</v>
      </c>
    </row>
    <row r="121" spans="1:10" x14ac:dyDescent="0.3">
      <c r="A121" s="4">
        <v>10919</v>
      </c>
      <c r="B121" t="s">
        <v>1217</v>
      </c>
      <c r="C121" t="s">
        <v>1163</v>
      </c>
      <c r="D121" t="s">
        <v>1236</v>
      </c>
      <c r="E121" t="s">
        <v>1145</v>
      </c>
      <c r="F121" t="s">
        <v>1164</v>
      </c>
      <c r="G121" s="1">
        <v>41730</v>
      </c>
      <c r="H121" s="8">
        <v>316.8</v>
      </c>
      <c r="I121" s="9">
        <v>10.7712</v>
      </c>
      <c r="J121" s="9">
        <v>327.57119999999998</v>
      </c>
    </row>
    <row r="122" spans="1:10" x14ac:dyDescent="0.3">
      <c r="A122" s="4">
        <v>11000</v>
      </c>
      <c r="B122" t="s">
        <v>1194</v>
      </c>
      <c r="C122" t="s">
        <v>1140</v>
      </c>
      <c r="D122" t="s">
        <v>1236</v>
      </c>
      <c r="E122" t="s">
        <v>1146</v>
      </c>
      <c r="F122" t="s">
        <v>1164</v>
      </c>
      <c r="G122" s="1">
        <v>41765</v>
      </c>
      <c r="H122" s="8">
        <v>881.92</v>
      </c>
      <c r="I122" s="9">
        <v>24.693760000000001</v>
      </c>
      <c r="J122" s="9">
        <v>906.61375999999996</v>
      </c>
    </row>
    <row r="123" spans="1:10" x14ac:dyDescent="0.3">
      <c r="A123" s="4">
        <v>11010</v>
      </c>
      <c r="B123" t="s">
        <v>1223</v>
      </c>
      <c r="C123" t="s">
        <v>1224</v>
      </c>
      <c r="D123" t="s">
        <v>1236</v>
      </c>
      <c r="E123" t="s">
        <v>1145</v>
      </c>
      <c r="F123" t="s">
        <v>1164</v>
      </c>
      <c r="G123" s="1">
        <v>41768</v>
      </c>
      <c r="H123" s="8">
        <v>459.36</v>
      </c>
      <c r="I123" s="9">
        <v>20.211839999999999</v>
      </c>
      <c r="J123" s="9">
        <v>479.57184000000001</v>
      </c>
    </row>
    <row r="124" spans="1:10" x14ac:dyDescent="0.3">
      <c r="A124" s="4">
        <v>11014</v>
      </c>
      <c r="B124" t="s">
        <v>1217</v>
      </c>
      <c r="C124" t="s">
        <v>1163</v>
      </c>
      <c r="D124" t="s">
        <v>1236</v>
      </c>
      <c r="E124" t="s">
        <v>1146</v>
      </c>
      <c r="F124" t="s">
        <v>1164</v>
      </c>
      <c r="G124" s="1">
        <v>41769</v>
      </c>
      <c r="H124" s="8">
        <v>377.6</v>
      </c>
      <c r="I124" s="9">
        <v>12.8384</v>
      </c>
      <c r="J124" s="9">
        <v>390.4384</v>
      </c>
    </row>
    <row r="125" spans="1:10" x14ac:dyDescent="0.3">
      <c r="A125" s="4">
        <v>11015</v>
      </c>
      <c r="B125" t="s">
        <v>1239</v>
      </c>
      <c r="C125" t="s">
        <v>1240</v>
      </c>
      <c r="D125" t="s">
        <v>1236</v>
      </c>
      <c r="E125" t="s">
        <v>1145</v>
      </c>
      <c r="F125" t="s">
        <v>1164</v>
      </c>
      <c r="G125" s="1">
        <v>41769</v>
      </c>
      <c r="H125" s="8">
        <v>295.68</v>
      </c>
      <c r="I125" s="9">
        <v>15.375360000000001</v>
      </c>
      <c r="J125" s="9">
        <v>311.05536000000001</v>
      </c>
    </row>
    <row r="126" spans="1:10" x14ac:dyDescent="0.3">
      <c r="A126" s="4">
        <v>11020</v>
      </c>
      <c r="B126" t="s">
        <v>1241</v>
      </c>
      <c r="C126" t="s">
        <v>1137</v>
      </c>
      <c r="D126" t="s">
        <v>1236</v>
      </c>
      <c r="E126" t="s">
        <v>1145</v>
      </c>
      <c r="F126" t="s">
        <v>1164</v>
      </c>
      <c r="G126" s="1">
        <v>41773</v>
      </c>
      <c r="H126" s="8">
        <v>692.8</v>
      </c>
      <c r="I126" s="9">
        <v>16.627199999999998</v>
      </c>
      <c r="J126" s="9">
        <v>709.42719999999997</v>
      </c>
    </row>
    <row r="127" spans="1:10" x14ac:dyDescent="0.3">
      <c r="A127" s="4">
        <v>11035</v>
      </c>
      <c r="B127" t="s">
        <v>1215</v>
      </c>
      <c r="C127" t="s">
        <v>1216</v>
      </c>
      <c r="D127" t="s">
        <v>1236</v>
      </c>
      <c r="E127" t="s">
        <v>1145</v>
      </c>
      <c r="F127" t="s">
        <v>1164</v>
      </c>
      <c r="G127" s="1">
        <v>41779</v>
      </c>
      <c r="H127" s="8">
        <v>118.37439999999999</v>
      </c>
      <c r="I127" s="9">
        <v>3.0777344000000002</v>
      </c>
      <c r="J127" s="9">
        <v>121.45213440000001</v>
      </c>
    </row>
    <row r="128" spans="1:10" x14ac:dyDescent="0.3">
      <c r="A128" s="4">
        <v>11053</v>
      </c>
      <c r="B128" t="s">
        <v>1204</v>
      </c>
      <c r="C128" t="s">
        <v>1205</v>
      </c>
      <c r="D128" t="s">
        <v>1236</v>
      </c>
      <c r="E128" t="s">
        <v>1145</v>
      </c>
      <c r="F128" t="s">
        <v>1164</v>
      </c>
      <c r="G128" s="1">
        <v>41786</v>
      </c>
      <c r="H128" s="8">
        <v>848.8</v>
      </c>
      <c r="I128" s="9">
        <v>49.230400000000003</v>
      </c>
      <c r="J128" s="9">
        <v>898.03039999999999</v>
      </c>
    </row>
    <row r="129" spans="1:10" x14ac:dyDescent="0.3">
      <c r="A129" s="4">
        <v>11060</v>
      </c>
      <c r="B129" t="s">
        <v>1242</v>
      </c>
      <c r="C129" t="s">
        <v>1224</v>
      </c>
      <c r="D129" t="s">
        <v>1236</v>
      </c>
      <c r="E129" t="s">
        <v>1145</v>
      </c>
      <c r="F129" t="s">
        <v>1164</v>
      </c>
      <c r="G129" s="1">
        <v>41789</v>
      </c>
      <c r="H129" s="8">
        <v>702.72</v>
      </c>
      <c r="I129" s="9">
        <v>30.91968</v>
      </c>
      <c r="J129" s="9">
        <v>733.63968</v>
      </c>
    </row>
    <row r="130" spans="1:10" x14ac:dyDescent="0.3">
      <c r="A130" s="4">
        <v>11073</v>
      </c>
      <c r="B130" t="s">
        <v>1243</v>
      </c>
      <c r="C130" t="s">
        <v>1180</v>
      </c>
      <c r="D130" t="s">
        <v>1236</v>
      </c>
      <c r="E130" t="s">
        <v>1145</v>
      </c>
      <c r="F130" t="s">
        <v>1164</v>
      </c>
      <c r="G130" s="1">
        <v>41794</v>
      </c>
      <c r="H130" s="8">
        <v>399.2</v>
      </c>
      <c r="I130" s="9">
        <v>19.1616</v>
      </c>
      <c r="J130" s="9">
        <v>418.36160000000001</v>
      </c>
    </row>
    <row r="131" spans="1:10" x14ac:dyDescent="0.3">
      <c r="A131" s="4">
        <v>10374</v>
      </c>
      <c r="B131" t="s">
        <v>1221</v>
      </c>
      <c r="C131" t="s">
        <v>1222</v>
      </c>
      <c r="D131" t="s">
        <v>1149</v>
      </c>
      <c r="E131" t="s">
        <v>1146</v>
      </c>
      <c r="F131" t="s">
        <v>1164</v>
      </c>
      <c r="G131" s="1">
        <v>41279</v>
      </c>
      <c r="H131" s="8">
        <v>252.16</v>
      </c>
      <c r="I131" s="9">
        <v>12.608000000000001</v>
      </c>
      <c r="J131" s="9">
        <v>264.76799999999997</v>
      </c>
    </row>
    <row r="132" spans="1:10" x14ac:dyDescent="0.3">
      <c r="A132" s="4">
        <v>10376</v>
      </c>
      <c r="B132" t="s">
        <v>1175</v>
      </c>
      <c r="C132" t="s">
        <v>1139</v>
      </c>
      <c r="D132" t="s">
        <v>1149</v>
      </c>
      <c r="E132" t="s">
        <v>1145</v>
      </c>
      <c r="F132" t="s">
        <v>1161</v>
      </c>
      <c r="G132" s="1">
        <v>41283</v>
      </c>
      <c r="H132" s="8">
        <v>326.24</v>
      </c>
      <c r="I132" s="9">
        <v>11.4184</v>
      </c>
      <c r="J132" s="9">
        <v>337.65839999999997</v>
      </c>
    </row>
    <row r="133" spans="1:10" x14ac:dyDescent="0.3">
      <c r="A133" s="4">
        <v>10377</v>
      </c>
      <c r="B133" t="s">
        <v>1244</v>
      </c>
      <c r="C133" t="s">
        <v>1142</v>
      </c>
      <c r="D133" t="s">
        <v>1149</v>
      </c>
      <c r="E133" t="s">
        <v>1146</v>
      </c>
      <c r="F133" t="s">
        <v>1164</v>
      </c>
      <c r="G133" s="1">
        <v>41283</v>
      </c>
      <c r="H133" s="8">
        <v>355.36</v>
      </c>
      <c r="I133" s="9">
        <v>11.37152</v>
      </c>
      <c r="J133" s="9">
        <v>366.73151999999999</v>
      </c>
    </row>
    <row r="134" spans="1:10" x14ac:dyDescent="0.3">
      <c r="A134" s="4">
        <v>10385</v>
      </c>
      <c r="B134" t="s">
        <v>1167</v>
      </c>
      <c r="C134" t="s">
        <v>1140</v>
      </c>
      <c r="D134" t="s">
        <v>1149</v>
      </c>
      <c r="E134" t="s">
        <v>1145</v>
      </c>
      <c r="F134" t="s">
        <v>1161</v>
      </c>
      <c r="G134" s="1">
        <v>41291</v>
      </c>
      <c r="H134" s="8">
        <v>495.36</v>
      </c>
      <c r="I134" s="9">
        <v>13.37472</v>
      </c>
      <c r="J134" s="9">
        <v>508.73471999999998</v>
      </c>
    </row>
    <row r="135" spans="1:10" x14ac:dyDescent="0.3">
      <c r="A135" s="4">
        <v>10394</v>
      </c>
      <c r="B135" t="s">
        <v>1160</v>
      </c>
      <c r="C135" t="s">
        <v>1140</v>
      </c>
      <c r="D135" t="s">
        <v>1149</v>
      </c>
      <c r="E135" t="s">
        <v>1146</v>
      </c>
      <c r="F135" t="s">
        <v>1164</v>
      </c>
      <c r="G135" s="1">
        <v>41299</v>
      </c>
      <c r="H135" s="8">
        <v>485.44</v>
      </c>
      <c r="I135" s="9">
        <v>13.592320000000001</v>
      </c>
      <c r="J135" s="9">
        <v>499.03232000000003</v>
      </c>
    </row>
    <row r="136" spans="1:10" x14ac:dyDescent="0.3">
      <c r="A136" s="4">
        <v>10453</v>
      </c>
      <c r="B136" t="s">
        <v>1192</v>
      </c>
      <c r="C136" t="s">
        <v>1142</v>
      </c>
      <c r="D136" t="s">
        <v>1149</v>
      </c>
      <c r="E136" t="s">
        <v>1145</v>
      </c>
      <c r="F136" t="s">
        <v>1161</v>
      </c>
      <c r="G136" s="1">
        <v>41357</v>
      </c>
      <c r="H136" s="8">
        <v>405.76</v>
      </c>
      <c r="I136" s="9">
        <v>12.57856</v>
      </c>
      <c r="J136" s="9">
        <v>418.33855999999997</v>
      </c>
    </row>
    <row r="137" spans="1:10" x14ac:dyDescent="0.3">
      <c r="A137" s="4">
        <v>10473</v>
      </c>
      <c r="B137" t="s">
        <v>1210</v>
      </c>
      <c r="C137" t="s">
        <v>1142</v>
      </c>
      <c r="D137" t="s">
        <v>1149</v>
      </c>
      <c r="E137" t="s">
        <v>1146</v>
      </c>
      <c r="F137" t="s">
        <v>1164</v>
      </c>
      <c r="G137" s="1">
        <v>41377</v>
      </c>
      <c r="H137" s="8">
        <v>261.92</v>
      </c>
      <c r="I137" s="9">
        <v>8.3814399999999996</v>
      </c>
      <c r="J137" s="9">
        <v>270.30144000000001</v>
      </c>
    </row>
    <row r="138" spans="1:10" x14ac:dyDescent="0.3">
      <c r="A138" s="4">
        <v>10482</v>
      </c>
      <c r="B138" t="s">
        <v>1245</v>
      </c>
      <c r="C138" t="s">
        <v>1140</v>
      </c>
      <c r="D138" t="s">
        <v>1149</v>
      </c>
      <c r="E138" t="s">
        <v>1146</v>
      </c>
      <c r="F138" t="s">
        <v>1164</v>
      </c>
      <c r="G138" s="1">
        <v>41385</v>
      </c>
      <c r="H138" s="8">
        <v>478.72</v>
      </c>
      <c r="I138" s="9">
        <v>13.404159999999999</v>
      </c>
      <c r="J138" s="9">
        <v>492.12416000000002</v>
      </c>
    </row>
    <row r="139" spans="1:10" x14ac:dyDescent="0.3">
      <c r="A139" s="4">
        <v>10486</v>
      </c>
      <c r="B139" t="s">
        <v>1209</v>
      </c>
      <c r="C139" t="s">
        <v>1163</v>
      </c>
      <c r="D139" t="s">
        <v>1149</v>
      </c>
      <c r="E139" t="s">
        <v>1145</v>
      </c>
      <c r="F139" t="s">
        <v>1161</v>
      </c>
      <c r="G139" s="1">
        <v>41390</v>
      </c>
      <c r="H139" s="8">
        <v>488.48</v>
      </c>
      <c r="I139" s="9">
        <v>16.11984</v>
      </c>
      <c r="J139" s="9">
        <v>504.59983999999997</v>
      </c>
    </row>
    <row r="140" spans="1:10" x14ac:dyDescent="0.3">
      <c r="A140" s="4">
        <v>10508</v>
      </c>
      <c r="B140" t="s">
        <v>1241</v>
      </c>
      <c r="C140" t="s">
        <v>1137</v>
      </c>
      <c r="D140" t="s">
        <v>1149</v>
      </c>
      <c r="E140" t="s">
        <v>1145</v>
      </c>
      <c r="F140" t="s">
        <v>1161</v>
      </c>
      <c r="G140" s="1">
        <v>41411</v>
      </c>
      <c r="H140" s="8">
        <v>319.36</v>
      </c>
      <c r="I140" s="9">
        <v>7.3452799999999998</v>
      </c>
      <c r="J140" s="9">
        <v>326.70528000000002</v>
      </c>
    </row>
    <row r="141" spans="1:10" x14ac:dyDescent="0.3">
      <c r="A141" s="4">
        <v>10525</v>
      </c>
      <c r="B141" t="s">
        <v>1214</v>
      </c>
      <c r="C141" t="s">
        <v>1141</v>
      </c>
      <c r="D141" t="s">
        <v>1149</v>
      </c>
      <c r="E141" t="s">
        <v>1145</v>
      </c>
      <c r="F141" t="s">
        <v>1161</v>
      </c>
      <c r="G141" s="1">
        <v>41427</v>
      </c>
      <c r="H141" s="8">
        <v>707.84</v>
      </c>
      <c r="I141" s="9">
        <v>13.44896</v>
      </c>
      <c r="J141" s="9">
        <v>721.28895999999997</v>
      </c>
    </row>
    <row r="142" spans="1:10" x14ac:dyDescent="0.3">
      <c r="A142" s="4">
        <v>10542</v>
      </c>
      <c r="B142" t="s">
        <v>1172</v>
      </c>
      <c r="C142" t="s">
        <v>1137</v>
      </c>
      <c r="D142" t="s">
        <v>1149</v>
      </c>
      <c r="E142" t="s">
        <v>1146</v>
      </c>
      <c r="F142" t="s">
        <v>1164</v>
      </c>
      <c r="G142" s="1">
        <v>41445</v>
      </c>
      <c r="H142" s="8">
        <v>700.8</v>
      </c>
      <c r="I142" s="9">
        <v>16.819199999999999</v>
      </c>
      <c r="J142" s="9">
        <v>717.61919999999998</v>
      </c>
    </row>
    <row r="143" spans="1:10" x14ac:dyDescent="0.3">
      <c r="A143" s="4">
        <v>10579</v>
      </c>
      <c r="B143" t="s">
        <v>1246</v>
      </c>
      <c r="C143" t="s">
        <v>1140</v>
      </c>
      <c r="D143" t="s">
        <v>1149</v>
      </c>
      <c r="E143" t="s">
        <v>1145</v>
      </c>
      <c r="F143" t="s">
        <v>1164</v>
      </c>
      <c r="G143" s="1">
        <v>41481</v>
      </c>
      <c r="H143" s="8">
        <v>219.68</v>
      </c>
      <c r="I143" s="9">
        <v>6.1510400000000001</v>
      </c>
      <c r="J143" s="9">
        <v>225.83104</v>
      </c>
    </row>
    <row r="144" spans="1:10" x14ac:dyDescent="0.3">
      <c r="A144" s="4">
        <v>10598</v>
      </c>
      <c r="B144" t="s">
        <v>1194</v>
      </c>
      <c r="C144" t="s">
        <v>1140</v>
      </c>
      <c r="D144" t="s">
        <v>1149</v>
      </c>
      <c r="E144" t="s">
        <v>1146</v>
      </c>
      <c r="F144" t="s">
        <v>1164</v>
      </c>
      <c r="G144" s="1">
        <v>41500</v>
      </c>
      <c r="H144" s="8">
        <v>710.72</v>
      </c>
      <c r="I144" s="9">
        <v>19.90016</v>
      </c>
      <c r="J144" s="9">
        <v>730.62016000000006</v>
      </c>
    </row>
    <row r="145" spans="1:10" x14ac:dyDescent="0.3">
      <c r="A145" s="4">
        <v>10630</v>
      </c>
      <c r="B145" t="s">
        <v>1172</v>
      </c>
      <c r="C145" t="s">
        <v>1137</v>
      </c>
      <c r="D145" t="s">
        <v>1149</v>
      </c>
      <c r="E145" t="s">
        <v>1145</v>
      </c>
      <c r="F145" t="s">
        <v>1164</v>
      </c>
      <c r="G145" s="1">
        <v>41530</v>
      </c>
      <c r="H145" s="8">
        <v>517.6</v>
      </c>
      <c r="I145" s="9">
        <v>12.4224</v>
      </c>
      <c r="J145" s="9">
        <v>530.02239999999995</v>
      </c>
    </row>
    <row r="146" spans="1:10" x14ac:dyDescent="0.3">
      <c r="A146" s="4">
        <v>10655</v>
      </c>
      <c r="B146" t="s">
        <v>1223</v>
      </c>
      <c r="C146" t="s">
        <v>1224</v>
      </c>
      <c r="D146" t="s">
        <v>1149</v>
      </c>
      <c r="E146" t="s">
        <v>1145</v>
      </c>
      <c r="F146" t="s">
        <v>1164</v>
      </c>
      <c r="G146" s="1">
        <v>41551</v>
      </c>
      <c r="H146" s="8">
        <v>282.24</v>
      </c>
      <c r="I146" s="9">
        <v>12.418559999999999</v>
      </c>
      <c r="J146" s="9">
        <v>294.65856000000002</v>
      </c>
    </row>
    <row r="147" spans="1:10" x14ac:dyDescent="0.3">
      <c r="A147" s="4">
        <v>10664</v>
      </c>
      <c r="B147" t="s">
        <v>1247</v>
      </c>
      <c r="C147" t="s">
        <v>1231</v>
      </c>
      <c r="D147" t="s">
        <v>1149</v>
      </c>
      <c r="E147" t="s">
        <v>1146</v>
      </c>
      <c r="F147" t="s">
        <v>1164</v>
      </c>
      <c r="G147" s="1">
        <v>41558</v>
      </c>
      <c r="H147" s="8">
        <v>81.28</v>
      </c>
      <c r="I147" s="9">
        <v>3.4137599999999999</v>
      </c>
      <c r="J147" s="9">
        <v>84.693759999999997</v>
      </c>
    </row>
    <row r="148" spans="1:10" x14ac:dyDescent="0.3">
      <c r="A148" s="4">
        <v>10665</v>
      </c>
      <c r="B148" t="s">
        <v>1185</v>
      </c>
      <c r="C148" t="s">
        <v>1140</v>
      </c>
      <c r="D148" t="s">
        <v>1149</v>
      </c>
      <c r="E148" t="s">
        <v>1145</v>
      </c>
      <c r="F148" t="s">
        <v>1164</v>
      </c>
      <c r="G148" s="1">
        <v>41559</v>
      </c>
      <c r="H148" s="8">
        <v>420.96</v>
      </c>
      <c r="I148" s="9">
        <v>11.78688</v>
      </c>
      <c r="J148" s="9">
        <v>432.74687999999998</v>
      </c>
    </row>
    <row r="149" spans="1:10" x14ac:dyDescent="0.3">
      <c r="A149" s="4">
        <v>10677</v>
      </c>
      <c r="B149" t="s">
        <v>1186</v>
      </c>
      <c r="C149" t="s">
        <v>1180</v>
      </c>
      <c r="D149" t="s">
        <v>1149</v>
      </c>
      <c r="E149" t="s">
        <v>1146</v>
      </c>
      <c r="F149" t="s">
        <v>1164</v>
      </c>
      <c r="G149" s="1">
        <v>41570</v>
      </c>
      <c r="H149" s="8">
        <v>257.92</v>
      </c>
      <c r="I149" s="9">
        <v>12.38016</v>
      </c>
      <c r="J149" s="9">
        <v>270.30016000000001</v>
      </c>
    </row>
    <row r="150" spans="1:10" x14ac:dyDescent="0.3">
      <c r="A150" s="4">
        <v>10689</v>
      </c>
      <c r="B150" t="s">
        <v>1170</v>
      </c>
      <c r="C150" t="s">
        <v>1143</v>
      </c>
      <c r="D150" t="s">
        <v>1149</v>
      </c>
      <c r="E150" t="s">
        <v>1145</v>
      </c>
      <c r="F150" t="s">
        <v>1164</v>
      </c>
      <c r="G150" s="1">
        <v>41579</v>
      </c>
      <c r="H150" s="8">
        <v>214.72</v>
      </c>
      <c r="I150" s="9">
        <v>8.1593599999999995</v>
      </c>
      <c r="J150" s="9">
        <v>222.87935999999999</v>
      </c>
    </row>
    <row r="151" spans="1:10" x14ac:dyDescent="0.3">
      <c r="A151" s="4">
        <v>10743</v>
      </c>
      <c r="B151" t="s">
        <v>1192</v>
      </c>
      <c r="C151" t="s">
        <v>1142</v>
      </c>
      <c r="D151" t="s">
        <v>1149</v>
      </c>
      <c r="E151" t="s">
        <v>1145</v>
      </c>
      <c r="F151" t="s">
        <v>1164</v>
      </c>
      <c r="G151" s="1">
        <v>41626</v>
      </c>
      <c r="H151" s="8">
        <v>379.52</v>
      </c>
      <c r="I151" s="9">
        <v>12.144640000000001</v>
      </c>
      <c r="J151" s="9">
        <v>391.66464000000002</v>
      </c>
    </row>
    <row r="152" spans="1:10" x14ac:dyDescent="0.3">
      <c r="A152" s="4">
        <v>10746</v>
      </c>
      <c r="B152" t="s">
        <v>1248</v>
      </c>
      <c r="C152" t="s">
        <v>1227</v>
      </c>
      <c r="D152" t="s">
        <v>1149</v>
      </c>
      <c r="E152" t="s">
        <v>1146</v>
      </c>
      <c r="F152" t="s">
        <v>1164</v>
      </c>
      <c r="G152" s="1">
        <v>41628</v>
      </c>
      <c r="H152" s="8">
        <v>502.88</v>
      </c>
      <c r="I152" s="9">
        <v>28.161280000000001</v>
      </c>
      <c r="J152" s="9">
        <v>531.04128000000003</v>
      </c>
    </row>
    <row r="153" spans="1:10" x14ac:dyDescent="0.3">
      <c r="A153" s="4">
        <v>10785</v>
      </c>
      <c r="B153" t="s">
        <v>1249</v>
      </c>
      <c r="C153" t="s">
        <v>1163</v>
      </c>
      <c r="D153" t="s">
        <v>1149</v>
      </c>
      <c r="E153" t="s">
        <v>1146</v>
      </c>
      <c r="F153" t="s">
        <v>1164</v>
      </c>
      <c r="G153" s="1">
        <v>41657</v>
      </c>
      <c r="H153" s="8">
        <v>96.64</v>
      </c>
      <c r="I153" s="9">
        <v>3.2857599999999998</v>
      </c>
      <c r="J153" s="9">
        <v>99.925759999999997</v>
      </c>
    </row>
    <row r="154" spans="1:10" x14ac:dyDescent="0.3">
      <c r="A154" s="4">
        <v>10788</v>
      </c>
      <c r="B154" t="s">
        <v>1191</v>
      </c>
      <c r="C154" t="s">
        <v>1137</v>
      </c>
      <c r="D154" t="s">
        <v>1149</v>
      </c>
      <c r="E154" t="s">
        <v>1145</v>
      </c>
      <c r="F154" t="s">
        <v>1164</v>
      </c>
      <c r="G154" s="1">
        <v>41661</v>
      </c>
      <c r="H154" s="8">
        <v>683.2</v>
      </c>
      <c r="I154" s="9">
        <v>16.396799999999999</v>
      </c>
      <c r="J154" s="9">
        <v>699.59680000000003</v>
      </c>
    </row>
    <row r="155" spans="1:10" x14ac:dyDescent="0.3">
      <c r="A155" s="4">
        <v>10792</v>
      </c>
      <c r="B155" t="s">
        <v>1221</v>
      </c>
      <c r="C155" t="s">
        <v>1222</v>
      </c>
      <c r="D155" t="s">
        <v>1149</v>
      </c>
      <c r="E155" t="s">
        <v>1146</v>
      </c>
      <c r="F155" t="s">
        <v>1164</v>
      </c>
      <c r="G155" s="1">
        <v>41662</v>
      </c>
      <c r="H155" s="8">
        <v>380.64</v>
      </c>
      <c r="I155" s="9">
        <v>19.032</v>
      </c>
      <c r="J155" s="9">
        <v>399.67200000000003</v>
      </c>
    </row>
    <row r="156" spans="1:10" x14ac:dyDescent="0.3">
      <c r="A156" s="4">
        <v>10834</v>
      </c>
      <c r="B156" t="s">
        <v>1195</v>
      </c>
      <c r="C156" t="s">
        <v>1184</v>
      </c>
      <c r="D156" t="s">
        <v>1149</v>
      </c>
      <c r="E156" t="s">
        <v>1146</v>
      </c>
      <c r="F156" t="s">
        <v>1164</v>
      </c>
      <c r="G156" s="1">
        <v>41685</v>
      </c>
      <c r="H156" s="8">
        <v>476.48</v>
      </c>
      <c r="I156" s="9">
        <v>10.482559999999999</v>
      </c>
      <c r="J156" s="9">
        <v>486.96256</v>
      </c>
    </row>
    <row r="157" spans="1:10" x14ac:dyDescent="0.3">
      <c r="A157" s="4">
        <v>10842</v>
      </c>
      <c r="B157" t="s">
        <v>1179</v>
      </c>
      <c r="C157" t="s">
        <v>1180</v>
      </c>
      <c r="D157" t="s">
        <v>1149</v>
      </c>
      <c r="E157" t="s">
        <v>1146</v>
      </c>
      <c r="F157" t="s">
        <v>1164</v>
      </c>
      <c r="G157" s="1">
        <v>41690</v>
      </c>
      <c r="H157" s="8">
        <v>870.72</v>
      </c>
      <c r="I157" s="9">
        <v>41.794559999999997</v>
      </c>
      <c r="J157" s="9">
        <v>912.51455999999996</v>
      </c>
    </row>
    <row r="158" spans="1:10" x14ac:dyDescent="0.3">
      <c r="A158" s="4">
        <v>10900</v>
      </c>
      <c r="B158" t="s">
        <v>1183</v>
      </c>
      <c r="C158" t="s">
        <v>1184</v>
      </c>
      <c r="D158" t="s">
        <v>1149</v>
      </c>
      <c r="E158" t="s">
        <v>1145</v>
      </c>
      <c r="F158" t="s">
        <v>1164</v>
      </c>
      <c r="G158" s="1">
        <v>41720</v>
      </c>
      <c r="H158" s="8">
        <v>106.24</v>
      </c>
      <c r="I158" s="9">
        <v>2.3372799999999998</v>
      </c>
      <c r="J158" s="9">
        <v>108.57728</v>
      </c>
    </row>
    <row r="159" spans="1:10" x14ac:dyDescent="0.3">
      <c r="A159" s="4">
        <v>10910</v>
      </c>
      <c r="B159" t="s">
        <v>1197</v>
      </c>
      <c r="C159" t="s">
        <v>1198</v>
      </c>
      <c r="D159" t="s">
        <v>1149</v>
      </c>
      <c r="E159" t="s">
        <v>1146</v>
      </c>
      <c r="F159" t="s">
        <v>1164</v>
      </c>
      <c r="G159" s="1">
        <v>41726</v>
      </c>
      <c r="H159" s="8">
        <v>609.76</v>
      </c>
      <c r="I159" s="9">
        <v>18.2928</v>
      </c>
      <c r="J159" s="9">
        <v>628.05280000000005</v>
      </c>
    </row>
    <row r="160" spans="1:10" x14ac:dyDescent="0.3">
      <c r="A160" s="4">
        <v>10946</v>
      </c>
      <c r="B160" t="s">
        <v>1250</v>
      </c>
      <c r="C160" t="s">
        <v>1251</v>
      </c>
      <c r="D160" t="s">
        <v>1149</v>
      </c>
      <c r="E160" t="s">
        <v>1145</v>
      </c>
      <c r="F160" t="s">
        <v>1164</v>
      </c>
      <c r="G160" s="1">
        <v>41740</v>
      </c>
      <c r="H160" s="8">
        <v>435.2</v>
      </c>
      <c r="I160" s="9">
        <v>23.500800000000002</v>
      </c>
      <c r="J160" s="9">
        <v>458.70080000000002</v>
      </c>
    </row>
    <row r="161" spans="1:10" x14ac:dyDescent="0.3">
      <c r="A161" s="4">
        <v>10950</v>
      </c>
      <c r="B161" t="s">
        <v>1252</v>
      </c>
      <c r="C161" t="s">
        <v>1224</v>
      </c>
      <c r="D161" t="s">
        <v>1149</v>
      </c>
      <c r="E161" t="s">
        <v>1145</v>
      </c>
      <c r="F161" t="s">
        <v>1164</v>
      </c>
      <c r="G161" s="1">
        <v>41744</v>
      </c>
      <c r="H161" s="8">
        <v>160</v>
      </c>
      <c r="I161" s="9">
        <v>7.04</v>
      </c>
      <c r="J161" s="9">
        <v>167.04</v>
      </c>
    </row>
    <row r="162" spans="1:10" x14ac:dyDescent="0.3">
      <c r="A162" s="4">
        <v>10969</v>
      </c>
      <c r="B162" t="s">
        <v>1253</v>
      </c>
      <c r="C162" t="s">
        <v>1184</v>
      </c>
      <c r="D162" t="s">
        <v>1149</v>
      </c>
      <c r="E162" t="s">
        <v>1145</v>
      </c>
      <c r="F162" t="s">
        <v>1164</v>
      </c>
      <c r="G162" s="1">
        <v>41751</v>
      </c>
      <c r="H162" s="8">
        <v>180.6336</v>
      </c>
      <c r="I162" s="9">
        <v>3.9739391999999998</v>
      </c>
      <c r="J162" s="9">
        <v>184.60753919999999</v>
      </c>
    </row>
    <row r="163" spans="1:10" x14ac:dyDescent="0.3">
      <c r="A163" s="4">
        <v>10975</v>
      </c>
      <c r="B163" t="s">
        <v>1166</v>
      </c>
      <c r="C163" t="s">
        <v>1139</v>
      </c>
      <c r="D163" t="s">
        <v>1149</v>
      </c>
      <c r="E163" t="s">
        <v>1146</v>
      </c>
      <c r="F163" t="s">
        <v>1164</v>
      </c>
      <c r="G163" s="1">
        <v>41753</v>
      </c>
      <c r="H163" s="8">
        <v>516.32000000000005</v>
      </c>
      <c r="I163" s="9">
        <v>18.587520000000001</v>
      </c>
      <c r="J163" s="9">
        <v>534.90751999999998</v>
      </c>
    </row>
    <row r="164" spans="1:10" x14ac:dyDescent="0.3">
      <c r="A164" s="4">
        <v>10992</v>
      </c>
      <c r="B164" t="s">
        <v>1254</v>
      </c>
      <c r="C164" t="s">
        <v>1140</v>
      </c>
      <c r="D164" t="s">
        <v>1149</v>
      </c>
      <c r="E164" t="s">
        <v>1146</v>
      </c>
      <c r="F164" t="s">
        <v>1164</v>
      </c>
      <c r="G164" s="1">
        <v>41760</v>
      </c>
      <c r="H164" s="8">
        <v>273.27999999999997</v>
      </c>
      <c r="I164" s="9">
        <v>7.65184</v>
      </c>
      <c r="J164" s="9">
        <v>280.93184000000002</v>
      </c>
    </row>
    <row r="165" spans="1:10" x14ac:dyDescent="0.3">
      <c r="A165" s="4">
        <v>11038</v>
      </c>
      <c r="B165" t="s">
        <v>1215</v>
      </c>
      <c r="C165" t="s">
        <v>1216</v>
      </c>
      <c r="D165" t="s">
        <v>1149</v>
      </c>
      <c r="E165" t="s">
        <v>1145</v>
      </c>
      <c r="F165" t="s">
        <v>1164</v>
      </c>
      <c r="G165" s="1">
        <v>41780</v>
      </c>
      <c r="H165" s="8">
        <v>473.44</v>
      </c>
      <c r="I165" s="9">
        <v>12.30944</v>
      </c>
      <c r="J165" s="9">
        <v>485.74943999999999</v>
      </c>
    </row>
    <row r="166" spans="1:10" x14ac:dyDescent="0.3">
      <c r="A166" s="4">
        <v>11067</v>
      </c>
      <c r="B166" t="s">
        <v>1165</v>
      </c>
      <c r="C166" t="s">
        <v>1137</v>
      </c>
      <c r="D166" t="s">
        <v>1149</v>
      </c>
      <c r="E166" t="s">
        <v>1145</v>
      </c>
      <c r="F166" t="s">
        <v>1164</v>
      </c>
      <c r="G166" s="1">
        <v>41793</v>
      </c>
      <c r="H166" s="8">
        <v>510.72</v>
      </c>
      <c r="I166" s="9">
        <v>12.25728</v>
      </c>
      <c r="J166" s="9">
        <v>522.97727999999995</v>
      </c>
    </row>
    <row r="167" spans="1:10" x14ac:dyDescent="0.3">
      <c r="A167" s="4">
        <v>11069</v>
      </c>
      <c r="B167" t="s">
        <v>1179</v>
      </c>
      <c r="C167" t="s">
        <v>1180</v>
      </c>
      <c r="D167" t="s">
        <v>1149</v>
      </c>
      <c r="E167" t="s">
        <v>1145</v>
      </c>
      <c r="F167" t="s">
        <v>1164</v>
      </c>
      <c r="G167" s="1">
        <v>41793</v>
      </c>
      <c r="H167" s="8">
        <v>250.72</v>
      </c>
      <c r="I167" s="9">
        <v>12.034560000000001</v>
      </c>
      <c r="J167" s="9">
        <v>262.75456000000003</v>
      </c>
    </row>
    <row r="168" spans="1:10" x14ac:dyDescent="0.3">
      <c r="A168" s="4">
        <v>11077</v>
      </c>
      <c r="B168" t="s">
        <v>1194</v>
      </c>
      <c r="C168" t="s">
        <v>1140</v>
      </c>
      <c r="D168" t="s">
        <v>1149</v>
      </c>
      <c r="E168" t="s">
        <v>1145</v>
      </c>
      <c r="F168" t="s">
        <v>1164</v>
      </c>
      <c r="G168" s="1">
        <v>41795</v>
      </c>
      <c r="H168" s="8">
        <v>545.91999999999996</v>
      </c>
      <c r="I168" s="9">
        <v>15.28576</v>
      </c>
      <c r="J168" s="9">
        <v>561.20576000000005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CCA93-F520-4618-8BA3-DFC9BEF456B2}">
  <dimension ref="A3:D60"/>
  <sheetViews>
    <sheetView topLeftCell="A45" zoomScale="89" workbookViewId="0">
      <selection activeCell="A55" sqref="A55:D60"/>
    </sheetView>
  </sheetViews>
  <sheetFormatPr baseColWidth="10" defaultRowHeight="14.4" x14ac:dyDescent="0.3"/>
  <cols>
    <col min="1" max="1" width="16.5546875" bestFit="1" customWidth="1"/>
    <col min="2" max="2" width="21.21875" bestFit="1" customWidth="1"/>
    <col min="3" max="3" width="7.88671875" bestFit="1" customWidth="1"/>
  </cols>
  <sheetData>
    <row r="3" spans="1:2" x14ac:dyDescent="0.3">
      <c r="A3" t="s">
        <v>1129</v>
      </c>
      <c r="B3" t="s">
        <v>1136</v>
      </c>
    </row>
    <row r="4" spans="1:2" x14ac:dyDescent="0.3">
      <c r="A4" s="7" t="s">
        <v>1137</v>
      </c>
      <c r="B4" s="8">
        <v>539.48928000000001</v>
      </c>
    </row>
    <row r="5" spans="1:2" x14ac:dyDescent="0.3">
      <c r="A5" s="7" t="s">
        <v>1138</v>
      </c>
      <c r="B5" s="8">
        <v>645.34367999999995</v>
      </c>
    </row>
    <row r="6" spans="1:2" x14ac:dyDescent="0.3">
      <c r="A6" s="7" t="s">
        <v>1139</v>
      </c>
      <c r="B6" s="8">
        <v>731.45519999999999</v>
      </c>
    </row>
    <row r="7" spans="1:2" x14ac:dyDescent="0.3">
      <c r="A7" s="7" t="s">
        <v>1140</v>
      </c>
      <c r="B7" s="8">
        <v>285.25952000000001</v>
      </c>
    </row>
    <row r="8" spans="1:2" x14ac:dyDescent="0.3">
      <c r="A8" s="7" t="s">
        <v>1141</v>
      </c>
      <c r="B8" s="8">
        <v>1456.93776</v>
      </c>
    </row>
    <row r="9" spans="1:2" x14ac:dyDescent="0.3">
      <c r="A9" s="7" t="s">
        <v>1142</v>
      </c>
      <c r="B9" s="8">
        <v>418.33855999999997</v>
      </c>
    </row>
    <row r="10" spans="1:2" x14ac:dyDescent="0.3">
      <c r="A10" s="7" t="s">
        <v>1143</v>
      </c>
      <c r="B10" s="8">
        <v>529.84064000000001</v>
      </c>
    </row>
    <row r="11" spans="1:2" x14ac:dyDescent="0.3">
      <c r="A11" s="7" t="s">
        <v>1130</v>
      </c>
      <c r="B11" s="9">
        <v>4606.6646400000009</v>
      </c>
    </row>
    <row r="28" spans="1:2" x14ac:dyDescent="0.3">
      <c r="A28" t="s">
        <v>1129</v>
      </c>
      <c r="B28" t="s">
        <v>1136</v>
      </c>
    </row>
    <row r="29" spans="1:2" x14ac:dyDescent="0.3">
      <c r="A29" s="7" t="s">
        <v>1137</v>
      </c>
      <c r="B29" s="10">
        <v>0.1171106043438838</v>
      </c>
    </row>
    <row r="30" spans="1:2" x14ac:dyDescent="0.3">
      <c r="A30" s="7" t="s">
        <v>1138</v>
      </c>
      <c r="B30" s="10">
        <v>0.14008913833154563</v>
      </c>
    </row>
    <row r="31" spans="1:2" x14ac:dyDescent="0.3">
      <c r="A31" s="7" t="s">
        <v>1139</v>
      </c>
      <c r="B31" s="10">
        <v>0.15878195118627081</v>
      </c>
    </row>
    <row r="32" spans="1:2" x14ac:dyDescent="0.3">
      <c r="A32" s="7" t="s">
        <v>1140</v>
      </c>
      <c r="B32" s="10">
        <v>6.1923222611663775E-2</v>
      </c>
    </row>
    <row r="33" spans="1:2" x14ac:dyDescent="0.3">
      <c r="A33" s="7" t="s">
        <v>1141</v>
      </c>
      <c r="B33" s="10">
        <v>0.31626738081806616</v>
      </c>
    </row>
    <row r="34" spans="1:2" x14ac:dyDescent="0.3">
      <c r="A34" s="7" t="s">
        <v>1142</v>
      </c>
      <c r="B34" s="10">
        <v>9.0811594221019726E-2</v>
      </c>
    </row>
    <row r="35" spans="1:2" x14ac:dyDescent="0.3">
      <c r="A35" s="7" t="s">
        <v>1143</v>
      </c>
      <c r="B35" s="10">
        <v>0.11501610848754988</v>
      </c>
    </row>
    <row r="36" spans="1:2" x14ac:dyDescent="0.3">
      <c r="A36" s="7" t="s">
        <v>1130</v>
      </c>
      <c r="B36" s="10">
        <v>1</v>
      </c>
    </row>
    <row r="55" spans="1:4" x14ac:dyDescent="0.3">
      <c r="A55" t="s">
        <v>1136</v>
      </c>
      <c r="B55" t="s">
        <v>1144</v>
      </c>
    </row>
    <row r="56" spans="1:4" x14ac:dyDescent="0.3">
      <c r="A56" t="s">
        <v>1129</v>
      </c>
      <c r="B56" t="s">
        <v>1145</v>
      </c>
      <c r="C56" t="s">
        <v>1146</v>
      </c>
      <c r="D56" t="s">
        <v>1130</v>
      </c>
    </row>
    <row r="57" spans="1:4" x14ac:dyDescent="0.3">
      <c r="A57" s="7" t="s">
        <v>1147</v>
      </c>
      <c r="B57" s="9">
        <v>1991.0806400000001</v>
      </c>
      <c r="C57" s="9">
        <v>232.512</v>
      </c>
      <c r="D57" s="9">
        <v>2223.5926400000003</v>
      </c>
    </row>
    <row r="58" spans="1:4" x14ac:dyDescent="0.3">
      <c r="A58" s="7" t="s">
        <v>1148</v>
      </c>
      <c r="B58" s="9">
        <v>1785.8662399999998</v>
      </c>
      <c r="C58" s="9">
        <v>178.8672</v>
      </c>
      <c r="D58" s="9">
        <v>1964.7334399999997</v>
      </c>
    </row>
    <row r="59" spans="1:4" x14ac:dyDescent="0.3">
      <c r="A59" s="7" t="s">
        <v>1149</v>
      </c>
      <c r="B59" s="9">
        <v>418.33855999999997</v>
      </c>
      <c r="C59" s="9"/>
      <c r="D59" s="9">
        <v>418.33855999999997</v>
      </c>
    </row>
    <row r="60" spans="1:4" x14ac:dyDescent="0.3">
      <c r="A60" s="7" t="s">
        <v>1130</v>
      </c>
      <c r="B60" s="9">
        <v>4195.2854399999997</v>
      </c>
      <c r="C60" s="9">
        <v>411.37919999999997</v>
      </c>
      <c r="D60" s="9">
        <v>4606.66464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F89AC-9468-40F3-92B6-B22A4A9E7BFD}">
  <dimension ref="A1:R29"/>
  <sheetViews>
    <sheetView showGridLines="0" tabSelected="1" workbookViewId="0">
      <selection activeCell="S25" sqref="S25"/>
    </sheetView>
  </sheetViews>
  <sheetFormatPr baseColWidth="10" defaultRowHeight="14.4" x14ac:dyDescent="0.3"/>
  <sheetData>
    <row r="1" spans="1:18" x14ac:dyDescent="0.3">
      <c r="A1" s="17" t="s">
        <v>1256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</sheetData>
  <mergeCells count="6">
    <mergeCell ref="A1:R3"/>
    <mergeCell ref="A4:E12"/>
    <mergeCell ref="F4:K29"/>
    <mergeCell ref="L4:R22"/>
    <mergeCell ref="A13:E29"/>
    <mergeCell ref="L23:R29"/>
  </mergeCells>
  <pageMargins left="0.7" right="0.7" top="0.75" bottom="0.75" header="0.3" footer="0.3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7a6852-adcf-40cb-8631-74894d954a66" xsi:nil="true"/>
    <lcf76f155ced4ddcb4097134ff3c332f xmlns="f15c2c00-bd65-4534-9c28-299cad06ba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59FC84F9EFD546922C507B8EF15DA0" ma:contentTypeVersion="16" ma:contentTypeDescription="Crear nuevo documento." ma:contentTypeScope="" ma:versionID="ad6b85bd48f317c14903285e13f19844">
  <xsd:schema xmlns:xsd="http://www.w3.org/2001/XMLSchema" xmlns:xs="http://www.w3.org/2001/XMLSchema" xmlns:p="http://schemas.microsoft.com/office/2006/metadata/properties" xmlns:ns2="277a6852-adcf-40cb-8631-74894d954a66" xmlns:ns3="f15c2c00-bd65-4534-9c28-299cad06bae7" targetNamespace="http://schemas.microsoft.com/office/2006/metadata/properties" ma:root="true" ma:fieldsID="ce4a255778be4a44cf08a508c58aa744" ns2:_="" ns3:_="">
    <xsd:import namespace="277a6852-adcf-40cb-8631-74894d954a66"/>
    <xsd:import namespace="f15c2c00-bd65-4534-9c28-299cad06ba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7a6852-adcf-40cb-8631-74894d954a6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6828073-d3d8-4d2b-8072-2029c8ea2567}" ma:internalName="TaxCatchAll" ma:showField="CatchAllData" ma:web="277a6852-adcf-40cb-8631-74894d954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c2c00-bd65-4534-9c28-299cad06ba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15f7197d-fdf9-4056-a817-646141ae8b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2E8A5A-E0E3-4B0D-85B4-B2669F3600FC}">
  <ds:schemaRefs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f15c2c00-bd65-4534-9c28-299cad06bae7"/>
    <ds:schemaRef ds:uri="277a6852-adcf-40cb-8631-74894d954a66"/>
  </ds:schemaRefs>
</ds:datastoreItem>
</file>

<file path=customXml/itemProps2.xml><?xml version="1.0" encoding="utf-8"?>
<ds:datastoreItem xmlns:ds="http://schemas.openxmlformats.org/officeDocument/2006/customXml" ds:itemID="{1788F7E0-BC00-459E-AE50-C4291002E9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86CD38-A96D-474F-AF9C-B4923C9749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7a6852-adcf-40cb-8631-74894d954a66"/>
    <ds:schemaRef ds:uri="f15c2c00-bd65-4534-9c28-299cad06b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Inventario_Libros</vt:lpstr>
      <vt:lpstr>Prestamos</vt:lpstr>
      <vt:lpstr>Hoja1</vt:lpstr>
      <vt:lpstr>DashBoard</vt:lpstr>
      <vt:lpstr>Hoja1 (2)</vt:lpstr>
      <vt:lpstr>Hoja2</vt:lpstr>
      <vt:lpstr>DashBoard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Jheison Silva</cp:lastModifiedBy>
  <cp:revision/>
  <dcterms:created xsi:type="dcterms:W3CDTF">2025-12-04T01:00:17Z</dcterms:created>
  <dcterms:modified xsi:type="dcterms:W3CDTF">2026-07-04T01:01:14Z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0x0101008A59FC84F9EFD546922C507B8EF15DA0</vt:lpwstr>
  </property>
  <property fmtid="{D5CDD505-2E9C-101B-9397-08002B2CF9AE}" pid="3" name="Order">
    <vt:r8>9300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  <property fmtid="{D5CDD505-2E9C-101B-9397-08002B2CF9AE}" pid="8" name="MSIP_Label_ca16bf0e-3932-49f1-98f1-b60824e1d0e4_Enabled">
    <vt:lpwstr>true</vt:lpwstr>
  </property>
  <property fmtid="{D5CDD505-2E9C-101B-9397-08002B2CF9AE}" pid="9" name="MSIP_Label_ca16bf0e-3932-49f1-98f1-b60824e1d0e4_SetDate">
    <vt:lpwstr>2026-01-31T16:51:30Z</vt:lpwstr>
  </property>
  <property fmtid="{D5CDD505-2E9C-101B-9397-08002B2CF9AE}" pid="10" name="MSIP_Label_ca16bf0e-3932-49f1-98f1-b60824e1d0e4_Method">
    <vt:lpwstr>Privileged</vt:lpwstr>
  </property>
  <property fmtid="{D5CDD505-2E9C-101B-9397-08002B2CF9AE}" pid="11" name="MSIP_Label_ca16bf0e-3932-49f1-98f1-b60824e1d0e4_Name">
    <vt:lpwstr>Confidencialidad_documentos</vt:lpwstr>
  </property>
  <property fmtid="{D5CDD505-2E9C-101B-9397-08002B2CF9AE}" pid="12" name="MSIP_Label_ca16bf0e-3932-49f1-98f1-b60824e1d0e4_SiteId">
    <vt:lpwstr>81f7f119-7d67-4738-b748-dc0811d44c1f</vt:lpwstr>
  </property>
  <property fmtid="{D5CDD505-2E9C-101B-9397-08002B2CF9AE}" pid="13" name="MSIP_Label_ca16bf0e-3932-49f1-98f1-b60824e1d0e4_ActionId">
    <vt:lpwstr>2cbc246f-224b-4790-b9af-981385b92516</vt:lpwstr>
  </property>
  <property fmtid="{D5CDD505-2E9C-101B-9397-08002B2CF9AE}" pid="14" name="MSIP_Label_ca16bf0e-3932-49f1-98f1-b60824e1d0e4_ContentBits">
    <vt:lpwstr>1</vt:lpwstr>
  </property>
  <property fmtid="{D5CDD505-2E9C-101B-9397-08002B2CF9AE}" pid="15" name="MSIP_Label_ca16bf0e-3932-49f1-98f1-b60824e1d0e4_Tag">
    <vt:lpwstr>10, 0, 1, 1</vt:lpwstr>
  </property>
</Properties>
</file>