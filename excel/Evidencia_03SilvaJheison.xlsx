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8_{E74224FE-A118-45EE-8BF8-5176927C241C}" xr6:coauthVersionLast="47" xr6:coauthVersionMax="47" xr10:uidLastSave="{00000000-0000-0000-0000-000000000000}"/>
  <bookViews>
    <workbookView xWindow="-108" yWindow="-108" windowWidth="23256" windowHeight="12456" firstSheet="1" activeTab="5" xr2:uid="{2EE0E776-0042-4051-A73A-60B8DD7BA0BC}"/>
  </bookViews>
  <sheets>
    <sheet name="FormatoCodicional" sheetId="1" r:id="rId1"/>
    <sheet name="Filtros" sheetId="3" r:id="rId2"/>
    <sheet name="CantIntentosMes" sheetId="4" r:id="rId3"/>
    <sheet name="PromAsistenciaProfesor" sheetId="5" r:id="rId4"/>
    <sheet name="PromNotasMateria" sheetId="7" r:id="rId5"/>
    <sheet name="Validación" sheetId="8" r:id="rId6"/>
  </sheets>
  <definedNames>
    <definedName name="_xlnm._FilterDatabase" localSheetId="2" hidden="1">CantIntentosMes!$A$1:$J$1</definedName>
    <definedName name="_xlnm._FilterDatabase" localSheetId="1" hidden="1">Filtros!$A$2:$J$251</definedName>
    <definedName name="_xlnm._FilterDatabase" localSheetId="0" hidden="1">FormatoCodicional!$A$1:$H$250</definedName>
    <definedName name="_xlnm._FilterDatabase" localSheetId="3" hidden="1">PromAsistenciaProfesor!$A$1:$H$254</definedName>
    <definedName name="_xlnm._FilterDatabase" localSheetId="4" hidden="1">PromNotasMateria!$A$1:$J$254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8" i="3" l="1"/>
  <c r="G257" i="3"/>
  <c r="G256" i="3"/>
  <c r="G255" i="3"/>
  <c r="B258" i="3"/>
  <c r="G254" i="3"/>
  <c r="B257" i="3"/>
  <c r="B256" i="3"/>
  <c r="B255" i="3"/>
  <c r="B254" i="3"/>
  <c r="H21" i="4"/>
  <c r="H262" i="4"/>
  <c r="H240" i="4"/>
  <c r="H216" i="4"/>
  <c r="H195" i="4"/>
  <c r="H173" i="4"/>
  <c r="H153" i="4"/>
  <c r="H135" i="4"/>
  <c r="H108" i="4"/>
  <c r="H88" i="4"/>
  <c r="H61" i="4"/>
  <c r="H40" i="4"/>
  <c r="G255" i="5"/>
  <c r="G160" i="5"/>
  <c r="G116" i="5"/>
  <c r="G47" i="5"/>
  <c r="G14" i="5"/>
  <c r="J81" i="5"/>
  <c r="D255" i="7"/>
  <c r="D197" i="7"/>
  <c r="D149" i="7"/>
  <c r="D103" i="7"/>
  <c r="D47" i="7"/>
  <c r="D256" i="7" s="1"/>
  <c r="J111" i="7"/>
  <c r="I111" i="7"/>
  <c r="J81" i="7"/>
  <c r="I81" i="7"/>
  <c r="J239" i="7"/>
  <c r="I239" i="7"/>
  <c r="J33" i="7"/>
  <c r="I33" i="7"/>
  <c r="J2" i="7"/>
  <c r="I2" i="7"/>
  <c r="J235" i="7"/>
  <c r="I235" i="7"/>
  <c r="J122" i="7"/>
  <c r="I122" i="7"/>
  <c r="J185" i="7"/>
  <c r="I185" i="7"/>
  <c r="J204" i="7"/>
  <c r="I204" i="7"/>
  <c r="J189" i="7"/>
  <c r="I189" i="7"/>
  <c r="J188" i="7"/>
  <c r="I188" i="7"/>
  <c r="J41" i="7"/>
  <c r="I41" i="7"/>
  <c r="J223" i="7"/>
  <c r="I223" i="7"/>
  <c r="J226" i="7"/>
  <c r="I226" i="7"/>
  <c r="J46" i="7"/>
  <c r="I46" i="7"/>
  <c r="J43" i="7"/>
  <c r="I43" i="7"/>
  <c r="J6" i="7"/>
  <c r="I6" i="7"/>
  <c r="J218" i="7"/>
  <c r="I218" i="7"/>
  <c r="J246" i="7"/>
  <c r="I246" i="7"/>
  <c r="J70" i="7"/>
  <c r="I70" i="7"/>
  <c r="J139" i="7"/>
  <c r="I139" i="7"/>
  <c r="J178" i="7"/>
  <c r="I178" i="7"/>
  <c r="J115" i="7"/>
  <c r="I115" i="7"/>
  <c r="J153" i="7"/>
  <c r="I153" i="7"/>
  <c r="J193" i="7"/>
  <c r="I193" i="7"/>
  <c r="J89" i="7"/>
  <c r="I89" i="7"/>
  <c r="J68" i="7"/>
  <c r="I68" i="7"/>
  <c r="J101" i="7"/>
  <c r="I101" i="7"/>
  <c r="J20" i="7"/>
  <c r="I20" i="7"/>
  <c r="J148" i="7"/>
  <c r="I148" i="7"/>
  <c r="J12" i="7"/>
  <c r="I12" i="7"/>
  <c r="J32" i="7"/>
  <c r="I32" i="7"/>
  <c r="J114" i="7"/>
  <c r="I114" i="7"/>
  <c r="J11" i="7"/>
  <c r="I11" i="7"/>
  <c r="J173" i="7"/>
  <c r="I173" i="7"/>
  <c r="J187" i="7"/>
  <c r="I187" i="7"/>
  <c r="J179" i="7"/>
  <c r="I179" i="7"/>
  <c r="J91" i="7"/>
  <c r="I91" i="7"/>
  <c r="J159" i="7"/>
  <c r="I159" i="7"/>
  <c r="J117" i="7"/>
  <c r="I117" i="7"/>
  <c r="J175" i="7"/>
  <c r="I175" i="7"/>
  <c r="J129" i="7"/>
  <c r="I129" i="7"/>
  <c r="J23" i="7"/>
  <c r="I23" i="7"/>
  <c r="J85" i="7"/>
  <c r="I85" i="7"/>
  <c r="J237" i="7"/>
  <c r="I237" i="7"/>
  <c r="J5" i="7"/>
  <c r="I5" i="7"/>
  <c r="J66" i="7"/>
  <c r="I66" i="7"/>
  <c r="J208" i="7"/>
  <c r="I208" i="7"/>
  <c r="J240" i="7"/>
  <c r="I240" i="7"/>
  <c r="J195" i="7"/>
  <c r="I195" i="7"/>
  <c r="J121" i="7"/>
  <c r="I121" i="7"/>
  <c r="J232" i="7"/>
  <c r="I232" i="7"/>
  <c r="J44" i="7"/>
  <c r="I44" i="7"/>
  <c r="J26" i="7"/>
  <c r="I26" i="7"/>
  <c r="J105" i="7"/>
  <c r="I105" i="7"/>
  <c r="J128" i="7"/>
  <c r="I128" i="7"/>
  <c r="J108" i="7"/>
  <c r="I108" i="7"/>
  <c r="J116" i="7"/>
  <c r="I116" i="7"/>
  <c r="J76" i="7"/>
  <c r="I76" i="7"/>
  <c r="J228" i="7"/>
  <c r="I228" i="7"/>
  <c r="J253" i="7"/>
  <c r="I253" i="7"/>
  <c r="J154" i="7"/>
  <c r="I154" i="7"/>
  <c r="J177" i="7"/>
  <c r="I177" i="7"/>
  <c r="J233" i="7"/>
  <c r="I233" i="7"/>
  <c r="J163" i="7"/>
  <c r="I163" i="7"/>
  <c r="J38" i="7"/>
  <c r="I38" i="7"/>
  <c r="J65" i="7"/>
  <c r="I65" i="7"/>
  <c r="J27" i="7"/>
  <c r="I27" i="7"/>
  <c r="J146" i="7"/>
  <c r="I146" i="7"/>
  <c r="J80" i="7"/>
  <c r="I80" i="7"/>
  <c r="J196" i="7"/>
  <c r="I196" i="7"/>
  <c r="J53" i="7"/>
  <c r="I53" i="7"/>
  <c r="J55" i="7"/>
  <c r="I55" i="7"/>
  <c r="J127" i="7"/>
  <c r="I127" i="7"/>
  <c r="J138" i="7"/>
  <c r="I138" i="7"/>
  <c r="J130" i="7"/>
  <c r="I130" i="7"/>
  <c r="J186" i="7"/>
  <c r="I186" i="7"/>
  <c r="J212" i="7"/>
  <c r="I212" i="7"/>
  <c r="J54" i="7"/>
  <c r="I54" i="7"/>
  <c r="J231" i="7"/>
  <c r="I231" i="7"/>
  <c r="J211" i="7"/>
  <c r="I211" i="7"/>
  <c r="J251" i="7"/>
  <c r="I251" i="7"/>
  <c r="J67" i="7"/>
  <c r="I67" i="7"/>
  <c r="J215" i="7"/>
  <c r="I215" i="7"/>
  <c r="J222" i="7"/>
  <c r="I222" i="7"/>
  <c r="J238" i="7"/>
  <c r="I238" i="7"/>
  <c r="J137" i="7"/>
  <c r="I137" i="7"/>
  <c r="J165" i="7"/>
  <c r="I165" i="7"/>
  <c r="J110" i="7"/>
  <c r="I110" i="7"/>
  <c r="J88" i="7"/>
  <c r="I88" i="7"/>
  <c r="J143" i="7"/>
  <c r="I143" i="7"/>
  <c r="J244" i="7"/>
  <c r="I244" i="7"/>
  <c r="J161" i="7"/>
  <c r="I161" i="7"/>
  <c r="J37" i="7"/>
  <c r="I37" i="7"/>
  <c r="J62" i="7"/>
  <c r="I62" i="7"/>
  <c r="J28" i="7"/>
  <c r="I28" i="7"/>
  <c r="J134" i="7"/>
  <c r="I134" i="7"/>
  <c r="J206" i="7"/>
  <c r="I206" i="7"/>
  <c r="J118" i="7"/>
  <c r="I118" i="7"/>
  <c r="J250" i="7"/>
  <c r="I250" i="7"/>
  <c r="J142" i="7"/>
  <c r="I142" i="7"/>
  <c r="J249" i="7"/>
  <c r="I249" i="7"/>
  <c r="J78" i="7"/>
  <c r="I78" i="7"/>
  <c r="J75" i="7"/>
  <c r="I75" i="7"/>
  <c r="J56" i="7"/>
  <c r="I56" i="7"/>
  <c r="J199" i="7"/>
  <c r="I199" i="7"/>
  <c r="J24" i="7"/>
  <c r="I24" i="7"/>
  <c r="J158" i="7"/>
  <c r="I158" i="7"/>
  <c r="J73" i="7"/>
  <c r="I73" i="7"/>
  <c r="J207" i="7"/>
  <c r="I207" i="7"/>
  <c r="J174" i="7"/>
  <c r="I174" i="7"/>
  <c r="J230" i="7"/>
  <c r="I230" i="7"/>
  <c r="J36" i="7"/>
  <c r="I36" i="7"/>
  <c r="J61" i="7"/>
  <c r="I61" i="7"/>
  <c r="J135" i="7"/>
  <c r="I135" i="7"/>
  <c r="J100" i="7"/>
  <c r="I100" i="7"/>
  <c r="J83" i="7"/>
  <c r="I83" i="7"/>
  <c r="J248" i="7"/>
  <c r="I248" i="7"/>
  <c r="J123" i="7"/>
  <c r="I123" i="7"/>
  <c r="J131" i="7"/>
  <c r="I131" i="7"/>
  <c r="J58" i="7"/>
  <c r="I58" i="7"/>
  <c r="J14" i="7"/>
  <c r="I14" i="7"/>
  <c r="J254" i="7"/>
  <c r="I254" i="7"/>
  <c r="J225" i="7"/>
  <c r="I225" i="7"/>
  <c r="J221" i="7"/>
  <c r="I221" i="7"/>
  <c r="J132" i="7"/>
  <c r="I132" i="7"/>
  <c r="J160" i="7"/>
  <c r="I160" i="7"/>
  <c r="J194" i="7"/>
  <c r="I194" i="7"/>
  <c r="J92" i="7"/>
  <c r="I92" i="7"/>
  <c r="J172" i="7"/>
  <c r="I172" i="7"/>
  <c r="J72" i="7"/>
  <c r="I72" i="7"/>
  <c r="J125" i="7"/>
  <c r="I125" i="7"/>
  <c r="J242" i="7"/>
  <c r="I242" i="7"/>
  <c r="J52" i="7"/>
  <c r="I52" i="7"/>
  <c r="J3" i="7"/>
  <c r="I3" i="7"/>
  <c r="J247" i="7"/>
  <c r="I247" i="7"/>
  <c r="J21" i="7"/>
  <c r="I21" i="7"/>
  <c r="J30" i="7"/>
  <c r="I30" i="7"/>
  <c r="J107" i="7"/>
  <c r="I107" i="7"/>
  <c r="J171" i="7"/>
  <c r="I171" i="7"/>
  <c r="J170" i="7"/>
  <c r="I170" i="7"/>
  <c r="J7" i="7"/>
  <c r="I7" i="7"/>
  <c r="J168" i="7"/>
  <c r="I168" i="7"/>
  <c r="J113" i="7"/>
  <c r="I113" i="7"/>
  <c r="J48" i="7"/>
  <c r="I48" i="7"/>
  <c r="J176" i="7"/>
  <c r="I176" i="7"/>
  <c r="J200" i="7"/>
  <c r="I200" i="7"/>
  <c r="J124" i="7"/>
  <c r="I124" i="7"/>
  <c r="J229" i="7"/>
  <c r="I229" i="7"/>
  <c r="J202" i="7"/>
  <c r="I202" i="7"/>
  <c r="J224" i="7"/>
  <c r="I224" i="7"/>
  <c r="J51" i="7"/>
  <c r="I51" i="7"/>
  <c r="J104" i="7"/>
  <c r="I104" i="7"/>
  <c r="J64" i="7"/>
  <c r="I64" i="7"/>
  <c r="J97" i="7"/>
  <c r="I97" i="7"/>
  <c r="J203" i="7"/>
  <c r="I203" i="7"/>
  <c r="J120" i="7"/>
  <c r="I120" i="7"/>
  <c r="J213" i="7"/>
  <c r="I213" i="7"/>
  <c r="J69" i="7"/>
  <c r="I69" i="7"/>
  <c r="J169" i="7"/>
  <c r="I169" i="7"/>
  <c r="J17" i="7"/>
  <c r="I17" i="7"/>
  <c r="J198" i="7"/>
  <c r="I198" i="7"/>
  <c r="J35" i="7"/>
  <c r="I35" i="7"/>
  <c r="J136" i="7"/>
  <c r="I136" i="7"/>
  <c r="J87" i="7"/>
  <c r="I87" i="7"/>
  <c r="J9" i="7"/>
  <c r="I9" i="7"/>
  <c r="J84" i="7"/>
  <c r="I84" i="7"/>
  <c r="J167" i="7"/>
  <c r="I167" i="7"/>
  <c r="J8" i="7"/>
  <c r="I8" i="7"/>
  <c r="J29" i="7"/>
  <c r="I29" i="7"/>
  <c r="J192" i="7"/>
  <c r="I192" i="7"/>
  <c r="J133" i="7"/>
  <c r="I133" i="7"/>
  <c r="J90" i="7"/>
  <c r="I90" i="7"/>
  <c r="J94" i="7"/>
  <c r="I94" i="7"/>
  <c r="J16" i="7"/>
  <c r="I16" i="7"/>
  <c r="J155" i="7"/>
  <c r="I155" i="7"/>
  <c r="J147" i="7"/>
  <c r="I147" i="7"/>
  <c r="J190" i="7"/>
  <c r="I190" i="7"/>
  <c r="J45" i="7"/>
  <c r="I45" i="7"/>
  <c r="J59" i="7"/>
  <c r="I59" i="7"/>
  <c r="J164" i="7"/>
  <c r="I164" i="7"/>
  <c r="J19" i="7"/>
  <c r="I19" i="7"/>
  <c r="J151" i="7"/>
  <c r="I151" i="7"/>
  <c r="J31" i="7"/>
  <c r="I31" i="7"/>
  <c r="J219" i="7"/>
  <c r="I219" i="7"/>
  <c r="J71" i="7"/>
  <c r="I71" i="7"/>
  <c r="J109" i="7"/>
  <c r="I109" i="7"/>
  <c r="J210" i="7"/>
  <c r="I210" i="7"/>
  <c r="J162" i="7"/>
  <c r="I162" i="7"/>
  <c r="J183" i="7"/>
  <c r="I183" i="7"/>
  <c r="J63" i="7"/>
  <c r="I63" i="7"/>
  <c r="J102" i="7"/>
  <c r="I102" i="7"/>
  <c r="J144" i="7"/>
  <c r="I144" i="7"/>
  <c r="J10" i="7"/>
  <c r="I10" i="7"/>
  <c r="J227" i="7"/>
  <c r="I227" i="7"/>
  <c r="J245" i="7"/>
  <c r="I245" i="7"/>
  <c r="J93" i="7"/>
  <c r="I93" i="7"/>
  <c r="J42" i="7"/>
  <c r="I42" i="7"/>
  <c r="J13" i="7"/>
  <c r="I13" i="7"/>
  <c r="J150" i="7"/>
  <c r="I150" i="7"/>
  <c r="J74" i="7"/>
  <c r="I74" i="7"/>
  <c r="J79" i="7"/>
  <c r="I79" i="7"/>
  <c r="J214" i="7"/>
  <c r="I214" i="7"/>
  <c r="J184" i="7"/>
  <c r="I184" i="7"/>
  <c r="J25" i="7"/>
  <c r="I25" i="7"/>
  <c r="J15" i="7"/>
  <c r="I15" i="7"/>
  <c r="J106" i="7"/>
  <c r="I106" i="7"/>
  <c r="J86" i="7"/>
  <c r="I86" i="7"/>
  <c r="J217" i="7"/>
  <c r="I217" i="7"/>
  <c r="J182" i="7"/>
  <c r="I182" i="7"/>
  <c r="J152" i="7"/>
  <c r="I152" i="7"/>
  <c r="J60" i="7"/>
  <c r="I60" i="7"/>
  <c r="J99" i="7"/>
  <c r="I99" i="7"/>
  <c r="J205" i="7"/>
  <c r="I205" i="7"/>
  <c r="J82" i="7"/>
  <c r="I82" i="7"/>
  <c r="J96" i="7"/>
  <c r="I96" i="7"/>
  <c r="J140" i="7"/>
  <c r="I140" i="7"/>
  <c r="J57" i="7"/>
  <c r="I57" i="7"/>
  <c r="J39" i="7"/>
  <c r="I39" i="7"/>
  <c r="J166" i="7"/>
  <c r="I166" i="7"/>
  <c r="J157" i="7"/>
  <c r="I157" i="7"/>
  <c r="J234" i="7"/>
  <c r="I234" i="7"/>
  <c r="J77" i="7"/>
  <c r="I77" i="7"/>
  <c r="J50" i="7"/>
  <c r="I50" i="7"/>
  <c r="J220" i="7"/>
  <c r="I220" i="7"/>
  <c r="J141" i="7"/>
  <c r="I141" i="7"/>
  <c r="J252" i="7"/>
  <c r="I252" i="7"/>
  <c r="J22" i="7"/>
  <c r="I22" i="7"/>
  <c r="J40" i="7"/>
  <c r="I40" i="7"/>
  <c r="J4" i="7"/>
  <c r="I4" i="7"/>
  <c r="J95" i="7"/>
  <c r="I95" i="7"/>
  <c r="J126" i="7"/>
  <c r="I126" i="7"/>
  <c r="J209" i="7"/>
  <c r="I209" i="7"/>
  <c r="J156" i="7"/>
  <c r="I156" i="7"/>
  <c r="J18" i="7"/>
  <c r="I18" i="7"/>
  <c r="J216" i="7"/>
  <c r="I216" i="7"/>
  <c r="J201" i="7"/>
  <c r="I201" i="7"/>
  <c r="J49" i="7"/>
  <c r="I49" i="7"/>
  <c r="J145" i="7"/>
  <c r="I145" i="7"/>
  <c r="J119" i="7"/>
  <c r="I119" i="7"/>
  <c r="J98" i="7"/>
  <c r="I98" i="7"/>
  <c r="J181" i="7"/>
  <c r="I181" i="7"/>
  <c r="J34" i="7"/>
  <c r="I34" i="7"/>
  <c r="J243" i="7"/>
  <c r="I243" i="7"/>
  <c r="J191" i="7"/>
  <c r="I191" i="7"/>
  <c r="J236" i="7"/>
  <c r="I236" i="7"/>
  <c r="J112" i="7"/>
  <c r="I112" i="7"/>
  <c r="J241" i="7"/>
  <c r="I241" i="7"/>
  <c r="J180" i="7"/>
  <c r="I180" i="7"/>
  <c r="J16" i="5"/>
  <c r="I16" i="5"/>
  <c r="J89" i="5"/>
  <c r="I89" i="5"/>
  <c r="J38" i="5"/>
  <c r="I38" i="5"/>
  <c r="J254" i="5"/>
  <c r="I254" i="5"/>
  <c r="J175" i="5"/>
  <c r="I175" i="5"/>
  <c r="J140" i="5"/>
  <c r="I140" i="5"/>
  <c r="J114" i="5"/>
  <c r="I114" i="5"/>
  <c r="J66" i="5"/>
  <c r="I66" i="5"/>
  <c r="J177" i="5"/>
  <c r="I177" i="5"/>
  <c r="J95" i="5"/>
  <c r="I95" i="5"/>
  <c r="J153" i="5"/>
  <c r="I153" i="5"/>
  <c r="J42" i="5"/>
  <c r="I42" i="5"/>
  <c r="J57" i="5"/>
  <c r="I57" i="5"/>
  <c r="J126" i="5"/>
  <c r="I126" i="5"/>
  <c r="J197" i="5"/>
  <c r="I197" i="5"/>
  <c r="J253" i="5"/>
  <c r="I253" i="5"/>
  <c r="J252" i="5"/>
  <c r="I252" i="5"/>
  <c r="J113" i="5"/>
  <c r="I113" i="5"/>
  <c r="J144" i="5"/>
  <c r="I144" i="5"/>
  <c r="J104" i="5"/>
  <c r="I104" i="5"/>
  <c r="J230" i="5"/>
  <c r="I230" i="5"/>
  <c r="J94" i="5"/>
  <c r="I94" i="5"/>
  <c r="J159" i="5"/>
  <c r="I159" i="5"/>
  <c r="J229" i="5"/>
  <c r="I229" i="5"/>
  <c r="J251" i="5"/>
  <c r="I251" i="5"/>
  <c r="J108" i="5"/>
  <c r="I108" i="5"/>
  <c r="J250" i="5"/>
  <c r="I250" i="5"/>
  <c r="J249" i="5"/>
  <c r="I249" i="5"/>
  <c r="J88" i="5"/>
  <c r="I88" i="5"/>
  <c r="J80" i="5"/>
  <c r="I80" i="5"/>
  <c r="J102" i="5"/>
  <c r="I102" i="5"/>
  <c r="J173" i="5"/>
  <c r="I173" i="5"/>
  <c r="J75" i="5"/>
  <c r="I75" i="5"/>
  <c r="J228" i="5"/>
  <c r="I228" i="5"/>
  <c r="J143" i="5"/>
  <c r="I143" i="5"/>
  <c r="J82" i="5"/>
  <c r="I82" i="5"/>
  <c r="J24" i="5"/>
  <c r="I24" i="5"/>
  <c r="J79" i="5"/>
  <c r="I79" i="5"/>
  <c r="J9" i="5"/>
  <c r="I9" i="5"/>
  <c r="J127" i="5"/>
  <c r="I127" i="5"/>
  <c r="J91" i="5"/>
  <c r="I91" i="5"/>
  <c r="J43" i="5"/>
  <c r="I43" i="5"/>
  <c r="J8" i="5"/>
  <c r="I8" i="5"/>
  <c r="J227" i="5"/>
  <c r="I227" i="5"/>
  <c r="J101" i="5"/>
  <c r="I101" i="5"/>
  <c r="J192" i="5"/>
  <c r="I192" i="5"/>
  <c r="J30" i="5"/>
  <c r="I30" i="5"/>
  <c r="J170" i="5"/>
  <c r="I170" i="5"/>
  <c r="J226" i="5"/>
  <c r="I226" i="5"/>
  <c r="J152" i="5"/>
  <c r="I152" i="5"/>
  <c r="J225" i="5"/>
  <c r="I225" i="5"/>
  <c r="J212" i="5"/>
  <c r="I212" i="5"/>
  <c r="J248" i="5"/>
  <c r="I248" i="5"/>
  <c r="J125" i="5"/>
  <c r="I125" i="5"/>
  <c r="J29" i="5"/>
  <c r="I29" i="5"/>
  <c r="J121" i="5"/>
  <c r="I121" i="5"/>
  <c r="J84" i="5"/>
  <c r="I84" i="5"/>
  <c r="J142" i="5"/>
  <c r="I142" i="5"/>
  <c r="J35" i="5"/>
  <c r="I35" i="5"/>
  <c r="J7" i="5"/>
  <c r="I7" i="5"/>
  <c r="J141" i="5"/>
  <c r="I141" i="5"/>
  <c r="J48" i="5"/>
  <c r="I48" i="5"/>
  <c r="J137" i="5"/>
  <c r="I137" i="5"/>
  <c r="J87" i="5"/>
  <c r="I87" i="5"/>
  <c r="J158" i="5"/>
  <c r="I158" i="5"/>
  <c r="J120" i="5"/>
  <c r="I120" i="5"/>
  <c r="J224" i="5"/>
  <c r="I224" i="5"/>
  <c r="J60" i="5"/>
  <c r="I60" i="5"/>
  <c r="J111" i="5"/>
  <c r="I111" i="5"/>
  <c r="J148" i="5"/>
  <c r="I148" i="5"/>
  <c r="J93" i="5"/>
  <c r="I93" i="5"/>
  <c r="J223" i="5"/>
  <c r="I223" i="5"/>
  <c r="J151" i="5"/>
  <c r="I151" i="5"/>
  <c r="J218" i="5"/>
  <c r="I218" i="5"/>
  <c r="J191" i="5"/>
  <c r="I191" i="5"/>
  <c r="J136" i="5"/>
  <c r="I136" i="5"/>
  <c r="J222" i="5"/>
  <c r="I222" i="5"/>
  <c r="J10" i="5"/>
  <c r="I10" i="5"/>
  <c r="J119" i="5"/>
  <c r="I119" i="5"/>
  <c r="J103" i="5"/>
  <c r="I103" i="5"/>
  <c r="J124" i="5"/>
  <c r="I124" i="5"/>
  <c r="J157" i="5"/>
  <c r="I157" i="5"/>
  <c r="J181" i="5"/>
  <c r="I181" i="5"/>
  <c r="J5" i="5"/>
  <c r="I5" i="5"/>
  <c r="J4" i="5"/>
  <c r="I4" i="5"/>
  <c r="J6" i="5"/>
  <c r="I6" i="5"/>
  <c r="J135" i="5"/>
  <c r="I135" i="5"/>
  <c r="J172" i="5"/>
  <c r="I172" i="5"/>
  <c r="J3" i="5"/>
  <c r="I3" i="5"/>
  <c r="J196" i="5"/>
  <c r="I196" i="5"/>
  <c r="J83" i="5"/>
  <c r="I83" i="5"/>
  <c r="J150" i="5"/>
  <c r="I150" i="5"/>
  <c r="J232" i="5"/>
  <c r="I232" i="5"/>
  <c r="J188" i="5"/>
  <c r="I188" i="5"/>
  <c r="J217" i="5"/>
  <c r="I217" i="5"/>
  <c r="J221" i="5"/>
  <c r="I221" i="5"/>
  <c r="J247" i="5"/>
  <c r="I247" i="5"/>
  <c r="J246" i="5"/>
  <c r="I246" i="5"/>
  <c r="J245" i="5"/>
  <c r="I245" i="5"/>
  <c r="J162" i="5"/>
  <c r="I162" i="5"/>
  <c r="J100" i="5"/>
  <c r="I100" i="5"/>
  <c r="J110" i="5"/>
  <c r="I110" i="5"/>
  <c r="J11" i="5"/>
  <c r="I11" i="5"/>
  <c r="J52" i="5"/>
  <c r="I52" i="5"/>
  <c r="J220" i="5"/>
  <c r="I220" i="5"/>
  <c r="J71" i="5"/>
  <c r="I71" i="5"/>
  <c r="J195" i="5"/>
  <c r="I195" i="5"/>
  <c r="J133" i="5"/>
  <c r="I133" i="5"/>
  <c r="J23" i="5"/>
  <c r="I23" i="5"/>
  <c r="J169" i="5"/>
  <c r="I169" i="5"/>
  <c r="J19" i="5"/>
  <c r="I19" i="5"/>
  <c r="J180" i="5"/>
  <c r="I180" i="5"/>
  <c r="J73" i="5"/>
  <c r="I73" i="5"/>
  <c r="J62" i="5"/>
  <c r="I62" i="5"/>
  <c r="J28" i="5"/>
  <c r="I28" i="5"/>
  <c r="J244" i="5"/>
  <c r="I244" i="5"/>
  <c r="J210" i="5"/>
  <c r="I210" i="5"/>
  <c r="J207" i="5"/>
  <c r="I207" i="5"/>
  <c r="J61" i="5"/>
  <c r="I61" i="5"/>
  <c r="J171" i="5"/>
  <c r="I171" i="5"/>
  <c r="J219" i="5"/>
  <c r="I219" i="5"/>
  <c r="J56" i="5"/>
  <c r="I56" i="5"/>
  <c r="J34" i="5"/>
  <c r="I34" i="5"/>
  <c r="J118" i="5"/>
  <c r="I118" i="5"/>
  <c r="J216" i="5"/>
  <c r="I216" i="5"/>
  <c r="J208" i="5"/>
  <c r="I208" i="5"/>
  <c r="J206" i="5"/>
  <c r="I206" i="5"/>
  <c r="J13" i="5"/>
  <c r="I13" i="5"/>
  <c r="J65" i="5"/>
  <c r="I65" i="5"/>
  <c r="J70" i="5"/>
  <c r="I70" i="5"/>
  <c r="J25" i="5"/>
  <c r="I25" i="5"/>
  <c r="J205" i="5"/>
  <c r="I205" i="5"/>
  <c r="J147" i="5"/>
  <c r="I147" i="5"/>
  <c r="J187" i="5"/>
  <c r="I187" i="5"/>
  <c r="J18" i="5"/>
  <c r="I18" i="5"/>
  <c r="J33" i="5"/>
  <c r="I33" i="5"/>
  <c r="J243" i="5"/>
  <c r="I243" i="5"/>
  <c r="J132" i="5"/>
  <c r="I132" i="5"/>
  <c r="J44" i="5"/>
  <c r="I44" i="5"/>
  <c r="J72" i="5"/>
  <c r="I72" i="5"/>
  <c r="J204" i="5"/>
  <c r="I204" i="5"/>
  <c r="J59" i="5"/>
  <c r="I59" i="5"/>
  <c r="J58" i="5"/>
  <c r="I58" i="5"/>
  <c r="J92" i="5"/>
  <c r="I92" i="5"/>
  <c r="J117" i="5"/>
  <c r="I117" i="5"/>
  <c r="J76" i="5"/>
  <c r="I76" i="5"/>
  <c r="J131" i="5"/>
  <c r="I131" i="5"/>
  <c r="J2" i="5"/>
  <c r="I2" i="5"/>
  <c r="J242" i="5"/>
  <c r="I242" i="5"/>
  <c r="J78" i="5"/>
  <c r="I78" i="5"/>
  <c r="J139" i="5"/>
  <c r="I139" i="5"/>
  <c r="J179" i="5"/>
  <c r="I179" i="5"/>
  <c r="J53" i="5"/>
  <c r="I53" i="5"/>
  <c r="J203" i="5"/>
  <c r="I203" i="5"/>
  <c r="J186" i="5"/>
  <c r="I186" i="5"/>
  <c r="J241" i="5"/>
  <c r="I241" i="5"/>
  <c r="J240" i="5"/>
  <c r="I240" i="5"/>
  <c r="J202" i="5"/>
  <c r="I202" i="5"/>
  <c r="J211" i="5"/>
  <c r="I211" i="5"/>
  <c r="J185" i="5"/>
  <c r="I185" i="5"/>
  <c r="J46" i="5"/>
  <c r="I46" i="5"/>
  <c r="J215" i="5"/>
  <c r="I215" i="5"/>
  <c r="J239" i="5"/>
  <c r="I239" i="5"/>
  <c r="J123" i="5"/>
  <c r="I123" i="5"/>
  <c r="J201" i="5"/>
  <c r="I201" i="5"/>
  <c r="J39" i="5"/>
  <c r="I39" i="5"/>
  <c r="J130" i="5"/>
  <c r="I130" i="5"/>
  <c r="J32" i="5"/>
  <c r="I32" i="5"/>
  <c r="J138" i="5"/>
  <c r="I138" i="5"/>
  <c r="J15" i="5"/>
  <c r="I15" i="5"/>
  <c r="J77" i="5"/>
  <c r="I77" i="5"/>
  <c r="J238" i="5"/>
  <c r="I238" i="5"/>
  <c r="J194" i="5"/>
  <c r="I194" i="5"/>
  <c r="J98" i="5"/>
  <c r="I98" i="5"/>
  <c r="J190" i="5"/>
  <c r="I190" i="5"/>
  <c r="J97" i="5"/>
  <c r="I97" i="5"/>
  <c r="J166" i="5"/>
  <c r="I166" i="5"/>
  <c r="J41" i="5"/>
  <c r="I41" i="5"/>
  <c r="J155" i="5"/>
  <c r="I155" i="5"/>
  <c r="J178" i="5"/>
  <c r="I178" i="5"/>
  <c r="J50" i="5"/>
  <c r="I50" i="5"/>
  <c r="J90" i="5"/>
  <c r="I90" i="5"/>
  <c r="J112" i="5"/>
  <c r="I112" i="5"/>
  <c r="J174" i="5"/>
  <c r="I174" i="5"/>
  <c r="J154" i="5"/>
  <c r="I154" i="5"/>
  <c r="J237" i="5"/>
  <c r="I237" i="5"/>
  <c r="J165" i="5"/>
  <c r="I165" i="5"/>
  <c r="J200" i="5"/>
  <c r="I200" i="5"/>
  <c r="J106" i="5"/>
  <c r="I106" i="5"/>
  <c r="J86" i="5"/>
  <c r="I86" i="5"/>
  <c r="J129" i="5"/>
  <c r="I129" i="5"/>
  <c r="J51" i="5"/>
  <c r="I51" i="5"/>
  <c r="J105" i="5"/>
  <c r="I105" i="5"/>
  <c r="J189" i="5"/>
  <c r="I189" i="5"/>
  <c r="J109" i="5"/>
  <c r="I109" i="5"/>
  <c r="J27" i="5"/>
  <c r="I27" i="5"/>
  <c r="J199" i="5"/>
  <c r="I199" i="5"/>
  <c r="J12" i="5"/>
  <c r="I12" i="5"/>
  <c r="J74" i="5"/>
  <c r="I74" i="5"/>
  <c r="J49" i="5"/>
  <c r="I49" i="5"/>
  <c r="J69" i="5"/>
  <c r="I69" i="5"/>
  <c r="J115" i="5"/>
  <c r="I115" i="5"/>
  <c r="J236" i="5"/>
  <c r="I236" i="5"/>
  <c r="J17" i="5"/>
  <c r="I17" i="5"/>
  <c r="J176" i="5"/>
  <c r="I176" i="5"/>
  <c r="J209" i="5"/>
  <c r="I209" i="5"/>
  <c r="J85" i="5"/>
  <c r="I85" i="5"/>
  <c r="J235" i="5"/>
  <c r="I235" i="5"/>
  <c r="J193" i="5"/>
  <c r="I193" i="5"/>
  <c r="J26" i="5"/>
  <c r="I26" i="5"/>
  <c r="J214" i="5"/>
  <c r="I214" i="5"/>
  <c r="J21" i="5"/>
  <c r="I21" i="5"/>
  <c r="J184" i="5"/>
  <c r="I184" i="5"/>
  <c r="J146" i="5"/>
  <c r="I146" i="5"/>
  <c r="J161" i="5"/>
  <c r="I161" i="5"/>
  <c r="J156" i="5"/>
  <c r="I156" i="5"/>
  <c r="J31" i="5"/>
  <c r="I31" i="5"/>
  <c r="J22" i="5"/>
  <c r="I22" i="5"/>
  <c r="J68" i="5"/>
  <c r="I68" i="5"/>
  <c r="J164" i="5"/>
  <c r="I164" i="5"/>
  <c r="J128" i="5"/>
  <c r="I128" i="5"/>
  <c r="J99" i="5"/>
  <c r="I99" i="5"/>
  <c r="J213" i="5"/>
  <c r="I213" i="5"/>
  <c r="J122" i="5"/>
  <c r="I122" i="5"/>
  <c r="J198" i="5"/>
  <c r="I198" i="5"/>
  <c r="J168" i="5"/>
  <c r="I168" i="5"/>
  <c r="J134" i="5"/>
  <c r="I134" i="5"/>
  <c r="J183" i="5"/>
  <c r="I183" i="5"/>
  <c r="J182" i="5"/>
  <c r="I182" i="5"/>
  <c r="J45" i="5"/>
  <c r="I45" i="5"/>
  <c r="J67" i="5"/>
  <c r="I67" i="5"/>
  <c r="J55" i="5"/>
  <c r="I55" i="5"/>
  <c r="J54" i="5"/>
  <c r="I54" i="5"/>
  <c r="J37" i="5"/>
  <c r="I37" i="5"/>
  <c r="J96" i="5"/>
  <c r="I96" i="5"/>
  <c r="J234" i="5"/>
  <c r="I234" i="5"/>
  <c r="J107" i="5"/>
  <c r="I107" i="5"/>
  <c r="J20" i="5"/>
  <c r="I20" i="5"/>
  <c r="J231" i="5"/>
  <c r="I231" i="5"/>
  <c r="J167" i="5"/>
  <c r="I167" i="5"/>
  <c r="J163" i="5"/>
  <c r="I163" i="5"/>
  <c r="J145" i="5"/>
  <c r="I145" i="5"/>
  <c r="J64" i="5"/>
  <c r="I64" i="5"/>
  <c r="J36" i="5"/>
  <c r="I36" i="5"/>
  <c r="J63" i="5"/>
  <c r="I63" i="5"/>
  <c r="J233" i="5"/>
  <c r="I233" i="5"/>
  <c r="J40" i="5"/>
  <c r="I40" i="5"/>
  <c r="J149" i="5"/>
  <c r="I149" i="5"/>
  <c r="I81" i="5"/>
  <c r="J39" i="4"/>
  <c r="I39" i="4"/>
  <c r="J172" i="4"/>
  <c r="I172" i="4"/>
  <c r="J194" i="4"/>
  <c r="I194" i="4"/>
  <c r="J193" i="4"/>
  <c r="I193" i="4"/>
  <c r="J20" i="4"/>
  <c r="I20" i="4"/>
  <c r="J152" i="4"/>
  <c r="I152" i="4"/>
  <c r="J107" i="4"/>
  <c r="I107" i="4"/>
  <c r="J215" i="4"/>
  <c r="I215" i="4"/>
  <c r="J38" i="4"/>
  <c r="I38" i="4"/>
  <c r="J214" i="4"/>
  <c r="I214" i="4"/>
  <c r="J213" i="4"/>
  <c r="I213" i="4"/>
  <c r="J239" i="4"/>
  <c r="I239" i="4"/>
  <c r="J106" i="4"/>
  <c r="I106" i="4"/>
  <c r="J105" i="4"/>
  <c r="I105" i="4"/>
  <c r="J261" i="4"/>
  <c r="I261" i="4"/>
  <c r="J238" i="4"/>
  <c r="I238" i="4"/>
  <c r="J60" i="4"/>
  <c r="I60" i="4"/>
  <c r="J87" i="4"/>
  <c r="I87" i="4"/>
  <c r="J212" i="4"/>
  <c r="I212" i="4"/>
  <c r="J134" i="4"/>
  <c r="I134" i="4"/>
  <c r="J211" i="4"/>
  <c r="I211" i="4"/>
  <c r="J171" i="4"/>
  <c r="I171" i="4"/>
  <c r="J59" i="4"/>
  <c r="I59" i="4"/>
  <c r="J37" i="4"/>
  <c r="I37" i="4"/>
  <c r="J260" i="4"/>
  <c r="I260" i="4"/>
  <c r="J210" i="4"/>
  <c r="I210" i="4"/>
  <c r="J104" i="4"/>
  <c r="I104" i="4"/>
  <c r="J259" i="4"/>
  <c r="I259" i="4"/>
  <c r="J133" i="4"/>
  <c r="I133" i="4"/>
  <c r="J258" i="4"/>
  <c r="I258" i="4"/>
  <c r="J86" i="4"/>
  <c r="I86" i="4"/>
  <c r="J192" i="4"/>
  <c r="I192" i="4"/>
  <c r="J58" i="4"/>
  <c r="I58" i="4"/>
  <c r="J85" i="4"/>
  <c r="I85" i="4"/>
  <c r="J132" i="4"/>
  <c r="I132" i="4"/>
  <c r="J209" i="4"/>
  <c r="I209" i="4"/>
  <c r="J170" i="4"/>
  <c r="I170" i="4"/>
  <c r="J237" i="4"/>
  <c r="I237" i="4"/>
  <c r="J84" i="4"/>
  <c r="I84" i="4"/>
  <c r="J83" i="4"/>
  <c r="I83" i="4"/>
  <c r="J151" i="4"/>
  <c r="I151" i="4"/>
  <c r="J131" i="4"/>
  <c r="I131" i="4"/>
  <c r="J150" i="4"/>
  <c r="I150" i="4"/>
  <c r="J191" i="4"/>
  <c r="I191" i="4"/>
  <c r="J169" i="4"/>
  <c r="I169" i="4"/>
  <c r="J36" i="4"/>
  <c r="I36" i="4"/>
  <c r="J103" i="4"/>
  <c r="I103" i="4"/>
  <c r="J35" i="4"/>
  <c r="I35" i="4"/>
  <c r="J190" i="4"/>
  <c r="I190" i="4"/>
  <c r="J257" i="4"/>
  <c r="I257" i="4"/>
  <c r="J102" i="4"/>
  <c r="I102" i="4"/>
  <c r="J149" i="4"/>
  <c r="I149" i="4"/>
  <c r="J236" i="4"/>
  <c r="I236" i="4"/>
  <c r="J168" i="4"/>
  <c r="I168" i="4"/>
  <c r="J19" i="4"/>
  <c r="I19" i="4"/>
  <c r="J130" i="4"/>
  <c r="I130" i="4"/>
  <c r="J34" i="4"/>
  <c r="I34" i="4"/>
  <c r="J82" i="4"/>
  <c r="I82" i="4"/>
  <c r="J148" i="4"/>
  <c r="I148" i="4"/>
  <c r="J129" i="4"/>
  <c r="I129" i="4"/>
  <c r="J235" i="4"/>
  <c r="I235" i="4"/>
  <c r="J57" i="4"/>
  <c r="I57" i="4"/>
  <c r="J167" i="4"/>
  <c r="I167" i="4"/>
  <c r="J147" i="4"/>
  <c r="I147" i="4"/>
  <c r="J81" i="4"/>
  <c r="I81" i="4"/>
  <c r="J208" i="4"/>
  <c r="I208" i="4"/>
  <c r="J101" i="4"/>
  <c r="I101" i="4"/>
  <c r="J166" i="4"/>
  <c r="I166" i="4"/>
  <c r="J256" i="4"/>
  <c r="I256" i="4"/>
  <c r="J165" i="4"/>
  <c r="I165" i="4"/>
  <c r="J255" i="4"/>
  <c r="I255" i="4"/>
  <c r="J18" i="4"/>
  <c r="I18" i="4"/>
  <c r="J17" i="4"/>
  <c r="I17" i="4"/>
  <c r="J128" i="4"/>
  <c r="I128" i="4"/>
  <c r="J207" i="4"/>
  <c r="I207" i="4"/>
  <c r="J146" i="4"/>
  <c r="I146" i="4"/>
  <c r="J206" i="4"/>
  <c r="I206" i="4"/>
  <c r="J56" i="4"/>
  <c r="I56" i="4"/>
  <c r="J16" i="4"/>
  <c r="I16" i="4"/>
  <c r="J145" i="4"/>
  <c r="I145" i="4"/>
  <c r="J55" i="4"/>
  <c r="I55" i="4"/>
  <c r="J234" i="4"/>
  <c r="I234" i="4"/>
  <c r="J100" i="4"/>
  <c r="I100" i="4"/>
  <c r="J80" i="4"/>
  <c r="I80" i="4"/>
  <c r="J99" i="4"/>
  <c r="I99" i="4"/>
  <c r="J189" i="4"/>
  <c r="I189" i="4"/>
  <c r="J188" i="4"/>
  <c r="I188" i="4"/>
  <c r="J127" i="4"/>
  <c r="I127" i="4"/>
  <c r="J33" i="4"/>
  <c r="I33" i="4"/>
  <c r="J205" i="4"/>
  <c r="I205" i="4"/>
  <c r="J233" i="4"/>
  <c r="I233" i="4"/>
  <c r="J204" i="4"/>
  <c r="I204" i="4"/>
  <c r="J79" i="4"/>
  <c r="I79" i="4"/>
  <c r="J203" i="4"/>
  <c r="I203" i="4"/>
  <c r="J54" i="4"/>
  <c r="I54" i="4"/>
  <c r="J164" i="4"/>
  <c r="I164" i="4"/>
  <c r="J163" i="4"/>
  <c r="I163" i="4"/>
  <c r="J32" i="4"/>
  <c r="I32" i="4"/>
  <c r="J78" i="4"/>
  <c r="I78" i="4"/>
  <c r="J232" i="4"/>
  <c r="I232" i="4"/>
  <c r="J231" i="4"/>
  <c r="I231" i="4"/>
  <c r="J230" i="4"/>
  <c r="I230" i="4"/>
  <c r="J144" i="4"/>
  <c r="I144" i="4"/>
  <c r="J143" i="4"/>
  <c r="I143" i="4"/>
  <c r="J31" i="4"/>
  <c r="I31" i="4"/>
  <c r="J15" i="4"/>
  <c r="I15" i="4"/>
  <c r="J142" i="4"/>
  <c r="I142" i="4"/>
  <c r="J53" i="4"/>
  <c r="I53" i="4"/>
  <c r="J126" i="4"/>
  <c r="I126" i="4"/>
  <c r="J30" i="4"/>
  <c r="I30" i="4"/>
  <c r="J141" i="4"/>
  <c r="I141" i="4"/>
  <c r="J125" i="4"/>
  <c r="I125" i="4"/>
  <c r="J202" i="4"/>
  <c r="I202" i="4"/>
  <c r="J52" i="4"/>
  <c r="I52" i="4"/>
  <c r="J187" i="4"/>
  <c r="I187" i="4"/>
  <c r="J254" i="4"/>
  <c r="I254" i="4"/>
  <c r="J186" i="4"/>
  <c r="I186" i="4"/>
  <c r="J229" i="4"/>
  <c r="I229" i="4"/>
  <c r="J98" i="4"/>
  <c r="I98" i="4"/>
  <c r="J162" i="4"/>
  <c r="I162" i="4"/>
  <c r="J51" i="4"/>
  <c r="I51" i="4"/>
  <c r="J97" i="4"/>
  <c r="I97" i="4"/>
  <c r="J253" i="4"/>
  <c r="I253" i="4"/>
  <c r="J96" i="4"/>
  <c r="I96" i="4"/>
  <c r="J95" i="4"/>
  <c r="I95" i="4"/>
  <c r="J161" i="4"/>
  <c r="I161" i="4"/>
  <c r="J77" i="4"/>
  <c r="I77" i="4"/>
  <c r="J252" i="4"/>
  <c r="I252" i="4"/>
  <c r="J228" i="4"/>
  <c r="I228" i="4"/>
  <c r="J124" i="4"/>
  <c r="I124" i="4"/>
  <c r="J123" i="4"/>
  <c r="I123" i="4"/>
  <c r="J94" i="4"/>
  <c r="I94" i="4"/>
  <c r="J185" i="4"/>
  <c r="I185" i="4"/>
  <c r="J14" i="4"/>
  <c r="I14" i="4"/>
  <c r="J13" i="4"/>
  <c r="I13" i="4"/>
  <c r="J227" i="4"/>
  <c r="I227" i="4"/>
  <c r="J140" i="4"/>
  <c r="I140" i="4"/>
  <c r="J184" i="4"/>
  <c r="I184" i="4"/>
  <c r="J29" i="4"/>
  <c r="I29" i="4"/>
  <c r="J122" i="4"/>
  <c r="I122" i="4"/>
  <c r="J121" i="4"/>
  <c r="I121" i="4"/>
  <c r="J50" i="4"/>
  <c r="I50" i="4"/>
  <c r="J120" i="4"/>
  <c r="I120" i="4"/>
  <c r="J49" i="4"/>
  <c r="I49" i="4"/>
  <c r="J12" i="4"/>
  <c r="I12" i="4"/>
  <c r="J160" i="4"/>
  <c r="I160" i="4"/>
  <c r="J11" i="4"/>
  <c r="I11" i="4"/>
  <c r="J93" i="4"/>
  <c r="I93" i="4"/>
  <c r="J119" i="4"/>
  <c r="I119" i="4"/>
  <c r="J10" i="4"/>
  <c r="I10" i="4"/>
  <c r="J92" i="4"/>
  <c r="I92" i="4"/>
  <c r="J9" i="4"/>
  <c r="I9" i="4"/>
  <c r="J8" i="4"/>
  <c r="I8" i="4"/>
  <c r="J76" i="4"/>
  <c r="I76" i="4"/>
  <c r="J251" i="4"/>
  <c r="I251" i="4"/>
  <c r="J28" i="4"/>
  <c r="I28" i="4"/>
  <c r="J75" i="4"/>
  <c r="I75" i="4"/>
  <c r="J74" i="4"/>
  <c r="I74" i="4"/>
  <c r="J118" i="4"/>
  <c r="I118" i="4"/>
  <c r="J117" i="4"/>
  <c r="I117" i="4"/>
  <c r="J116" i="4"/>
  <c r="I116" i="4"/>
  <c r="J7" i="4"/>
  <c r="I7" i="4"/>
  <c r="J201" i="4"/>
  <c r="I201" i="4"/>
  <c r="J183" i="4"/>
  <c r="I183" i="4"/>
  <c r="J182" i="4"/>
  <c r="I182" i="4"/>
  <c r="J73" i="4"/>
  <c r="I73" i="4"/>
  <c r="J181" i="4"/>
  <c r="I181" i="4"/>
  <c r="J115" i="4"/>
  <c r="I115" i="4"/>
  <c r="J72" i="4"/>
  <c r="I72" i="4"/>
  <c r="J180" i="4"/>
  <c r="I180" i="4"/>
  <c r="J226" i="4"/>
  <c r="I226" i="4"/>
  <c r="J159" i="4"/>
  <c r="I159" i="4"/>
  <c r="J225" i="4"/>
  <c r="I225" i="4"/>
  <c r="J250" i="4"/>
  <c r="I250" i="4"/>
  <c r="J114" i="4"/>
  <c r="I114" i="4"/>
  <c r="J48" i="4"/>
  <c r="I48" i="4"/>
  <c r="J249" i="4"/>
  <c r="I249" i="4"/>
  <c r="J224" i="4"/>
  <c r="I224" i="4"/>
  <c r="J248" i="4"/>
  <c r="I248" i="4"/>
  <c r="J47" i="4"/>
  <c r="I47" i="4"/>
  <c r="J91" i="4"/>
  <c r="I91" i="4"/>
  <c r="J113" i="4"/>
  <c r="I113" i="4"/>
  <c r="J27" i="4"/>
  <c r="I27" i="4"/>
  <c r="J179" i="4"/>
  <c r="I179" i="4"/>
  <c r="J71" i="4"/>
  <c r="I71" i="4"/>
  <c r="J112" i="4"/>
  <c r="I112" i="4"/>
  <c r="J26" i="4"/>
  <c r="I26" i="4"/>
  <c r="J46" i="4"/>
  <c r="I46" i="4"/>
  <c r="J70" i="4"/>
  <c r="I70" i="4"/>
  <c r="J178" i="4"/>
  <c r="I178" i="4"/>
  <c r="J69" i="4"/>
  <c r="I69" i="4"/>
  <c r="J247" i="4"/>
  <c r="I247" i="4"/>
  <c r="J223" i="4"/>
  <c r="I223" i="4"/>
  <c r="J68" i="4"/>
  <c r="I68" i="4"/>
  <c r="J90" i="4"/>
  <c r="I90" i="4"/>
  <c r="J200" i="4"/>
  <c r="I200" i="4"/>
  <c r="J246" i="4"/>
  <c r="I246" i="4"/>
  <c r="J222" i="4"/>
  <c r="I222" i="4"/>
  <c r="J67" i="4"/>
  <c r="I67" i="4"/>
  <c r="J25" i="4"/>
  <c r="I25" i="4"/>
  <c r="J139" i="4"/>
  <c r="I139" i="4"/>
  <c r="J158" i="4"/>
  <c r="I158" i="4"/>
  <c r="J66" i="4"/>
  <c r="I66" i="4"/>
  <c r="J199" i="4"/>
  <c r="I199" i="4"/>
  <c r="J157" i="4"/>
  <c r="I157" i="4"/>
  <c r="J89" i="4"/>
  <c r="I89" i="4"/>
  <c r="J6" i="4"/>
  <c r="I6" i="4"/>
  <c r="J177" i="4"/>
  <c r="I177" i="4"/>
  <c r="J65" i="4"/>
  <c r="I65" i="4"/>
  <c r="J176" i="4"/>
  <c r="I176" i="4"/>
  <c r="J24" i="4"/>
  <c r="I24" i="4"/>
  <c r="J45" i="4"/>
  <c r="I45" i="4"/>
  <c r="J245" i="4"/>
  <c r="I245" i="4"/>
  <c r="J23" i="4"/>
  <c r="I23" i="4"/>
  <c r="J156" i="4"/>
  <c r="I156" i="4"/>
  <c r="J244" i="4"/>
  <c r="I244" i="4"/>
  <c r="J221" i="4"/>
  <c r="I221" i="4"/>
  <c r="J22" i="4"/>
  <c r="I22" i="4"/>
  <c r="J198" i="4"/>
  <c r="I198" i="4"/>
  <c r="J111" i="4"/>
  <c r="I111" i="4"/>
  <c r="J44" i="4"/>
  <c r="I44" i="4"/>
  <c r="J138" i="4"/>
  <c r="I138" i="4"/>
  <c r="J137" i="4"/>
  <c r="I137" i="4"/>
  <c r="J5" i="4"/>
  <c r="I5" i="4"/>
  <c r="J64" i="4"/>
  <c r="I64" i="4"/>
  <c r="J220" i="4"/>
  <c r="I220" i="4"/>
  <c r="J219" i="4"/>
  <c r="I219" i="4"/>
  <c r="J136" i="4"/>
  <c r="I136" i="4"/>
  <c r="J218" i="4"/>
  <c r="I218" i="4"/>
  <c r="J4" i="4"/>
  <c r="I4" i="4"/>
  <c r="J243" i="4"/>
  <c r="I243" i="4"/>
  <c r="J110" i="4"/>
  <c r="I110" i="4"/>
  <c r="J43" i="4"/>
  <c r="I43" i="4"/>
  <c r="J42" i="4"/>
  <c r="I42" i="4"/>
  <c r="J109" i="4"/>
  <c r="I109" i="4"/>
  <c r="J63" i="4"/>
  <c r="I63" i="4"/>
  <c r="J3" i="4"/>
  <c r="I3" i="4"/>
  <c r="J2" i="4"/>
  <c r="I2" i="4"/>
  <c r="J242" i="4"/>
  <c r="I242" i="4"/>
  <c r="J62" i="4"/>
  <c r="I62" i="4"/>
  <c r="J241" i="4"/>
  <c r="I241" i="4"/>
  <c r="J175" i="4"/>
  <c r="I175" i="4"/>
  <c r="J197" i="4"/>
  <c r="I197" i="4"/>
  <c r="J196" i="4"/>
  <c r="I196" i="4"/>
  <c r="J217" i="4"/>
  <c r="I217" i="4"/>
  <c r="J155" i="4"/>
  <c r="I155" i="4"/>
  <c r="J41" i="4"/>
  <c r="I41" i="4"/>
  <c r="J174" i="4"/>
  <c r="I174" i="4"/>
  <c r="J154" i="4"/>
  <c r="I154" i="4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J2" i="1"/>
  <c r="I2" i="1"/>
  <c r="H263" i="4" l="1"/>
  <c r="G256" i="5"/>
</calcChain>
</file>

<file path=xl/sharedStrings.xml><?xml version="1.0" encoding="utf-8"?>
<sst xmlns="http://schemas.openxmlformats.org/spreadsheetml/2006/main" count="3839" uniqueCount="302">
  <si>
    <t>ID Estudiante</t>
  </si>
  <si>
    <t>Nombre Estudiante</t>
  </si>
  <si>
    <t>Materia</t>
  </si>
  <si>
    <t>Nota Final</t>
  </si>
  <si>
    <t>Fecha Examen</t>
  </si>
  <si>
    <t>Profesor</t>
  </si>
  <si>
    <t>% Asistencia</t>
  </si>
  <si>
    <t>Intentos examen</t>
  </si>
  <si>
    <t>Adrienne Garcia</t>
  </si>
  <si>
    <t>Matemáticas</t>
  </si>
  <si>
    <t>Dr. López</t>
  </si>
  <si>
    <t>Mr. Jeremy Vaughan DVM</t>
  </si>
  <si>
    <t>Química</t>
  </si>
  <si>
    <t>Dr. Martínez</t>
  </si>
  <si>
    <t>Jason Palmer</t>
  </si>
  <si>
    <t>Historia</t>
  </si>
  <si>
    <t>Prof. Ruiz</t>
  </si>
  <si>
    <t>Diana Weber</t>
  </si>
  <si>
    <t>Jordan Valencia</t>
  </si>
  <si>
    <t>Biología</t>
  </si>
  <si>
    <t>Prof. García</t>
  </si>
  <si>
    <t>Jennifer Ellis</t>
  </si>
  <si>
    <t>Dr. Sánchez</t>
  </si>
  <si>
    <t>Tracy Anderson</t>
  </si>
  <si>
    <t>Física</t>
  </si>
  <si>
    <t>Brianna Norton</t>
  </si>
  <si>
    <t>David Thompson</t>
  </si>
  <si>
    <t>Kenneth Aguilar</t>
  </si>
  <si>
    <t>Amber Medina</t>
  </si>
  <si>
    <t>Robert Johnson</t>
  </si>
  <si>
    <t>Stacy Brady</t>
  </si>
  <si>
    <t>Kelly Shaw</t>
  </si>
  <si>
    <t>Kevin Russell</t>
  </si>
  <si>
    <t>Emma Stephens</t>
  </si>
  <si>
    <t>Jessica Palmer</t>
  </si>
  <si>
    <t>Meghan Gomez</t>
  </si>
  <si>
    <t>Nicholas Frye</t>
  </si>
  <si>
    <t>Daniel Simpson</t>
  </si>
  <si>
    <t>Donald Ray</t>
  </si>
  <si>
    <t>Sharon Gibson</t>
  </si>
  <si>
    <t>Ashley Ortega</t>
  </si>
  <si>
    <t>Michelle Lloyd</t>
  </si>
  <si>
    <t>Jennifer Hall</t>
  </si>
  <si>
    <t>Scott Warren</t>
  </si>
  <si>
    <t>Michael Wilson</t>
  </si>
  <si>
    <t>Lee Ramsey</t>
  </si>
  <si>
    <t>Carolyn Atkinson</t>
  </si>
  <si>
    <t>Mark Jackson</t>
  </si>
  <si>
    <t>Thomas Hernandez</t>
  </si>
  <si>
    <t>Sara Crawford</t>
  </si>
  <si>
    <t>Jason Jackson</t>
  </si>
  <si>
    <t>Eric Liu</t>
  </si>
  <si>
    <t>Brianna Garrison</t>
  </si>
  <si>
    <t>Christina Williams</t>
  </si>
  <si>
    <t>Bradley Welch Jr.</t>
  </si>
  <si>
    <t>Bradley Roy</t>
  </si>
  <si>
    <t>Jennifer Flores</t>
  </si>
  <si>
    <t>Nathan Davis</t>
  </si>
  <si>
    <t>Cynthia Quinn</t>
  </si>
  <si>
    <t>Marco Willis</t>
  </si>
  <si>
    <t>Daniel Taylor</t>
  </si>
  <si>
    <t>Francis Joseph</t>
  </si>
  <si>
    <t>William Miller</t>
  </si>
  <si>
    <t>Tina Jones</t>
  </si>
  <si>
    <t>Rebekah Carrillo</t>
  </si>
  <si>
    <t>Amy Morales</t>
  </si>
  <si>
    <t>Stephen Martinez</t>
  </si>
  <si>
    <t>Tasha Green</t>
  </si>
  <si>
    <t>Casey Rodriguez</t>
  </si>
  <si>
    <t>Michael Harper</t>
  </si>
  <si>
    <t>Mr. Marcus Craig</t>
  </si>
  <si>
    <t>Lisa Deleon</t>
  </si>
  <si>
    <t>Joe Krause</t>
  </si>
  <si>
    <t>Charlotte Benson</t>
  </si>
  <si>
    <t>Nina Lee</t>
  </si>
  <si>
    <t>Christopher Mcclain</t>
  </si>
  <si>
    <t>Timothy Crane</t>
  </si>
  <si>
    <t>Jeffrey Cox</t>
  </si>
  <si>
    <t>Jason Leach</t>
  </si>
  <si>
    <t>Andrea Liu</t>
  </si>
  <si>
    <t>Brittany Hamilton</t>
  </si>
  <si>
    <t>Craig Sweeney</t>
  </si>
  <si>
    <t>Elizabeth Bowman</t>
  </si>
  <si>
    <t>Eduardo Lewis</t>
  </si>
  <si>
    <t>Sarah Luna</t>
  </si>
  <si>
    <t>Michael Cook</t>
  </si>
  <si>
    <t>Andrew Campbell</t>
  </si>
  <si>
    <t>Collin Wright</t>
  </si>
  <si>
    <t>Ashley Gross</t>
  </si>
  <si>
    <t>Cathy Williams</t>
  </si>
  <si>
    <t>Carrie Davis</t>
  </si>
  <si>
    <t>Rebekah Bass</t>
  </si>
  <si>
    <t>Leah Barrett</t>
  </si>
  <si>
    <t>Melissa Sosa</t>
  </si>
  <si>
    <t>Ryan Ramirez</t>
  </si>
  <si>
    <t>Kristen Thompson</t>
  </si>
  <si>
    <t>Veronica Allison</t>
  </si>
  <si>
    <t>Sara Bradley</t>
  </si>
  <si>
    <t>Christine Gutierrez</t>
  </si>
  <si>
    <t>Julie Jackson</t>
  </si>
  <si>
    <t>Daniel Duncan</t>
  </si>
  <si>
    <t>Lauren Wood</t>
  </si>
  <si>
    <t>Jay Wright</t>
  </si>
  <si>
    <t>William Reyes DVM</t>
  </si>
  <si>
    <t>Thomas Mason</t>
  </si>
  <si>
    <t>Heidi Morales</t>
  </si>
  <si>
    <t>Kevin Hicks</t>
  </si>
  <si>
    <t>Amber Stewart</t>
  </si>
  <si>
    <t>Philip Rocha</t>
  </si>
  <si>
    <t>Robert Dean</t>
  </si>
  <si>
    <t>William Wilson</t>
  </si>
  <si>
    <t>Gerald Miller</t>
  </si>
  <si>
    <t>Vanessa Harris</t>
  </si>
  <si>
    <t>Jacqueline Walsh</t>
  </si>
  <si>
    <t>Wayne Hall</t>
  </si>
  <si>
    <t>Stephen Wu</t>
  </si>
  <si>
    <t>Kristina Anderson</t>
  </si>
  <si>
    <t>Wendy Morgan</t>
  </si>
  <si>
    <t>Christopher Sullivan</t>
  </si>
  <si>
    <t>Sean James</t>
  </si>
  <si>
    <t>Lynn Ryan</t>
  </si>
  <si>
    <t>Jennifer Stevens</t>
  </si>
  <si>
    <t>Christina Hughes</t>
  </si>
  <si>
    <t>Jamie Gonzalez</t>
  </si>
  <si>
    <t>Gregory Murphy</t>
  </si>
  <si>
    <t>Terry Mendoza</t>
  </si>
  <si>
    <t>Suzanne Maxwell</t>
  </si>
  <si>
    <t>Kari Rojas</t>
  </si>
  <si>
    <t>Kristen Caldwell MD</t>
  </si>
  <si>
    <t>Jesse Mueller</t>
  </si>
  <si>
    <t>Darrell Jennings</t>
  </si>
  <si>
    <t>Bobby Butler</t>
  </si>
  <si>
    <t>Barbara Burgess</t>
  </si>
  <si>
    <t>Debbie Owens</t>
  </si>
  <si>
    <t>Dennis Johnson</t>
  </si>
  <si>
    <t>Matthew Powell</t>
  </si>
  <si>
    <t>Sophia Underwood</t>
  </si>
  <si>
    <t>Kevin Sullivan</t>
  </si>
  <si>
    <t>Jessica White</t>
  </si>
  <si>
    <t>Kristy Cooper</t>
  </si>
  <si>
    <t>Pamela Pugh</t>
  </si>
  <si>
    <t>Cody Lopez</t>
  </si>
  <si>
    <t>Katherine Wiley</t>
  </si>
  <si>
    <t>Adam Bailey</t>
  </si>
  <si>
    <t>Jeffrey Singh</t>
  </si>
  <si>
    <t>Brooke Moore</t>
  </si>
  <si>
    <t>Jessica Williamson</t>
  </si>
  <si>
    <t>Wyatt Donovan</t>
  </si>
  <si>
    <t>Sean Brown</t>
  </si>
  <si>
    <t>Krista Conrad</t>
  </si>
  <si>
    <t>Timothy Small</t>
  </si>
  <si>
    <t>Tyler Golden</t>
  </si>
  <si>
    <t>Stephanie Rodriguez</t>
  </si>
  <si>
    <t>Alicia Romero</t>
  </si>
  <si>
    <t>Jasmine Kelley</t>
  </si>
  <si>
    <t>Kristen Lee</t>
  </si>
  <si>
    <t>Cassidy Diaz</t>
  </si>
  <si>
    <t>Derrick Ramirez</t>
  </si>
  <si>
    <t>Yvette Chen</t>
  </si>
  <si>
    <t>Ralph Maldonado</t>
  </si>
  <si>
    <t>John Hicks</t>
  </si>
  <si>
    <t>Helen Ramirez</t>
  </si>
  <si>
    <t>John Wagner</t>
  </si>
  <si>
    <t>David Lee</t>
  </si>
  <si>
    <t>Meghan Quinn</t>
  </si>
  <si>
    <t>Danielle Jenkins</t>
  </si>
  <si>
    <t>Scott Woods</t>
  </si>
  <si>
    <t>Matthew Lowe</t>
  </si>
  <si>
    <t>Donald Williams</t>
  </si>
  <si>
    <t>David Terry</t>
  </si>
  <si>
    <t>Michael Salazar</t>
  </si>
  <si>
    <t>Michael Keller</t>
  </si>
  <si>
    <t>Matthew Johnson</t>
  </si>
  <si>
    <t>Angelica Guzman</t>
  </si>
  <si>
    <t>Patrick Morgan</t>
  </si>
  <si>
    <t>Daniel Collins</t>
  </si>
  <si>
    <t>Mrs. Diane Hardy</t>
  </si>
  <si>
    <t>Jerry Carter</t>
  </si>
  <si>
    <t>Julie Anderson</t>
  </si>
  <si>
    <t>Madeline Edwards</t>
  </si>
  <si>
    <t>Samuel Gregory</t>
  </si>
  <si>
    <t>Alison Johnson</t>
  </si>
  <si>
    <t>Allen Brown</t>
  </si>
  <si>
    <t>Ian Gutierrez</t>
  </si>
  <si>
    <t>Dennis Shields</t>
  </si>
  <si>
    <t>Eric Davis</t>
  </si>
  <si>
    <t>Gloria Brown</t>
  </si>
  <si>
    <t>Alexandra Lewis</t>
  </si>
  <si>
    <t>Debra Valdez</t>
  </si>
  <si>
    <t>George Strickland</t>
  </si>
  <si>
    <t>Dr. Travis Wilson</t>
  </si>
  <si>
    <t>Kevin Chang</t>
  </si>
  <si>
    <t>Vickie Suarez</t>
  </si>
  <si>
    <t>Chris Frederick</t>
  </si>
  <si>
    <t>John Foster</t>
  </si>
  <si>
    <t>Brian Fox</t>
  </si>
  <si>
    <t>Amanda Campbell</t>
  </si>
  <si>
    <t>Cynthia Robinson</t>
  </si>
  <si>
    <t>Kari Perez</t>
  </si>
  <si>
    <t>William Myers</t>
  </si>
  <si>
    <t>Jennifer Thompson</t>
  </si>
  <si>
    <t>Barry Morales</t>
  </si>
  <si>
    <t>Sabrina Mcclure</t>
  </si>
  <si>
    <t>Riley Norman</t>
  </si>
  <si>
    <t>Timothy Fisher</t>
  </si>
  <si>
    <t>Rachael Bond</t>
  </si>
  <si>
    <t>Judy Roman</t>
  </si>
  <si>
    <t>Justin Russell</t>
  </si>
  <si>
    <t>Sabrina Wolfe</t>
  </si>
  <si>
    <t>Randy Mitchell</t>
  </si>
  <si>
    <t>Robert Keller</t>
  </si>
  <si>
    <t>Dr. Nina Simmons</t>
  </si>
  <si>
    <t>Brian Anderson</t>
  </si>
  <si>
    <t>Jeremy Bishop</t>
  </si>
  <si>
    <t>Carla Prince</t>
  </si>
  <si>
    <t>Emily Molina</t>
  </si>
  <si>
    <t>William Nelson</t>
  </si>
  <si>
    <t>Caitlin Guzman</t>
  </si>
  <si>
    <t>Zachary Johnson</t>
  </si>
  <si>
    <t>Kim Hawkins</t>
  </si>
  <si>
    <t>Cody Riddle</t>
  </si>
  <si>
    <t>Bethany Foley</t>
  </si>
  <si>
    <t>William Hernandez</t>
  </si>
  <si>
    <t>Alex Woods</t>
  </si>
  <si>
    <t>Jordan Gill</t>
  </si>
  <si>
    <t>Andrea Castillo</t>
  </si>
  <si>
    <t>Jennifer Mcknight</t>
  </si>
  <si>
    <t>Jared Lawrence</t>
  </si>
  <si>
    <t>Robert Romero</t>
  </si>
  <si>
    <t>Tina Good MD</t>
  </si>
  <si>
    <t>Julie Phillips</t>
  </si>
  <si>
    <t>Allison Santos</t>
  </si>
  <si>
    <t>Michele Hernandez</t>
  </si>
  <si>
    <t>Anna Jones</t>
  </si>
  <si>
    <t>Jennifer Howard</t>
  </si>
  <si>
    <t>Jesus Reed</t>
  </si>
  <si>
    <t>Ann Moore</t>
  </si>
  <si>
    <t>Michael Harvey</t>
  </si>
  <si>
    <t>Christopher Dunn</t>
  </si>
  <si>
    <t>Ashley Davis</t>
  </si>
  <si>
    <t>David Lopez</t>
  </si>
  <si>
    <t>Shirley Scott</t>
  </si>
  <si>
    <t>James Young</t>
  </si>
  <si>
    <t>Kevin Thompson</t>
  </si>
  <si>
    <t>Melissa Carson</t>
  </si>
  <si>
    <t>Victoria Torres</t>
  </si>
  <si>
    <t>Mrs. Cathy Harper</t>
  </si>
  <si>
    <t>Stephen Trujillo</t>
  </si>
  <si>
    <t>Matthew Orozco</t>
  </si>
  <si>
    <t>Michael Ali</t>
  </si>
  <si>
    <t>James Stone</t>
  </si>
  <si>
    <t>Katherine Moreno</t>
  </si>
  <si>
    <t>Terri Dunn</t>
  </si>
  <si>
    <t>Mes</t>
  </si>
  <si>
    <t>Día</t>
  </si>
  <si>
    <t>Promedio general</t>
  </si>
  <si>
    <t>Total abril</t>
  </si>
  <si>
    <t>Total agosto</t>
  </si>
  <si>
    <t>Total diciembre</t>
  </si>
  <si>
    <t>Total enero</t>
  </si>
  <si>
    <t>Total febrero</t>
  </si>
  <si>
    <t>Total julio</t>
  </si>
  <si>
    <t>Total junio</t>
  </si>
  <si>
    <t>Total marzo</t>
  </si>
  <si>
    <t>Total mayo</t>
  </si>
  <si>
    <t>Total noviembre</t>
  </si>
  <si>
    <t>Total octubre</t>
  </si>
  <si>
    <t>Total septiembre</t>
  </si>
  <si>
    <t>Total general</t>
  </si>
  <si>
    <t>Promedio Biología</t>
  </si>
  <si>
    <t>Promedio Física</t>
  </si>
  <si>
    <t>Promedio Historia</t>
  </si>
  <si>
    <t>Promedio Matemáticas</t>
  </si>
  <si>
    <t>Promedio Química</t>
  </si>
  <si>
    <t>Promedio Dr. López</t>
  </si>
  <si>
    <t>Promedio Dr. Martínez</t>
  </si>
  <si>
    <t>Promedio Dr. Sánchez</t>
  </si>
  <si>
    <t>Promedio Prof. García</t>
  </si>
  <si>
    <t>Promedio Prof. Ruiz</t>
  </si>
  <si>
    <t>Colegio Nuestra Señora Del Rosario
Listado De Estudiantes Con Sus Notas
Presentado En Junio De 2026</t>
  </si>
  <si>
    <t>Ciudad</t>
  </si>
  <si>
    <t>Fecha</t>
  </si>
  <si>
    <t>Edad</t>
  </si>
  <si>
    <t>Codigo</t>
  </si>
  <si>
    <t>Total</t>
  </si>
  <si>
    <t>Promedio</t>
  </si>
  <si>
    <t>Máximo</t>
  </si>
  <si>
    <t>Mínimo</t>
  </si>
  <si>
    <t>No Elementos</t>
  </si>
  <si>
    <t>Notas</t>
  </si>
  <si>
    <t>Asistencia</t>
  </si>
  <si>
    <t>&lt;60</t>
  </si>
  <si>
    <t>Rojos</t>
  </si>
  <si>
    <t>60-80</t>
  </si>
  <si>
    <t>Amarillos</t>
  </si>
  <si>
    <t>&gt;80</t>
  </si>
  <si>
    <t>Verdes</t>
  </si>
  <si>
    <t>Cali</t>
  </si>
  <si>
    <t>Bucaramanga</t>
  </si>
  <si>
    <t>Pasto</t>
  </si>
  <si>
    <t>CET02505</t>
  </si>
  <si>
    <t>CET5865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</si>
</sst>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49" fontId="0" fillId="33" borderId="0" xfId="0" applyNumberFormat="1" applyFill="1" applyAlignment="1">
      <alignment horizontal="center"/>
    </xf>
    <xf numFmtId="49" fontId="0" fillId="0" borderId="0" xfId="0" applyNumberFormat="1"/>
    <xf numFmtId="14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33" borderId="0" xfId="0" applyNumberFormat="1" applyFill="1" applyAlignment="1">
      <alignment horizontal="center"/>
    </xf>
    <xf numFmtId="0" fontId="16" fillId="0" borderId="0" xfId="0" applyFont="1"/>
    <xf numFmtId="164" fontId="0" fillId="0" borderId="0" xfId="0" applyNumberFormat="1" applyAlignment="1">
      <alignment horizontal="center"/>
    </xf>
    <xf numFmtId="49" fontId="16" fillId="0" borderId="0" xfId="0" applyNumberFormat="1" applyFont="1"/>
    <xf numFmtId="0" fontId="0" fillId="0" borderId="10" xfId="0" applyBorder="1" applyAlignment="1">
      <alignment horizontal="center"/>
    </xf>
    <xf numFmtId="0" fontId="0" fillId="0" borderId="10" xfId="0" applyBorder="1"/>
    <xf numFmtId="2" fontId="0" fillId="0" borderId="10" xfId="0" applyNumberFormat="1" applyBorder="1" applyAlignment="1">
      <alignment horizontal="center"/>
    </xf>
    <xf numFmtId="14" fontId="0" fillId="0" borderId="10" xfId="0" applyNumberFormat="1" applyBorder="1"/>
    <xf numFmtId="49" fontId="0" fillId="0" borderId="10" xfId="0" applyNumberFormat="1" applyBorder="1"/>
    <xf numFmtId="1" fontId="0" fillId="0" borderId="10" xfId="0" applyNumberFormat="1" applyBorder="1" applyAlignment="1">
      <alignment horizontal="center"/>
    </xf>
    <xf numFmtId="0" fontId="13" fillId="34" borderId="10" xfId="0" applyFont="1" applyFill="1" applyBorder="1" applyAlignment="1">
      <alignment horizontal="center"/>
    </xf>
    <xf numFmtId="2" fontId="13" fillId="34" borderId="10" xfId="0" applyNumberFormat="1" applyFont="1" applyFill="1" applyBorder="1" applyAlignment="1">
      <alignment horizontal="center"/>
    </xf>
    <xf numFmtId="14" fontId="13" fillId="34" borderId="10" xfId="0" applyNumberFormat="1" applyFont="1" applyFill="1" applyBorder="1" applyAlignment="1">
      <alignment horizontal="center"/>
    </xf>
    <xf numFmtId="49" fontId="13" fillId="34" borderId="10" xfId="0" applyNumberFormat="1" applyFont="1" applyFill="1" applyBorder="1" applyAlignment="1">
      <alignment horizontal="center"/>
    </xf>
    <xf numFmtId="1" fontId="13" fillId="34" borderId="10" xfId="0" applyNumberFormat="1" applyFont="1" applyFill="1" applyBorder="1" applyAlignment="1">
      <alignment horizontal="center"/>
    </xf>
    <xf numFmtId="0" fontId="13" fillId="34" borderId="10" xfId="0" applyFont="1" applyFill="1" applyBorder="1"/>
    <xf numFmtId="2" fontId="0" fillId="0" borderId="10" xfId="0" applyNumberFormat="1" applyBorder="1"/>
    <xf numFmtId="1" fontId="0" fillId="0" borderId="10" xfId="0" applyNumberFormat="1" applyBorder="1"/>
    <xf numFmtId="0" fontId="16" fillId="35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C00000"/>
      </font>
      <fill>
        <patternFill>
          <bgColor theme="5" tint="0.59996337778862885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theme="6" tint="-0.499984740745262"/>
      </font>
      <fill>
        <patternFill>
          <bgColor rgb="FFFFFF99"/>
        </patternFill>
      </fill>
      <border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font>
        <color theme="6" tint="-0.499984740745262"/>
      </font>
      <fill>
        <patternFill>
          <bgColor theme="9" tint="0.79998168889431442"/>
        </patternFill>
      </fill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FFFFCC"/>
      <color rgb="FFFF5050"/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Intentos x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CantIntentosMes!$I$21:$I$262</c:f>
              <c:strCache>
                <c:ptCount val="12"/>
                <c:pt idx="0">
                  <c:v>Total abril</c:v>
                </c:pt>
                <c:pt idx="1">
                  <c:v>Total agosto</c:v>
                </c:pt>
                <c:pt idx="2">
                  <c:v>Total diciembre</c:v>
                </c:pt>
                <c:pt idx="3">
                  <c:v>Total enero</c:v>
                </c:pt>
                <c:pt idx="4">
                  <c:v>Total febrero</c:v>
                </c:pt>
                <c:pt idx="5">
                  <c:v>Total julio</c:v>
                </c:pt>
                <c:pt idx="6">
                  <c:v>Total junio</c:v>
                </c:pt>
                <c:pt idx="7">
                  <c:v>Total marzo</c:v>
                </c:pt>
                <c:pt idx="8">
                  <c:v>Total mayo</c:v>
                </c:pt>
                <c:pt idx="9">
                  <c:v>Total noviembre</c:v>
                </c:pt>
                <c:pt idx="10">
                  <c:v>Total octubre</c:v>
                </c:pt>
                <c:pt idx="11">
                  <c:v>Total septiembre</c:v>
                </c:pt>
              </c:strCache>
            </c:strRef>
          </c:cat>
          <c:val>
            <c:numRef>
              <c:f>CantIntentosMes!$H$21:$H$262</c:f>
              <c:numCache>
                <c:formatCode>0</c:formatCode>
                <c:ptCount val="12"/>
                <c:pt idx="0">
                  <c:v>41</c:v>
                </c:pt>
                <c:pt idx="1">
                  <c:v>32</c:v>
                </c:pt>
                <c:pt idx="2">
                  <c:v>35</c:v>
                </c:pt>
                <c:pt idx="3">
                  <c:v>54</c:v>
                </c:pt>
                <c:pt idx="4">
                  <c:v>36</c:v>
                </c:pt>
                <c:pt idx="5">
                  <c:v>54</c:v>
                </c:pt>
                <c:pt idx="6">
                  <c:v>31</c:v>
                </c:pt>
                <c:pt idx="7">
                  <c:v>32</c:v>
                </c:pt>
                <c:pt idx="8">
                  <c:v>45</c:v>
                </c:pt>
                <c:pt idx="9">
                  <c:v>40</c:v>
                </c:pt>
                <c:pt idx="10">
                  <c:v>52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0-4A84-85D2-30E84193A6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69788048"/>
        <c:axId val="869790928"/>
        <c:axId val="0"/>
      </c:bar3DChart>
      <c:catAx>
        <c:axId val="86978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9790928"/>
        <c:crosses val="autoZero"/>
        <c:auto val="1"/>
        <c:lblAlgn val="ctr"/>
        <c:lblOffset val="100"/>
        <c:noMultiLvlLbl val="0"/>
      </c:catAx>
      <c:valAx>
        <c:axId val="8697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97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Intentos x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Uno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DD9-4E76-A1D4-6B52FF15DC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DD9-4E76-A1D4-6B52FF15DC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DD9-4E76-A1D4-6B52FF15DC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DDD9-4E76-A1D4-6B52FF15DC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DDD9-4E76-A1D4-6B52FF15DC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DDD9-4E76-A1D4-6B52FF15DC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DDD9-4E76-A1D4-6B52FF15DC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DDD9-4E76-A1D4-6B52FF15DC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DDD9-4E76-A1D4-6B52FF15DC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DDD9-4E76-A1D4-6B52FF15DC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DDD9-4E76-A1D4-6B52FF15DC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DDD9-4E76-A1D4-6B52FF15DC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CantIntentosMes!$I$21:$I$262</c:f>
              <c:strCache>
                <c:ptCount val="12"/>
                <c:pt idx="0">
                  <c:v>Total abril</c:v>
                </c:pt>
                <c:pt idx="1">
                  <c:v>Total agosto</c:v>
                </c:pt>
                <c:pt idx="2">
                  <c:v>Total diciembre</c:v>
                </c:pt>
                <c:pt idx="3">
                  <c:v>Total enero</c:v>
                </c:pt>
                <c:pt idx="4">
                  <c:v>Total febrero</c:v>
                </c:pt>
                <c:pt idx="5">
                  <c:v>Total julio</c:v>
                </c:pt>
                <c:pt idx="6">
                  <c:v>Total junio</c:v>
                </c:pt>
                <c:pt idx="7">
                  <c:v>Total marzo</c:v>
                </c:pt>
                <c:pt idx="8">
                  <c:v>Total mayo</c:v>
                </c:pt>
                <c:pt idx="9">
                  <c:v>Total noviembre</c:v>
                </c:pt>
                <c:pt idx="10">
                  <c:v>Total octubre</c:v>
                </c:pt>
                <c:pt idx="11">
                  <c:v>Total septiembre</c:v>
                </c:pt>
              </c:strCache>
            </c:strRef>
          </c:cat>
          <c:val>
            <c:numRef>
              <c:f>CantIntentosMes!$H$21:$H$262</c:f>
              <c:numCache>
                <c:formatCode>0</c:formatCode>
                <c:ptCount val="12"/>
                <c:pt idx="0">
                  <c:v>41</c:v>
                </c:pt>
                <c:pt idx="1">
                  <c:v>32</c:v>
                </c:pt>
                <c:pt idx="2">
                  <c:v>35</c:v>
                </c:pt>
                <c:pt idx="3">
                  <c:v>54</c:v>
                </c:pt>
                <c:pt idx="4">
                  <c:v>36</c:v>
                </c:pt>
                <c:pt idx="5">
                  <c:v>54</c:v>
                </c:pt>
                <c:pt idx="6">
                  <c:v>31</c:v>
                </c:pt>
                <c:pt idx="7">
                  <c:v>32</c:v>
                </c:pt>
                <c:pt idx="8">
                  <c:v>45</c:v>
                </c:pt>
                <c:pt idx="9">
                  <c:v>40</c:v>
                </c:pt>
                <c:pt idx="10">
                  <c:v>52</c:v>
                </c:pt>
                <c:pt idx="1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C-4076-85E4-968FEE310B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Intentos x Mes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CantIntentosMes!$I$21:$I$262</c:f>
              <c:strCache>
                <c:ptCount val="12"/>
                <c:pt idx="0">
                  <c:v>Total abril</c:v>
                </c:pt>
                <c:pt idx="1">
                  <c:v>Total agosto</c:v>
                </c:pt>
                <c:pt idx="2">
                  <c:v>Total diciembre</c:v>
                </c:pt>
                <c:pt idx="3">
                  <c:v>Total enero</c:v>
                </c:pt>
                <c:pt idx="4">
                  <c:v>Total febrero</c:v>
                </c:pt>
                <c:pt idx="5">
                  <c:v>Total julio</c:v>
                </c:pt>
                <c:pt idx="6">
                  <c:v>Total junio</c:v>
                </c:pt>
                <c:pt idx="7">
                  <c:v>Total marzo</c:v>
                </c:pt>
                <c:pt idx="8">
                  <c:v>Total mayo</c:v>
                </c:pt>
                <c:pt idx="9">
                  <c:v>Total noviembre</c:v>
                </c:pt>
                <c:pt idx="10">
                  <c:v>Total octubre</c:v>
                </c:pt>
                <c:pt idx="11">
                  <c:v>Total septiembre</c:v>
                </c:pt>
              </c:strCache>
            </c:strRef>
          </c:cat>
          <c:val>
            <c:numRef>
              <c:f>CantIntentosMes!$H$21:$H$262</c:f>
              <c:numCache>
                <c:formatCode>0</c:formatCode>
                <c:ptCount val="12"/>
                <c:pt idx="0">
                  <c:v>41</c:v>
                </c:pt>
                <c:pt idx="1">
                  <c:v>32</c:v>
                </c:pt>
                <c:pt idx="2">
                  <c:v>35</c:v>
                </c:pt>
                <c:pt idx="3">
                  <c:v>54</c:v>
                </c:pt>
                <c:pt idx="4">
                  <c:v>36</c:v>
                </c:pt>
                <c:pt idx="5">
                  <c:v>54</c:v>
                </c:pt>
                <c:pt idx="6">
                  <c:v>31</c:v>
                </c:pt>
                <c:pt idx="7">
                  <c:v>32</c:v>
                </c:pt>
                <c:pt idx="8">
                  <c:v>45</c:v>
                </c:pt>
                <c:pt idx="9">
                  <c:v>40</c:v>
                </c:pt>
                <c:pt idx="10">
                  <c:v>52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D-43C1-BB6E-2B8502BDB7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5107536"/>
        <c:axId val="1165108976"/>
      </c:lineChart>
      <c:catAx>
        <c:axId val="116510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5108976"/>
        <c:crosses val="autoZero"/>
        <c:auto val="1"/>
        <c:lblAlgn val="ctr"/>
        <c:lblOffset val="100"/>
        <c:noMultiLvlLbl val="0"/>
      </c:catAx>
      <c:valAx>
        <c:axId val="11651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510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PROMEDIO ASISTENCIAXPROFESOR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PromAsistenciaProfesor!$G$1</c:f>
              <c:strCache>
                <c:ptCount val="1"/>
                <c:pt idx="0">
                  <c:v>% Asistencia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PromAsistenciaProfesor!$F$2:$F$255</c:f>
              <c:strCache>
                <c:ptCount val="5"/>
                <c:pt idx="0">
                  <c:v>Promedio Dr. López</c:v>
                </c:pt>
                <c:pt idx="1">
                  <c:v>Promedio Dr. Martínez</c:v>
                </c:pt>
                <c:pt idx="2">
                  <c:v>Promedio Dr. Sánchez</c:v>
                </c:pt>
                <c:pt idx="3">
                  <c:v>Promedio Prof. García</c:v>
                </c:pt>
                <c:pt idx="4">
                  <c:v>Promedio Prof. Ruiz</c:v>
                </c:pt>
              </c:strCache>
            </c:strRef>
          </c:cat>
          <c:val>
            <c:numRef>
              <c:f>PromAsistenciaProfesor!$G$2:$G$255</c:f>
              <c:numCache>
                <c:formatCode>0.00</c:formatCode>
                <c:ptCount val="5"/>
                <c:pt idx="0" formatCode="0.000">
                  <c:v>54.333333333333336</c:v>
                </c:pt>
                <c:pt idx="1">
                  <c:v>63.46875</c:v>
                </c:pt>
                <c:pt idx="2">
                  <c:v>62.897058823529413</c:v>
                </c:pt>
                <c:pt idx="3">
                  <c:v>65.348837209302332</c:v>
                </c:pt>
                <c:pt idx="4">
                  <c:v>62.372340425531917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1-44D7-9AF0-3B312B788C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9893247"/>
        <c:axId val="1019894687"/>
        <c:axId val="0"/>
      </c:bar3DChart>
      <c:catAx>
        <c:axId val="10198932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9894687"/>
        <c:crosses val="autoZero"/>
        <c:auto val="1"/>
        <c:lblAlgn val="ctr"/>
        <c:lblOffset val="100"/>
        <c:noMultiLvlLbl val="0"/>
      </c:catAx>
      <c:valAx>
        <c:axId val="10198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989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PROMEDIO ASISTENCIAXPROFESOR</a:t>
            </a:r>
          </a:p>
        </c:rich>
      </c:tx>
      <c:layout>
        <c:manualLayout>
          <c:xMode val="edge"/>
          <c:yMode val="edge"/>
          <c:x val="0.19058333333333333"/>
          <c:y val="0.88888888888888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7171296296296298"/>
          <c:w val="0.93888888888888888"/>
          <c:h val="0.60027668416447943"/>
        </c:manualLayout>
      </c:layout>
      <c:pie3DChart>
        <c:varyColors val="1"/>
        <c:ser>
          <c:idx val="0"/>
          <c:order val="0"/>
          <c:tx>
            <c:strRef>
              <c:f>PromAsistenciaProfesor!$G$1</c:f>
              <c:strCache>
                <c:ptCount val="1"/>
                <c:pt idx="0">
                  <c:v>% Asistencia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BBF-4953-9AB6-5CCD8857BC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BBF-4953-9AB6-5CCD8857BC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BBF-4953-9AB6-5CCD8857BC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BBF-4953-9AB6-5CCD8857BC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BBF-4953-9AB6-5CCD8857BC9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BBF-4953-9AB6-5CCD8857BC9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BBF-4953-9AB6-5CCD8857BC9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BBF-4953-9AB6-5CCD8857BC9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BBF-4953-9AB6-5CCD8857BC9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BBF-4953-9AB6-5CCD8857BC9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PromAsistenciaProfesor!$F$2:$F$255</c:f>
              <c:strCache>
                <c:ptCount val="5"/>
                <c:pt idx="0">
                  <c:v>Promedio Dr. López</c:v>
                </c:pt>
                <c:pt idx="1">
                  <c:v>Promedio Dr. Martínez</c:v>
                </c:pt>
                <c:pt idx="2">
                  <c:v>Promedio Dr. Sánchez</c:v>
                </c:pt>
                <c:pt idx="3">
                  <c:v>Promedio Prof. García</c:v>
                </c:pt>
                <c:pt idx="4">
                  <c:v>Promedio Prof. Ruiz</c:v>
                </c:pt>
              </c:strCache>
            </c:strRef>
          </c:cat>
          <c:val>
            <c:numRef>
              <c:f>PromAsistenciaProfesor!$G$2:$G$255</c:f>
              <c:numCache>
                <c:formatCode>0.00</c:formatCode>
                <c:ptCount val="5"/>
                <c:pt idx="0" formatCode="0.000">
                  <c:v>54.333333333333336</c:v>
                </c:pt>
                <c:pt idx="1">
                  <c:v>63.46875</c:v>
                </c:pt>
                <c:pt idx="2">
                  <c:v>62.897058823529413</c:v>
                </c:pt>
                <c:pt idx="3">
                  <c:v>65.348837209302332</c:v>
                </c:pt>
                <c:pt idx="4">
                  <c:v>62.372340425531917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F-4953-9AB6-5CCD8857BC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PROMEDIO ASISTENCIAXPROFESOR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PromAsistenciaProfesor!$G$1</c:f>
              <c:strCache>
                <c:ptCount val="1"/>
                <c:pt idx="0">
                  <c:v>% Asistencia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PromAsistenciaProfesor!$F$2:$F$255</c:f>
              <c:strCache>
                <c:ptCount val="5"/>
                <c:pt idx="0">
                  <c:v>Promedio Dr. López</c:v>
                </c:pt>
                <c:pt idx="1">
                  <c:v>Promedio Dr. Martínez</c:v>
                </c:pt>
                <c:pt idx="2">
                  <c:v>Promedio Dr. Sánchez</c:v>
                </c:pt>
                <c:pt idx="3">
                  <c:v>Promedio Prof. García</c:v>
                </c:pt>
                <c:pt idx="4">
                  <c:v>Promedio Prof. Ruiz</c:v>
                </c:pt>
              </c:strCache>
            </c:strRef>
          </c:cat>
          <c:val>
            <c:numRef>
              <c:f>PromAsistenciaProfesor!$G$2:$G$255</c:f>
              <c:numCache>
                <c:formatCode>0.00</c:formatCode>
                <c:ptCount val="5"/>
                <c:pt idx="0" formatCode="0.000">
                  <c:v>54.333333333333336</c:v>
                </c:pt>
                <c:pt idx="1">
                  <c:v>63.46875</c:v>
                </c:pt>
                <c:pt idx="2">
                  <c:v>62.897058823529413</c:v>
                </c:pt>
                <c:pt idx="3">
                  <c:v>65.348837209302332</c:v>
                </c:pt>
                <c:pt idx="4">
                  <c:v>62.372340425531917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0-405F-B4BD-DEA79E13C6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2278831"/>
        <c:axId val="934220111"/>
      </c:lineChart>
      <c:catAx>
        <c:axId val="8722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4220111"/>
        <c:crosses val="autoZero"/>
        <c:auto val="1"/>
        <c:lblAlgn val="ctr"/>
        <c:lblOffset val="100"/>
        <c:noMultiLvlLbl val="0"/>
      </c:catAx>
      <c:valAx>
        <c:axId val="93422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22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Promedio NotasxMateria</a:t>
            </a:r>
          </a:p>
        </c:rich>
      </c:tx>
      <c:layout>
        <c:manualLayout>
          <c:xMode val="edge"/>
          <c:yMode val="edge"/>
          <c:x val="0.2347707786526684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PromNotasMateria!$D$1</c:f>
              <c:strCache>
                <c:ptCount val="1"/>
                <c:pt idx="0">
                  <c:v>Nota Final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PromNotasMateria!$C$2:$C$256</c:f>
              <c:strCache>
                <c:ptCount val="6"/>
                <c:pt idx="0">
                  <c:v>Promedio Biología</c:v>
                </c:pt>
                <c:pt idx="1">
                  <c:v>Promedio Física</c:v>
                </c:pt>
                <c:pt idx="2">
                  <c:v>Promedio Historia</c:v>
                </c:pt>
                <c:pt idx="3">
                  <c:v>Promedio Matemáticas</c:v>
                </c:pt>
                <c:pt idx="4">
                  <c:v>Promedio Química</c:v>
                </c:pt>
                <c:pt idx="5">
                  <c:v>Promedio general</c:v>
                </c:pt>
              </c:strCache>
            </c:strRef>
          </c:cat>
          <c:val>
            <c:numRef>
              <c:f>PromNotasMateria!$D$2:$D$256</c:f>
              <c:numCache>
                <c:formatCode>0.00</c:formatCode>
                <c:ptCount val="6"/>
                <c:pt idx="0">
                  <c:v>73.937777777777768</c:v>
                </c:pt>
                <c:pt idx="1">
                  <c:v>77.865454545454554</c:v>
                </c:pt>
                <c:pt idx="2">
                  <c:v>73.757777777777775</c:v>
                </c:pt>
                <c:pt idx="3">
                  <c:v>77.619148936170234</c:v>
                </c:pt>
                <c:pt idx="4">
                  <c:v>76.131578947368439</c:v>
                </c:pt>
                <c:pt idx="5">
                  <c:v>75.96987951807229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4-40D4-AEE7-C2C3AC2119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1505455"/>
        <c:axId val="561501615"/>
      </c:barChart>
      <c:catAx>
        <c:axId val="56150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Categorias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1501615"/>
        <c:crosses val="autoZero"/>
        <c:auto val="1"/>
        <c:lblAlgn val="ctr"/>
        <c:lblOffset val="100"/>
        <c:noMultiLvlLbl val="0"/>
      </c:catAx>
      <c:valAx>
        <c:axId val="561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Promedio Notas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150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Promedio NotasxMateria</a:t>
            </a:r>
          </a:p>
        </c:rich>
      </c:tx>
      <c:layout>
        <c:manualLayout>
          <c:xMode val="edge"/>
          <c:yMode val="edge"/>
          <c:x val="0.261256780402449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F7B-4BF7-9FDC-5AEAEC9FC4A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F7B-4BF7-9FDC-5AEAEC9FC4A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F7B-4BF7-9FDC-5AEAEC9FC4A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AF7B-4BF7-9FDC-5AEAEC9FC4A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F7B-4BF7-9FDC-5AEAEC9FC4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PromNotasMateria!$C$47:$C$255</c:f>
              <c:strCache>
                <c:ptCount val="5"/>
                <c:pt idx="0">
                  <c:v>Promedio Biología</c:v>
                </c:pt>
                <c:pt idx="1">
                  <c:v>Promedio Física</c:v>
                </c:pt>
                <c:pt idx="2">
                  <c:v>Promedio Historia</c:v>
                </c:pt>
                <c:pt idx="3">
                  <c:v>Promedio Matemáticas</c:v>
                </c:pt>
                <c:pt idx="4">
                  <c:v>Promedio Química</c:v>
                </c:pt>
              </c:strCache>
            </c:strRef>
          </c:cat>
          <c:val>
            <c:numRef>
              <c:f>PromNotasMateria!$D$47:$D$255</c:f>
              <c:numCache>
                <c:formatCode>0.00</c:formatCode>
                <c:ptCount val="5"/>
                <c:pt idx="0">
                  <c:v>73.937777777777768</c:v>
                </c:pt>
                <c:pt idx="1">
                  <c:v>77.865454545454554</c:v>
                </c:pt>
                <c:pt idx="2">
                  <c:v>73.757777777777775</c:v>
                </c:pt>
                <c:pt idx="3">
                  <c:v>77.619148936170234</c:v>
                </c:pt>
                <c:pt idx="4">
                  <c:v>76.131578947368439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B-4BF7-9FDC-5AEAEC9FC4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Promedio NotasxMateria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PromNotasMateria!$D$1</c:f>
              <c:strCache>
                <c:ptCount val="1"/>
                <c:pt idx="0">
                  <c:v>Nota Final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PromNotasMateria!$C$2:$C$255</c:f>
              <c:strCache>
                <c:ptCount val="5"/>
                <c:pt idx="0">
                  <c:v>Promedio Biología</c:v>
                </c:pt>
                <c:pt idx="1">
                  <c:v>Promedio Física</c:v>
                </c:pt>
                <c:pt idx="2">
                  <c:v>Promedio Historia</c:v>
                </c:pt>
                <c:pt idx="3">
                  <c:v>Promedio Matemáticas</c:v>
                </c:pt>
                <c:pt idx="4">
                  <c:v>Promedio Química</c:v>
                </c:pt>
              </c:strCache>
            </c:strRef>
          </c:cat>
          <c:val>
            <c:numRef>
              <c:f>PromNotasMateria!$D$2:$D$255</c:f>
              <c:numCache>
                <c:formatCode>0.00</c:formatCode>
                <c:ptCount val="5"/>
                <c:pt idx="0">
                  <c:v>73.937777777777768</c:v>
                </c:pt>
                <c:pt idx="1">
                  <c:v>77.865454545454554</c:v>
                </c:pt>
                <c:pt idx="2">
                  <c:v>73.757777777777775</c:v>
                </c:pt>
                <c:pt idx="3">
                  <c:v>77.619148936170234</c:v>
                </c:pt>
                <c:pt idx="4">
                  <c:v>76.131578947368439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2-4451-8FF8-E9CF6D59FE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12857039"/>
        <c:axId val="813452031"/>
        <c:axId val="965911951"/>
      </c:line3DChart>
      <c:catAx>
        <c:axId val="81285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Categorías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3452031"/>
        <c:crosses val="autoZero"/>
        <c:auto val="1"/>
        <c:lblAlgn val="ctr"/>
        <c:lblOffset val="100"/>
        <c:noMultiLvlLbl val="0"/>
      </c:catAx>
      <c:valAx>
        <c:axId val="8134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2857039"/>
        <c:crosses val="autoZero"/>
        <c:crossBetween val="between"/>
      </c:valAx>
      <c:serAx>
        <c:axId val="96591195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Promedio</a:t>
                </a:r>
                <a:r>
                  <a:rPr lang="es-CO" baseline="0"/>
                  <a:t> Notas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345203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248497</xdr:colOff>
      <xdr:row>39</xdr:row>
      <xdr:rowOff>50801</xdr:rowOff>
    </xdr:from>
    <xdr:to>
      <xdr:col>4</xdr:col>
      <xdr:colOff>128694</xdr:colOff>
      <xdr:row>266</xdr:row>
      <xdr:rowOff>50801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3B5996-BB42-93B0-2B7C-66C8EA4EF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226907</xdr:colOff>
      <xdr:row>267</xdr:row>
      <xdr:rowOff>82127</xdr:rowOff>
    </xdr:from>
    <xdr:to>
      <xdr:col>4</xdr:col>
      <xdr:colOff>108796</xdr:colOff>
      <xdr:row>282</xdr:row>
      <xdr:rowOff>82127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38CF1C-9EE3-5780-1BC4-84A81AED1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1158875</xdr:colOff>
      <xdr:row>266</xdr:row>
      <xdr:rowOff>178858</xdr:rowOff>
    </xdr:from>
    <xdr:to>
      <xdr:col>8</xdr:col>
      <xdr:colOff>1053042</xdr:colOff>
      <xdr:row>282</xdr:row>
      <xdr:rowOff>43391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BF877D6-590C-4E57-487E-CD896BFC9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1082040</xdr:colOff>
      <xdr:row>257</xdr:row>
      <xdr:rowOff>171450</xdr:rowOff>
    </xdr:from>
    <xdr:to>
      <xdr:col>4</xdr:col>
      <xdr:colOff>967740</xdr:colOff>
      <xdr:row>272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52C893-3722-C4D3-6871-1428737FF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1066800</xdr:colOff>
      <xdr:row>257</xdr:row>
      <xdr:rowOff>148590</xdr:rowOff>
    </xdr:from>
    <xdr:to>
      <xdr:col>9</xdr:col>
      <xdr:colOff>167640</xdr:colOff>
      <xdr:row>272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64863E-7399-40AF-AF23-3C52F6E27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411480</xdr:colOff>
      <xdr:row>257</xdr:row>
      <xdr:rowOff>64770</xdr:rowOff>
    </xdr:from>
    <xdr:to>
      <xdr:col>15</xdr:col>
      <xdr:colOff>274320</xdr:colOff>
      <xdr:row>272</xdr:row>
      <xdr:rowOff>64770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9EC80A5-BEF1-68AE-CFC3-4E7FB2C3A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624840</xdr:colOff>
      <xdr:row>260</xdr:row>
      <xdr:rowOff>80010</xdr:rowOff>
    </xdr:from>
    <xdr:to>
      <xdr:col>7</xdr:col>
      <xdr:colOff>746760</xdr:colOff>
      <xdr:row>275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155589-9875-E1AE-4687-7E6DEDC03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258</xdr:row>
      <xdr:rowOff>156210</xdr:rowOff>
    </xdr:from>
    <xdr:to>
      <xdr:col>3</xdr:col>
      <xdr:colOff>76200</xdr:colOff>
      <xdr:row>273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FF4BE3-BB53-B06F-7F55-5B4E46B64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160020</xdr:colOff>
      <xdr:row>259</xdr:row>
      <xdr:rowOff>148590</xdr:rowOff>
    </xdr:from>
    <xdr:to>
      <xdr:col>14</xdr:col>
      <xdr:colOff>22860</xdr:colOff>
      <xdr:row>274</xdr:row>
      <xdr:rowOff>148590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C973148-3916-EFD7-5499-229A09E07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0.25167</cdr:x>
      <cdr:y>0.08472</cdr:y>
    </cdr:from>
    <cdr:to>
      <cdr:x>0.45167</cdr:x>
      <cdr:y>0.41806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07B1DB1E-D8CE-4956-5E9F-146D4C39AB6D}"/>
            </a:ext>
          </a:extLst>
        </cdr:cNvPr>
        <cdr:cNvSpPr txBox="1"/>
      </cdr:nvSpPr>
      <cdr:spPr>
        <a:xfrm xmlns:a="http://schemas.openxmlformats.org/drawingml/2006/main">
          <a:off x="1150620" y="23241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 kern="1200"/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644A-7543-47C6-8A34-486DD1AC74BB}">
  <sheetPr>
    <tabColor theme="5" tint="0.39997558519241921"/>
  </sheetPr>
  <dimension ref="A1:M250"/>
  <sheetViews>
    <sheetView workbookViewId="0">
      <selection activeCell="G2" sqref="G2:G250"/>
    </sheetView>
  </sheetViews>
  <sheetFormatPr baseColWidth="10" defaultColWidth="11.44140625" defaultRowHeight="14.4" x14ac:dyDescent="0.3"/>
  <cols>
    <col min="1" max="1" width="18.6640625" customWidth="1"/>
    <col min="2" max="2" width="23.33203125" bestFit="1" customWidth="1"/>
    <col min="3" max="3" width="13.21875" customWidth="1"/>
    <col min="4" max="4" width="13.109375" style="9" customWidth="1"/>
    <col min="5" max="5" width="17.6640625" style="1" customWidth="1"/>
    <col min="6" max="6" width="19.6640625" style="6" customWidth="1"/>
    <col min="7" max="7" width="14.44140625" style="11" customWidth="1"/>
    <col min="8" max="8" width="16.5546875" style="1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8" t="s">
        <v>3</v>
      </c>
      <c r="E1" s="7" t="s">
        <v>4</v>
      </c>
      <c r="F1" s="5" t="s">
        <v>5</v>
      </c>
      <c r="G1" s="12" t="s">
        <v>6</v>
      </c>
      <c r="H1" s="12" t="s">
        <v>7</v>
      </c>
      <c r="I1" s="2" t="s">
        <v>253</v>
      </c>
      <c r="J1" s="2" t="s">
        <v>254</v>
      </c>
    </row>
    <row r="2" spans="1:13" x14ac:dyDescent="0.3">
      <c r="A2" s="3">
        <v>2</v>
      </c>
      <c r="B2" t="s">
        <v>8</v>
      </c>
      <c r="C2" t="s">
        <v>9</v>
      </c>
      <c r="D2" s="10">
        <v>92.7</v>
      </c>
      <c r="E2" s="1">
        <v>45735</v>
      </c>
      <c r="F2" s="6" t="s">
        <v>10</v>
      </c>
      <c r="G2" s="11">
        <v>49</v>
      </c>
      <c r="H2" s="11">
        <v>1</v>
      </c>
      <c r="I2" t="str">
        <f>TEXT(E2,"MMMM")</f>
        <v>marzo</v>
      </c>
      <c r="J2" t="str">
        <f>TEXT(E2,"DDDD")</f>
        <v>miércoles</v>
      </c>
      <c r="L2" t="s">
        <v>291</v>
      </c>
      <c r="M2" t="s">
        <v>292</v>
      </c>
    </row>
    <row r="3" spans="1:13" x14ac:dyDescent="0.3">
      <c r="A3" s="3">
        <v>6</v>
      </c>
      <c r="B3" t="s">
        <v>11</v>
      </c>
      <c r="C3" t="s">
        <v>12</v>
      </c>
      <c r="D3" s="10">
        <v>87.6</v>
      </c>
      <c r="E3" s="1">
        <v>45803</v>
      </c>
      <c r="F3" s="6" t="s">
        <v>13</v>
      </c>
      <c r="G3" s="11">
        <v>73</v>
      </c>
      <c r="H3" s="11">
        <v>1</v>
      </c>
      <c r="I3" t="str">
        <f t="shared" ref="I3:I66" si="0">TEXT(E3,"MMMM")</f>
        <v>mayo</v>
      </c>
      <c r="J3" t="str">
        <f t="shared" ref="J3:J66" si="1">TEXT(E3,"DDDD")</f>
        <v>lunes</v>
      </c>
      <c r="L3" t="s">
        <v>293</v>
      </c>
      <c r="M3" t="s">
        <v>294</v>
      </c>
    </row>
    <row r="4" spans="1:13" x14ac:dyDescent="0.3">
      <c r="A4" s="3">
        <v>9</v>
      </c>
      <c r="B4" t="s">
        <v>14</v>
      </c>
      <c r="C4" t="s">
        <v>15</v>
      </c>
      <c r="D4" s="10">
        <v>69.400000000000006</v>
      </c>
      <c r="E4" s="1">
        <v>45642</v>
      </c>
      <c r="F4" s="6" t="s">
        <v>16</v>
      </c>
      <c r="G4" s="11">
        <v>30</v>
      </c>
      <c r="H4" s="11">
        <v>1</v>
      </c>
      <c r="I4" t="str">
        <f t="shared" si="0"/>
        <v>diciembre</v>
      </c>
      <c r="J4" t="str">
        <f t="shared" si="1"/>
        <v>lunes</v>
      </c>
      <c r="L4" t="s">
        <v>295</v>
      </c>
      <c r="M4" t="s">
        <v>296</v>
      </c>
    </row>
    <row r="5" spans="1:13" x14ac:dyDescent="0.3">
      <c r="A5" s="3">
        <v>23</v>
      </c>
      <c r="B5" t="s">
        <v>17</v>
      </c>
      <c r="C5" t="s">
        <v>12</v>
      </c>
      <c r="D5" s="10">
        <v>85.3</v>
      </c>
      <c r="E5" s="1">
        <v>45739</v>
      </c>
      <c r="F5" s="6" t="s">
        <v>13</v>
      </c>
      <c r="G5" s="11">
        <v>100</v>
      </c>
      <c r="H5" s="11">
        <v>1</v>
      </c>
      <c r="I5" t="str">
        <f t="shared" si="0"/>
        <v>marzo</v>
      </c>
      <c r="J5" t="str">
        <f t="shared" si="1"/>
        <v>domingo</v>
      </c>
    </row>
    <row r="6" spans="1:13" x14ac:dyDescent="0.3">
      <c r="A6" s="3">
        <v>25</v>
      </c>
      <c r="B6" t="s">
        <v>18</v>
      </c>
      <c r="C6" t="s">
        <v>9</v>
      </c>
      <c r="D6" s="10">
        <v>57.3</v>
      </c>
      <c r="E6" s="1">
        <v>45957</v>
      </c>
      <c r="F6" s="6" t="s">
        <v>10</v>
      </c>
      <c r="G6" s="11">
        <v>41</v>
      </c>
      <c r="H6" s="11">
        <v>2</v>
      </c>
      <c r="I6" t="str">
        <f t="shared" si="0"/>
        <v>octubre</v>
      </c>
      <c r="J6" t="str">
        <f t="shared" si="1"/>
        <v>lunes</v>
      </c>
    </row>
    <row r="7" spans="1:13" x14ac:dyDescent="0.3">
      <c r="A7" s="3">
        <v>25</v>
      </c>
      <c r="B7" t="s">
        <v>18</v>
      </c>
      <c r="C7" t="s">
        <v>12</v>
      </c>
      <c r="D7" s="10">
        <v>83.5</v>
      </c>
      <c r="E7" s="1">
        <v>45963</v>
      </c>
      <c r="F7" s="6" t="s">
        <v>13</v>
      </c>
      <c r="G7" s="11">
        <v>26</v>
      </c>
      <c r="H7" s="11">
        <v>3</v>
      </c>
      <c r="I7" t="str">
        <f t="shared" si="0"/>
        <v>noviembre</v>
      </c>
      <c r="J7" t="str">
        <f t="shared" si="1"/>
        <v>domingo</v>
      </c>
    </row>
    <row r="8" spans="1:13" x14ac:dyDescent="0.3">
      <c r="A8" s="3">
        <v>25</v>
      </c>
      <c r="B8" t="s">
        <v>18</v>
      </c>
      <c r="C8" t="s">
        <v>19</v>
      </c>
      <c r="D8" s="10">
        <v>69.3</v>
      </c>
      <c r="E8" s="1">
        <v>45970</v>
      </c>
      <c r="F8" s="6" t="s">
        <v>20</v>
      </c>
      <c r="G8" s="11">
        <v>41</v>
      </c>
      <c r="H8" s="11">
        <v>2</v>
      </c>
      <c r="I8" t="str">
        <f t="shared" si="0"/>
        <v>noviembre</v>
      </c>
      <c r="J8" t="str">
        <f t="shared" si="1"/>
        <v>domingo</v>
      </c>
    </row>
    <row r="9" spans="1:13" x14ac:dyDescent="0.3">
      <c r="A9" s="3">
        <v>29</v>
      </c>
      <c r="B9" t="s">
        <v>21</v>
      </c>
      <c r="C9" t="s">
        <v>9</v>
      </c>
      <c r="D9" s="10">
        <v>51.5</v>
      </c>
      <c r="E9" s="1">
        <v>45788</v>
      </c>
      <c r="F9" s="6" t="s">
        <v>22</v>
      </c>
      <c r="G9" s="11">
        <v>72</v>
      </c>
      <c r="H9" s="11">
        <v>1</v>
      </c>
      <c r="I9" t="str">
        <f t="shared" si="0"/>
        <v>mayo</v>
      </c>
      <c r="J9" t="str">
        <f t="shared" si="1"/>
        <v>domingo</v>
      </c>
    </row>
    <row r="10" spans="1:13" x14ac:dyDescent="0.3">
      <c r="A10" s="3">
        <v>34</v>
      </c>
      <c r="B10" t="s">
        <v>23</v>
      </c>
      <c r="C10" t="s">
        <v>24</v>
      </c>
      <c r="D10" s="10">
        <v>58</v>
      </c>
      <c r="E10" s="1">
        <v>45910</v>
      </c>
      <c r="F10" s="6" t="s">
        <v>16</v>
      </c>
      <c r="G10" s="11">
        <v>78</v>
      </c>
      <c r="H10" s="11">
        <v>1</v>
      </c>
      <c r="I10" t="str">
        <f t="shared" si="0"/>
        <v>septiembre</v>
      </c>
      <c r="J10" t="str">
        <f t="shared" si="1"/>
        <v>miércoles</v>
      </c>
    </row>
    <row r="11" spans="1:13" x14ac:dyDescent="0.3">
      <c r="A11" s="3">
        <v>35</v>
      </c>
      <c r="B11" t="s">
        <v>25</v>
      </c>
      <c r="C11" t="s">
        <v>15</v>
      </c>
      <c r="D11" s="10">
        <v>59.3</v>
      </c>
      <c r="E11" s="1">
        <v>45665</v>
      </c>
      <c r="F11" s="6" t="s">
        <v>16</v>
      </c>
      <c r="G11" s="11">
        <v>80</v>
      </c>
      <c r="H11" s="11">
        <v>2</v>
      </c>
      <c r="I11" t="str">
        <f t="shared" si="0"/>
        <v>enero</v>
      </c>
      <c r="J11" t="str">
        <f t="shared" si="1"/>
        <v>miércoles</v>
      </c>
    </row>
    <row r="12" spans="1:13" x14ac:dyDescent="0.3">
      <c r="A12" s="3">
        <v>36</v>
      </c>
      <c r="B12" t="s">
        <v>26</v>
      </c>
      <c r="C12" t="s">
        <v>15</v>
      </c>
      <c r="D12" s="10">
        <v>66.3</v>
      </c>
      <c r="E12" s="1">
        <v>45908</v>
      </c>
      <c r="F12" s="6" t="s">
        <v>16</v>
      </c>
      <c r="G12" s="11">
        <v>98</v>
      </c>
      <c r="H12" s="11">
        <v>1</v>
      </c>
      <c r="I12" t="str">
        <f t="shared" si="0"/>
        <v>septiembre</v>
      </c>
      <c r="J12" t="str">
        <f t="shared" si="1"/>
        <v>lunes</v>
      </c>
    </row>
    <row r="13" spans="1:13" x14ac:dyDescent="0.3">
      <c r="A13" s="3">
        <v>44</v>
      </c>
      <c r="B13" t="s">
        <v>27</v>
      </c>
      <c r="C13" t="s">
        <v>24</v>
      </c>
      <c r="D13" s="10">
        <v>64</v>
      </c>
      <c r="E13" s="1">
        <v>45754</v>
      </c>
      <c r="F13" s="6" t="s">
        <v>16</v>
      </c>
      <c r="G13" s="11">
        <v>18</v>
      </c>
      <c r="H13" s="11">
        <v>3</v>
      </c>
      <c r="I13" t="str">
        <f t="shared" si="0"/>
        <v>abril</v>
      </c>
      <c r="J13" t="str">
        <f t="shared" si="1"/>
        <v>lunes</v>
      </c>
    </row>
    <row r="14" spans="1:13" x14ac:dyDescent="0.3">
      <c r="A14" s="3">
        <v>46</v>
      </c>
      <c r="B14" t="s">
        <v>28</v>
      </c>
      <c r="C14" t="s">
        <v>12</v>
      </c>
      <c r="D14" s="10">
        <v>98.8</v>
      </c>
      <c r="E14" s="1">
        <v>45770</v>
      </c>
      <c r="F14" s="6" t="s">
        <v>20</v>
      </c>
      <c r="G14" s="11">
        <v>59</v>
      </c>
      <c r="H14" s="11">
        <v>1</v>
      </c>
      <c r="I14" t="str">
        <f t="shared" si="0"/>
        <v>abril</v>
      </c>
      <c r="J14" t="str">
        <f t="shared" si="1"/>
        <v>miércoles</v>
      </c>
    </row>
    <row r="15" spans="1:13" x14ac:dyDescent="0.3">
      <c r="A15" s="3">
        <v>51</v>
      </c>
      <c r="B15" t="s">
        <v>29</v>
      </c>
      <c r="C15" t="s">
        <v>12</v>
      </c>
      <c r="D15" s="10">
        <v>82.6</v>
      </c>
      <c r="E15" s="1">
        <v>45685</v>
      </c>
      <c r="F15" s="6" t="s">
        <v>20</v>
      </c>
      <c r="G15" s="11">
        <v>100</v>
      </c>
      <c r="H15" s="11">
        <v>3</v>
      </c>
      <c r="I15" t="str">
        <f t="shared" si="0"/>
        <v>enero</v>
      </c>
      <c r="J15" t="str">
        <f t="shared" si="1"/>
        <v>martes</v>
      </c>
    </row>
    <row r="16" spans="1:13" x14ac:dyDescent="0.3">
      <c r="A16" s="3">
        <v>56</v>
      </c>
      <c r="B16" t="s">
        <v>30</v>
      </c>
      <c r="C16" t="s">
        <v>19</v>
      </c>
      <c r="D16" s="10">
        <v>60.6</v>
      </c>
      <c r="E16" s="1">
        <v>45840</v>
      </c>
      <c r="F16" s="6" t="s">
        <v>16</v>
      </c>
      <c r="G16" s="11">
        <v>54</v>
      </c>
      <c r="H16" s="11">
        <v>3</v>
      </c>
      <c r="I16" t="str">
        <f t="shared" si="0"/>
        <v>julio</v>
      </c>
      <c r="J16" t="str">
        <f t="shared" si="1"/>
        <v>miércoles</v>
      </c>
    </row>
    <row r="17" spans="1:10" x14ac:dyDescent="0.3">
      <c r="A17" s="3">
        <v>62</v>
      </c>
      <c r="B17" t="s">
        <v>31</v>
      </c>
      <c r="C17" t="s">
        <v>9</v>
      </c>
      <c r="D17" s="10">
        <v>81.3</v>
      </c>
      <c r="E17" s="1">
        <v>45647</v>
      </c>
      <c r="F17" s="6" t="s">
        <v>22</v>
      </c>
      <c r="G17" s="11">
        <v>26</v>
      </c>
      <c r="H17" s="11">
        <v>2</v>
      </c>
      <c r="I17" t="str">
        <f t="shared" si="0"/>
        <v>diciembre</v>
      </c>
      <c r="J17" t="str">
        <f t="shared" si="1"/>
        <v>sábado</v>
      </c>
    </row>
    <row r="18" spans="1:10" x14ac:dyDescent="0.3">
      <c r="A18" s="3">
        <v>63</v>
      </c>
      <c r="B18" t="s">
        <v>32</v>
      </c>
      <c r="C18" t="s">
        <v>12</v>
      </c>
      <c r="D18" s="10">
        <v>93.4</v>
      </c>
      <c r="E18" s="1">
        <v>45631</v>
      </c>
      <c r="F18" s="6" t="s">
        <v>13</v>
      </c>
      <c r="G18" s="11">
        <v>38</v>
      </c>
      <c r="H18" s="11">
        <v>2</v>
      </c>
      <c r="I18" t="str">
        <f t="shared" si="0"/>
        <v>diciembre</v>
      </c>
      <c r="J18" t="str">
        <f t="shared" si="1"/>
        <v>jueves</v>
      </c>
    </row>
    <row r="19" spans="1:10" x14ac:dyDescent="0.3">
      <c r="A19" s="3">
        <v>63</v>
      </c>
      <c r="B19" t="s">
        <v>32</v>
      </c>
      <c r="C19" t="s">
        <v>15</v>
      </c>
      <c r="D19" s="10">
        <v>78.900000000000006</v>
      </c>
      <c r="E19" s="1">
        <v>45849</v>
      </c>
      <c r="F19" s="6" t="s">
        <v>16</v>
      </c>
      <c r="G19" s="11">
        <v>38</v>
      </c>
      <c r="H19" s="11">
        <v>3</v>
      </c>
      <c r="I19" t="str">
        <f t="shared" si="0"/>
        <v>julio</v>
      </c>
      <c r="J19" t="str">
        <f t="shared" si="1"/>
        <v>viernes</v>
      </c>
    </row>
    <row r="20" spans="1:10" x14ac:dyDescent="0.3">
      <c r="A20" s="3">
        <v>63</v>
      </c>
      <c r="B20" t="s">
        <v>32</v>
      </c>
      <c r="C20" t="s">
        <v>24</v>
      </c>
      <c r="D20" s="10">
        <v>59.2</v>
      </c>
      <c r="E20" s="1">
        <v>45922</v>
      </c>
      <c r="F20" s="6" t="s">
        <v>22</v>
      </c>
      <c r="G20" s="11">
        <v>42</v>
      </c>
      <c r="H20" s="11">
        <v>1</v>
      </c>
      <c r="I20" t="str">
        <f t="shared" si="0"/>
        <v>septiembre</v>
      </c>
      <c r="J20" t="str">
        <f t="shared" si="1"/>
        <v>lunes</v>
      </c>
    </row>
    <row r="21" spans="1:10" x14ac:dyDescent="0.3">
      <c r="A21" s="3">
        <v>70</v>
      </c>
      <c r="B21" t="s">
        <v>33</v>
      </c>
      <c r="C21" t="s">
        <v>19</v>
      </c>
      <c r="D21" s="10">
        <v>52.7</v>
      </c>
      <c r="E21" s="1">
        <v>45766</v>
      </c>
      <c r="F21" s="6" t="s">
        <v>20</v>
      </c>
      <c r="G21" s="11">
        <v>34</v>
      </c>
      <c r="H21" s="11">
        <v>3</v>
      </c>
      <c r="I21" t="str">
        <f t="shared" si="0"/>
        <v>abril</v>
      </c>
      <c r="J21" t="str">
        <f t="shared" si="1"/>
        <v>sábado</v>
      </c>
    </row>
    <row r="22" spans="1:10" x14ac:dyDescent="0.3">
      <c r="A22" s="3">
        <v>73</v>
      </c>
      <c r="B22" t="s">
        <v>34</v>
      </c>
      <c r="C22" t="s">
        <v>19</v>
      </c>
      <c r="D22" s="10">
        <v>97.8</v>
      </c>
      <c r="E22" s="1">
        <v>45942</v>
      </c>
      <c r="F22" s="6" t="s">
        <v>16</v>
      </c>
      <c r="G22" s="11">
        <v>87</v>
      </c>
      <c r="H22" s="11">
        <v>1</v>
      </c>
      <c r="I22" t="str">
        <f t="shared" si="0"/>
        <v>octubre</v>
      </c>
      <c r="J22" t="str">
        <f t="shared" si="1"/>
        <v>domingo</v>
      </c>
    </row>
    <row r="23" spans="1:10" x14ac:dyDescent="0.3">
      <c r="A23" s="3">
        <v>81</v>
      </c>
      <c r="B23" t="s">
        <v>35</v>
      </c>
      <c r="C23" t="s">
        <v>19</v>
      </c>
      <c r="D23" s="10">
        <v>69.099999999999994</v>
      </c>
      <c r="E23" s="1">
        <v>45810</v>
      </c>
      <c r="F23" s="6" t="s">
        <v>16</v>
      </c>
      <c r="G23" s="11">
        <v>87</v>
      </c>
      <c r="H23" s="11">
        <v>2</v>
      </c>
      <c r="I23" t="str">
        <f t="shared" si="0"/>
        <v>junio</v>
      </c>
      <c r="J23" t="str">
        <f t="shared" si="1"/>
        <v>lunes</v>
      </c>
    </row>
    <row r="24" spans="1:10" x14ac:dyDescent="0.3">
      <c r="A24" s="3">
        <v>86</v>
      </c>
      <c r="B24" t="s">
        <v>36</v>
      </c>
      <c r="C24" t="s">
        <v>12</v>
      </c>
      <c r="D24" s="10">
        <v>52.4</v>
      </c>
      <c r="E24" s="1">
        <v>45955</v>
      </c>
      <c r="F24" s="6" t="s">
        <v>13</v>
      </c>
      <c r="G24" s="11">
        <v>68</v>
      </c>
      <c r="H24" s="11">
        <v>3</v>
      </c>
      <c r="I24" t="str">
        <f t="shared" si="0"/>
        <v>octubre</v>
      </c>
      <c r="J24" t="str">
        <f t="shared" si="1"/>
        <v>sábado</v>
      </c>
    </row>
    <row r="25" spans="1:10" x14ac:dyDescent="0.3">
      <c r="A25" s="3">
        <v>87</v>
      </c>
      <c r="B25" t="s">
        <v>37</v>
      </c>
      <c r="C25" t="s">
        <v>15</v>
      </c>
      <c r="D25" s="10">
        <v>60.6</v>
      </c>
      <c r="E25" s="1">
        <v>45936</v>
      </c>
      <c r="F25" s="6" t="s">
        <v>16</v>
      </c>
      <c r="G25" s="11">
        <v>80</v>
      </c>
      <c r="H25" s="11">
        <v>2</v>
      </c>
      <c r="I25" t="str">
        <f t="shared" si="0"/>
        <v>octubre</v>
      </c>
      <c r="J25" t="str">
        <f t="shared" si="1"/>
        <v>lunes</v>
      </c>
    </row>
    <row r="26" spans="1:10" x14ac:dyDescent="0.3">
      <c r="A26" s="3">
        <v>89</v>
      </c>
      <c r="B26" t="s">
        <v>38</v>
      </c>
      <c r="C26" t="s">
        <v>12</v>
      </c>
      <c r="D26" s="10">
        <v>81.7</v>
      </c>
      <c r="E26" s="1">
        <v>45660</v>
      </c>
      <c r="F26" s="6" t="s">
        <v>20</v>
      </c>
      <c r="G26" s="11">
        <v>90</v>
      </c>
      <c r="H26" s="11">
        <v>2</v>
      </c>
      <c r="I26" t="str">
        <f t="shared" si="0"/>
        <v>enero</v>
      </c>
      <c r="J26" t="str">
        <f t="shared" si="1"/>
        <v>viernes</v>
      </c>
    </row>
    <row r="27" spans="1:10" x14ac:dyDescent="0.3">
      <c r="A27" s="3">
        <v>94</v>
      </c>
      <c r="B27" t="s">
        <v>39</v>
      </c>
      <c r="C27" t="s">
        <v>24</v>
      </c>
      <c r="D27" s="10">
        <v>88</v>
      </c>
      <c r="E27" s="1">
        <v>45763</v>
      </c>
      <c r="F27" s="6" t="s">
        <v>16</v>
      </c>
      <c r="G27" s="11">
        <v>63</v>
      </c>
      <c r="H27" s="11">
        <v>3</v>
      </c>
      <c r="I27" t="str">
        <f t="shared" si="0"/>
        <v>abril</v>
      </c>
      <c r="J27" t="str">
        <f t="shared" si="1"/>
        <v>miércoles</v>
      </c>
    </row>
    <row r="28" spans="1:10" x14ac:dyDescent="0.3">
      <c r="A28" s="3">
        <v>97</v>
      </c>
      <c r="B28" t="s">
        <v>40</v>
      </c>
      <c r="C28" t="s">
        <v>24</v>
      </c>
      <c r="D28" s="10">
        <v>92.3</v>
      </c>
      <c r="E28" s="1">
        <v>45824</v>
      </c>
      <c r="F28" s="6" t="s">
        <v>16</v>
      </c>
      <c r="G28" s="11">
        <v>95</v>
      </c>
      <c r="H28" s="11">
        <v>1</v>
      </c>
      <c r="I28" t="str">
        <f t="shared" si="0"/>
        <v>junio</v>
      </c>
      <c r="J28" t="str">
        <f t="shared" si="1"/>
        <v>lunes</v>
      </c>
    </row>
    <row r="29" spans="1:10" x14ac:dyDescent="0.3">
      <c r="A29" s="3">
        <v>100</v>
      </c>
      <c r="B29" t="s">
        <v>41</v>
      </c>
      <c r="C29" t="s">
        <v>12</v>
      </c>
      <c r="D29" s="10">
        <v>70.3</v>
      </c>
      <c r="E29" s="1">
        <v>45835</v>
      </c>
      <c r="F29" s="6" t="s">
        <v>20</v>
      </c>
      <c r="G29" s="11">
        <v>55</v>
      </c>
      <c r="H29" s="11">
        <v>1</v>
      </c>
      <c r="I29" t="str">
        <f t="shared" si="0"/>
        <v>junio</v>
      </c>
      <c r="J29" t="str">
        <f t="shared" si="1"/>
        <v>viernes</v>
      </c>
    </row>
    <row r="30" spans="1:10" x14ac:dyDescent="0.3">
      <c r="A30" s="3">
        <v>106</v>
      </c>
      <c r="B30" t="s">
        <v>42</v>
      </c>
      <c r="C30" t="s">
        <v>9</v>
      </c>
      <c r="D30" s="10">
        <v>53.3</v>
      </c>
      <c r="E30" s="1">
        <v>45646</v>
      </c>
      <c r="F30" s="6" t="s">
        <v>22</v>
      </c>
      <c r="G30" s="11">
        <v>65</v>
      </c>
      <c r="H30" s="11">
        <v>1</v>
      </c>
      <c r="I30" t="str">
        <f t="shared" si="0"/>
        <v>diciembre</v>
      </c>
      <c r="J30" t="str">
        <f t="shared" si="1"/>
        <v>viernes</v>
      </c>
    </row>
    <row r="31" spans="1:10" x14ac:dyDescent="0.3">
      <c r="A31" s="3">
        <v>113</v>
      </c>
      <c r="B31" t="s">
        <v>43</v>
      </c>
      <c r="C31" t="s">
        <v>9</v>
      </c>
      <c r="D31" s="10">
        <v>79.5</v>
      </c>
      <c r="E31" s="1">
        <v>45846</v>
      </c>
      <c r="F31" s="6" t="s">
        <v>22</v>
      </c>
      <c r="G31" s="11">
        <v>78</v>
      </c>
      <c r="H31" s="11">
        <v>3</v>
      </c>
      <c r="I31" t="str">
        <f t="shared" si="0"/>
        <v>julio</v>
      </c>
      <c r="J31" t="str">
        <f t="shared" si="1"/>
        <v>martes</v>
      </c>
    </row>
    <row r="32" spans="1:10" x14ac:dyDescent="0.3">
      <c r="A32" s="3">
        <v>115</v>
      </c>
      <c r="B32" t="s">
        <v>44</v>
      </c>
      <c r="C32" t="s">
        <v>19</v>
      </c>
      <c r="D32" s="10">
        <v>82.6</v>
      </c>
      <c r="E32" s="1">
        <v>45987</v>
      </c>
      <c r="F32" s="6" t="s">
        <v>20</v>
      </c>
      <c r="G32" s="11">
        <v>42</v>
      </c>
      <c r="H32" s="11">
        <v>3</v>
      </c>
      <c r="I32" t="str">
        <f t="shared" si="0"/>
        <v>noviembre</v>
      </c>
      <c r="J32" t="str">
        <f t="shared" si="1"/>
        <v>miércoles</v>
      </c>
    </row>
    <row r="33" spans="1:10" x14ac:dyDescent="0.3">
      <c r="A33" s="3">
        <v>120</v>
      </c>
      <c r="B33" t="s">
        <v>45</v>
      </c>
      <c r="C33" t="s">
        <v>24</v>
      </c>
      <c r="D33" s="10">
        <v>61.3</v>
      </c>
      <c r="E33" s="1">
        <v>45895</v>
      </c>
      <c r="F33" s="6" t="s">
        <v>16</v>
      </c>
      <c r="G33" s="11">
        <v>19</v>
      </c>
      <c r="H33" s="11">
        <v>3</v>
      </c>
      <c r="I33" t="str">
        <f t="shared" si="0"/>
        <v>agosto</v>
      </c>
      <c r="J33" t="str">
        <f t="shared" si="1"/>
        <v>martes</v>
      </c>
    </row>
    <row r="34" spans="1:10" x14ac:dyDescent="0.3">
      <c r="A34" s="3">
        <v>121</v>
      </c>
      <c r="B34" t="s">
        <v>46</v>
      </c>
      <c r="C34" t="s">
        <v>15</v>
      </c>
      <c r="D34" s="10">
        <v>97.9</v>
      </c>
      <c r="E34" s="1">
        <v>45939</v>
      </c>
      <c r="F34" s="6" t="s">
        <v>16</v>
      </c>
      <c r="G34" s="11">
        <v>24</v>
      </c>
      <c r="H34" s="11">
        <v>3</v>
      </c>
      <c r="I34" t="str">
        <f t="shared" si="0"/>
        <v>octubre</v>
      </c>
      <c r="J34" t="str">
        <f t="shared" si="1"/>
        <v>jueves</v>
      </c>
    </row>
    <row r="35" spans="1:10" x14ac:dyDescent="0.3">
      <c r="A35" s="3">
        <v>128</v>
      </c>
      <c r="B35" t="s">
        <v>47</v>
      </c>
      <c r="C35" t="s">
        <v>24</v>
      </c>
      <c r="D35" s="10">
        <v>97.9</v>
      </c>
      <c r="E35" s="1">
        <v>45901</v>
      </c>
      <c r="F35" s="6" t="s">
        <v>16</v>
      </c>
      <c r="G35" s="11">
        <v>76</v>
      </c>
      <c r="H35" s="11">
        <v>3</v>
      </c>
      <c r="I35" t="str">
        <f t="shared" si="0"/>
        <v>septiembre</v>
      </c>
      <c r="J35" t="str">
        <f t="shared" si="1"/>
        <v>lunes</v>
      </c>
    </row>
    <row r="36" spans="1:10" x14ac:dyDescent="0.3">
      <c r="A36" s="3">
        <v>131</v>
      </c>
      <c r="B36" t="s">
        <v>48</v>
      </c>
      <c r="C36" t="s">
        <v>24</v>
      </c>
      <c r="D36" s="10">
        <v>87.4</v>
      </c>
      <c r="E36" s="1">
        <v>45721</v>
      </c>
      <c r="F36" s="6" t="s">
        <v>16</v>
      </c>
      <c r="G36" s="11">
        <v>77</v>
      </c>
      <c r="H36" s="11">
        <v>1</v>
      </c>
      <c r="I36" t="str">
        <f t="shared" si="0"/>
        <v>marzo</v>
      </c>
      <c r="J36" t="str">
        <f t="shared" si="1"/>
        <v>miércoles</v>
      </c>
    </row>
    <row r="37" spans="1:10" x14ac:dyDescent="0.3">
      <c r="A37" s="3">
        <v>134</v>
      </c>
      <c r="B37" t="s">
        <v>49</v>
      </c>
      <c r="C37" t="s">
        <v>12</v>
      </c>
      <c r="D37" s="10">
        <v>50.9</v>
      </c>
      <c r="E37" s="1">
        <v>45873</v>
      </c>
      <c r="F37" s="6" t="s">
        <v>20</v>
      </c>
      <c r="G37" s="11">
        <v>72</v>
      </c>
      <c r="H37" s="11">
        <v>2</v>
      </c>
      <c r="I37" t="str">
        <f t="shared" si="0"/>
        <v>agosto</v>
      </c>
      <c r="J37" t="str">
        <f t="shared" si="1"/>
        <v>lunes</v>
      </c>
    </row>
    <row r="38" spans="1:10" x14ac:dyDescent="0.3">
      <c r="A38" s="3">
        <v>139</v>
      </c>
      <c r="B38" t="s">
        <v>50</v>
      </c>
      <c r="C38" t="s">
        <v>24</v>
      </c>
      <c r="D38" s="10">
        <v>53.9</v>
      </c>
      <c r="E38" s="1">
        <v>45924</v>
      </c>
      <c r="F38" s="6" t="s">
        <v>22</v>
      </c>
      <c r="G38" s="11">
        <v>87</v>
      </c>
      <c r="H38" s="11">
        <v>1</v>
      </c>
      <c r="I38" t="str">
        <f t="shared" si="0"/>
        <v>septiembre</v>
      </c>
      <c r="J38" t="str">
        <f t="shared" si="1"/>
        <v>miércoles</v>
      </c>
    </row>
    <row r="39" spans="1:10" x14ac:dyDescent="0.3">
      <c r="A39" s="3">
        <v>143</v>
      </c>
      <c r="B39" t="s">
        <v>51</v>
      </c>
      <c r="C39" t="s">
        <v>24</v>
      </c>
      <c r="D39" s="10">
        <v>87.2</v>
      </c>
      <c r="E39" s="1">
        <v>45640</v>
      </c>
      <c r="F39" s="6" t="s">
        <v>22</v>
      </c>
      <c r="G39" s="11">
        <v>18</v>
      </c>
      <c r="H39" s="11">
        <v>3</v>
      </c>
      <c r="I39" t="str">
        <f t="shared" si="0"/>
        <v>diciembre</v>
      </c>
      <c r="J39" t="str">
        <f t="shared" si="1"/>
        <v>sábado</v>
      </c>
    </row>
    <row r="40" spans="1:10" x14ac:dyDescent="0.3">
      <c r="A40" s="3">
        <v>145</v>
      </c>
      <c r="B40" t="s">
        <v>52</v>
      </c>
      <c r="C40" t="s">
        <v>9</v>
      </c>
      <c r="D40" s="10">
        <v>87.3</v>
      </c>
      <c r="E40" s="1">
        <v>45878</v>
      </c>
      <c r="F40" s="6" t="s">
        <v>22</v>
      </c>
      <c r="G40" s="11">
        <v>95</v>
      </c>
      <c r="H40" s="11">
        <v>2</v>
      </c>
      <c r="I40" t="str">
        <f t="shared" si="0"/>
        <v>agosto</v>
      </c>
      <c r="J40" t="str">
        <f t="shared" si="1"/>
        <v>sábado</v>
      </c>
    </row>
    <row r="41" spans="1:10" x14ac:dyDescent="0.3">
      <c r="A41" s="3">
        <v>146</v>
      </c>
      <c r="B41" t="s">
        <v>53</v>
      </c>
      <c r="C41" t="s">
        <v>9</v>
      </c>
      <c r="D41" s="10">
        <v>83.1</v>
      </c>
      <c r="E41" s="1">
        <v>45799</v>
      </c>
      <c r="F41" s="6" t="s">
        <v>22</v>
      </c>
      <c r="G41" s="11">
        <v>22</v>
      </c>
      <c r="H41" s="11">
        <v>2</v>
      </c>
      <c r="I41" t="str">
        <f t="shared" si="0"/>
        <v>mayo</v>
      </c>
      <c r="J41" t="str">
        <f t="shared" si="1"/>
        <v>jueves</v>
      </c>
    </row>
    <row r="42" spans="1:10" x14ac:dyDescent="0.3">
      <c r="A42" s="3">
        <v>153</v>
      </c>
      <c r="B42" t="s">
        <v>54</v>
      </c>
      <c r="C42" t="s">
        <v>12</v>
      </c>
      <c r="D42" s="10">
        <v>86.7</v>
      </c>
      <c r="E42" s="1">
        <v>45664</v>
      </c>
      <c r="F42" s="6" t="s">
        <v>13</v>
      </c>
      <c r="G42" s="11">
        <v>89</v>
      </c>
      <c r="H42" s="11">
        <v>2</v>
      </c>
      <c r="I42" t="str">
        <f t="shared" si="0"/>
        <v>enero</v>
      </c>
      <c r="J42" t="str">
        <f t="shared" si="1"/>
        <v>martes</v>
      </c>
    </row>
    <row r="43" spans="1:10" x14ac:dyDescent="0.3">
      <c r="A43" s="3">
        <v>157</v>
      </c>
      <c r="B43" t="s">
        <v>55</v>
      </c>
      <c r="C43" t="s">
        <v>24</v>
      </c>
      <c r="D43" s="10">
        <v>70.2</v>
      </c>
      <c r="E43" s="1">
        <v>45780</v>
      </c>
      <c r="F43" s="6" t="s">
        <v>22</v>
      </c>
      <c r="G43" s="11">
        <v>100</v>
      </c>
      <c r="H43" s="11">
        <v>1</v>
      </c>
      <c r="I43" t="str">
        <f t="shared" si="0"/>
        <v>mayo</v>
      </c>
      <c r="J43" t="str">
        <f t="shared" si="1"/>
        <v>sábado</v>
      </c>
    </row>
    <row r="44" spans="1:10" x14ac:dyDescent="0.3">
      <c r="A44" s="3">
        <v>160</v>
      </c>
      <c r="B44" t="s">
        <v>56</v>
      </c>
      <c r="C44" t="s">
        <v>15</v>
      </c>
      <c r="D44" s="10">
        <v>68.8</v>
      </c>
      <c r="E44" s="1">
        <v>45765</v>
      </c>
      <c r="F44" s="6" t="s">
        <v>16</v>
      </c>
      <c r="G44" s="11">
        <v>51</v>
      </c>
      <c r="H44" s="11">
        <v>1</v>
      </c>
      <c r="I44" t="str">
        <f t="shared" si="0"/>
        <v>abril</v>
      </c>
      <c r="J44" t="str">
        <f t="shared" si="1"/>
        <v>viernes</v>
      </c>
    </row>
    <row r="45" spans="1:10" x14ac:dyDescent="0.3">
      <c r="A45" s="3">
        <v>164</v>
      </c>
      <c r="B45" t="s">
        <v>57</v>
      </c>
      <c r="C45" t="s">
        <v>19</v>
      </c>
      <c r="D45" s="10">
        <v>99.1</v>
      </c>
      <c r="E45" s="1">
        <v>45708</v>
      </c>
      <c r="F45" s="6" t="s">
        <v>22</v>
      </c>
      <c r="G45" s="11">
        <v>92</v>
      </c>
      <c r="H45" s="11">
        <v>2</v>
      </c>
      <c r="I45" t="str">
        <f t="shared" si="0"/>
        <v>febrero</v>
      </c>
      <c r="J45" t="str">
        <f t="shared" si="1"/>
        <v>jueves</v>
      </c>
    </row>
    <row r="46" spans="1:10" x14ac:dyDescent="0.3">
      <c r="A46" s="3">
        <v>165</v>
      </c>
      <c r="B46" t="s">
        <v>58</v>
      </c>
      <c r="C46" t="s">
        <v>19</v>
      </c>
      <c r="D46" s="10">
        <v>93.4</v>
      </c>
      <c r="E46" s="1">
        <v>45718</v>
      </c>
      <c r="F46" s="6" t="s">
        <v>22</v>
      </c>
      <c r="G46" s="11">
        <v>85</v>
      </c>
      <c r="H46" s="11">
        <v>3</v>
      </c>
      <c r="I46" t="str">
        <f t="shared" si="0"/>
        <v>marzo</v>
      </c>
      <c r="J46" t="str">
        <f t="shared" si="1"/>
        <v>domingo</v>
      </c>
    </row>
    <row r="47" spans="1:10" x14ac:dyDescent="0.3">
      <c r="A47" s="3">
        <v>174</v>
      </c>
      <c r="B47" t="s">
        <v>59</v>
      </c>
      <c r="C47" t="s">
        <v>9</v>
      </c>
      <c r="D47" s="10">
        <v>83.4</v>
      </c>
      <c r="E47" s="1">
        <v>45963</v>
      </c>
      <c r="F47" s="6" t="s">
        <v>10</v>
      </c>
      <c r="G47" s="11">
        <v>14</v>
      </c>
      <c r="H47" s="11">
        <v>3</v>
      </c>
      <c r="I47" t="str">
        <f t="shared" si="0"/>
        <v>noviembre</v>
      </c>
      <c r="J47" t="str">
        <f t="shared" si="1"/>
        <v>domingo</v>
      </c>
    </row>
    <row r="48" spans="1:10" x14ac:dyDescent="0.3">
      <c r="A48" s="3">
        <v>177</v>
      </c>
      <c r="B48" t="s">
        <v>60</v>
      </c>
      <c r="C48" t="s">
        <v>12</v>
      </c>
      <c r="D48" s="10">
        <v>94.2</v>
      </c>
      <c r="E48" s="1">
        <v>45673</v>
      </c>
      <c r="F48" s="6" t="s">
        <v>20</v>
      </c>
      <c r="G48" s="11">
        <v>100</v>
      </c>
      <c r="H48" s="11">
        <v>3</v>
      </c>
      <c r="I48" t="str">
        <f t="shared" si="0"/>
        <v>enero</v>
      </c>
      <c r="J48" t="str">
        <f t="shared" si="1"/>
        <v>jueves</v>
      </c>
    </row>
    <row r="49" spans="1:10" x14ac:dyDescent="0.3">
      <c r="A49" s="3">
        <v>178</v>
      </c>
      <c r="B49" t="s">
        <v>61</v>
      </c>
      <c r="C49" t="s">
        <v>24</v>
      </c>
      <c r="D49" s="10">
        <v>95.5</v>
      </c>
      <c r="E49" s="1">
        <v>45746</v>
      </c>
      <c r="F49" s="6" t="s">
        <v>22</v>
      </c>
      <c r="G49" s="11">
        <v>62</v>
      </c>
      <c r="H49" s="11">
        <v>1</v>
      </c>
      <c r="I49" t="str">
        <f t="shared" si="0"/>
        <v>marzo</v>
      </c>
      <c r="J49" t="str">
        <f t="shared" si="1"/>
        <v>domingo</v>
      </c>
    </row>
    <row r="50" spans="1:10" x14ac:dyDescent="0.3">
      <c r="A50" s="3">
        <v>179</v>
      </c>
      <c r="B50" t="s">
        <v>62</v>
      </c>
      <c r="C50" t="s">
        <v>24</v>
      </c>
      <c r="D50" s="10">
        <v>51.7</v>
      </c>
      <c r="E50" s="1">
        <v>45809</v>
      </c>
      <c r="F50" s="6" t="s">
        <v>16</v>
      </c>
      <c r="G50" s="11">
        <v>42</v>
      </c>
      <c r="H50" s="11">
        <v>1</v>
      </c>
      <c r="I50" t="str">
        <f t="shared" si="0"/>
        <v>junio</v>
      </c>
      <c r="J50" t="str">
        <f t="shared" si="1"/>
        <v>domingo</v>
      </c>
    </row>
    <row r="51" spans="1:10" x14ac:dyDescent="0.3">
      <c r="A51" s="3">
        <v>179</v>
      </c>
      <c r="B51" t="s">
        <v>62</v>
      </c>
      <c r="C51" t="s">
        <v>9</v>
      </c>
      <c r="D51" s="10">
        <v>63.4</v>
      </c>
      <c r="E51" s="1">
        <v>45888</v>
      </c>
      <c r="F51" s="6" t="s">
        <v>22</v>
      </c>
      <c r="G51" s="11">
        <v>35</v>
      </c>
      <c r="H51" s="11">
        <v>1</v>
      </c>
      <c r="I51" t="str">
        <f t="shared" si="0"/>
        <v>agosto</v>
      </c>
      <c r="J51" t="str">
        <f t="shared" si="1"/>
        <v>martes</v>
      </c>
    </row>
    <row r="52" spans="1:10" x14ac:dyDescent="0.3">
      <c r="A52" s="3">
        <v>179</v>
      </c>
      <c r="B52" t="s">
        <v>62</v>
      </c>
      <c r="C52" t="s">
        <v>19</v>
      </c>
      <c r="D52" s="10">
        <v>71.400000000000006</v>
      </c>
      <c r="E52" s="1">
        <v>45667</v>
      </c>
      <c r="F52" s="6" t="s">
        <v>20</v>
      </c>
      <c r="G52" s="11">
        <v>45</v>
      </c>
      <c r="H52" s="11">
        <v>1</v>
      </c>
      <c r="I52" t="str">
        <f t="shared" si="0"/>
        <v>enero</v>
      </c>
      <c r="J52" t="str">
        <f t="shared" si="1"/>
        <v>viernes</v>
      </c>
    </row>
    <row r="53" spans="1:10" x14ac:dyDescent="0.3">
      <c r="A53" s="3">
        <v>196</v>
      </c>
      <c r="B53" t="s">
        <v>63</v>
      </c>
      <c r="C53" t="s">
        <v>19</v>
      </c>
      <c r="D53" s="10">
        <v>90.6</v>
      </c>
      <c r="E53" s="1">
        <v>45958</v>
      </c>
      <c r="F53" s="6" t="s">
        <v>16</v>
      </c>
      <c r="G53" s="11">
        <v>10</v>
      </c>
      <c r="H53" s="11">
        <v>3</v>
      </c>
      <c r="I53" t="str">
        <f t="shared" si="0"/>
        <v>octubre</v>
      </c>
      <c r="J53" t="str">
        <f t="shared" si="1"/>
        <v>martes</v>
      </c>
    </row>
    <row r="54" spans="1:10" x14ac:dyDescent="0.3">
      <c r="A54" s="3">
        <v>203</v>
      </c>
      <c r="B54" t="s">
        <v>64</v>
      </c>
      <c r="C54" t="s">
        <v>24</v>
      </c>
      <c r="D54" s="10">
        <v>63.9</v>
      </c>
      <c r="E54" s="1">
        <v>45928</v>
      </c>
      <c r="F54" s="6" t="s">
        <v>16</v>
      </c>
      <c r="G54" s="11">
        <v>90</v>
      </c>
      <c r="H54" s="11">
        <v>2</v>
      </c>
      <c r="I54" t="str">
        <f t="shared" si="0"/>
        <v>septiembre</v>
      </c>
      <c r="J54" t="str">
        <f t="shared" si="1"/>
        <v>domingo</v>
      </c>
    </row>
    <row r="55" spans="1:10" x14ac:dyDescent="0.3">
      <c r="A55" s="3">
        <v>208</v>
      </c>
      <c r="B55" t="s">
        <v>65</v>
      </c>
      <c r="C55" t="s">
        <v>12</v>
      </c>
      <c r="D55" s="10">
        <v>89.9</v>
      </c>
      <c r="E55" s="1">
        <v>45983</v>
      </c>
      <c r="F55" s="6" t="s">
        <v>13</v>
      </c>
      <c r="G55" s="11">
        <v>22</v>
      </c>
      <c r="H55" s="11">
        <v>3</v>
      </c>
      <c r="I55" t="str">
        <f t="shared" si="0"/>
        <v>noviembre</v>
      </c>
      <c r="J55" t="str">
        <f t="shared" si="1"/>
        <v>sábado</v>
      </c>
    </row>
    <row r="56" spans="1:10" x14ac:dyDescent="0.3">
      <c r="A56" s="3">
        <v>213</v>
      </c>
      <c r="B56" t="s">
        <v>66</v>
      </c>
      <c r="C56" t="s">
        <v>12</v>
      </c>
      <c r="D56" s="10">
        <v>91.4</v>
      </c>
      <c r="E56" s="1">
        <v>45702</v>
      </c>
      <c r="F56" s="6" t="s">
        <v>20</v>
      </c>
      <c r="G56" s="11">
        <v>60</v>
      </c>
      <c r="H56" s="11">
        <v>3</v>
      </c>
      <c r="I56" t="str">
        <f t="shared" si="0"/>
        <v>febrero</v>
      </c>
      <c r="J56" t="str">
        <f t="shared" si="1"/>
        <v>viernes</v>
      </c>
    </row>
    <row r="57" spans="1:10" x14ac:dyDescent="0.3">
      <c r="A57" s="3">
        <v>216</v>
      </c>
      <c r="B57" t="s">
        <v>67</v>
      </c>
      <c r="C57" t="s">
        <v>19</v>
      </c>
      <c r="D57" s="10">
        <v>65.099999999999994</v>
      </c>
      <c r="E57" s="1">
        <v>45678</v>
      </c>
      <c r="F57" s="6" t="s">
        <v>20</v>
      </c>
      <c r="G57" s="11">
        <v>88</v>
      </c>
      <c r="H57" s="11">
        <v>1</v>
      </c>
      <c r="I57" t="str">
        <f t="shared" si="0"/>
        <v>enero</v>
      </c>
      <c r="J57" t="str">
        <f t="shared" si="1"/>
        <v>martes</v>
      </c>
    </row>
    <row r="58" spans="1:10" x14ac:dyDescent="0.3">
      <c r="A58" s="3">
        <v>222</v>
      </c>
      <c r="B58" t="s">
        <v>68</v>
      </c>
      <c r="C58" t="s">
        <v>15</v>
      </c>
      <c r="D58" s="10">
        <v>85.7</v>
      </c>
      <c r="E58" s="1">
        <v>45947</v>
      </c>
      <c r="F58" s="6" t="s">
        <v>16</v>
      </c>
      <c r="G58" s="11">
        <v>58</v>
      </c>
      <c r="H58" s="11">
        <v>3</v>
      </c>
      <c r="I58" t="str">
        <f t="shared" si="0"/>
        <v>octubre</v>
      </c>
      <c r="J58" t="str">
        <f t="shared" si="1"/>
        <v>viernes</v>
      </c>
    </row>
    <row r="59" spans="1:10" x14ac:dyDescent="0.3">
      <c r="A59" s="3">
        <v>226</v>
      </c>
      <c r="B59" t="s">
        <v>69</v>
      </c>
      <c r="C59" t="s">
        <v>24</v>
      </c>
      <c r="D59" s="10">
        <v>78.3</v>
      </c>
      <c r="E59" s="1">
        <v>45913</v>
      </c>
      <c r="F59" s="6" t="s">
        <v>16</v>
      </c>
      <c r="G59" s="11">
        <v>36</v>
      </c>
      <c r="H59" s="11">
        <v>2</v>
      </c>
      <c r="I59" t="str">
        <f t="shared" si="0"/>
        <v>septiembre</v>
      </c>
      <c r="J59" t="str">
        <f t="shared" si="1"/>
        <v>sábado</v>
      </c>
    </row>
    <row r="60" spans="1:10" x14ac:dyDescent="0.3">
      <c r="A60" s="3">
        <v>227</v>
      </c>
      <c r="B60" t="s">
        <v>70</v>
      </c>
      <c r="C60" t="s">
        <v>24</v>
      </c>
      <c r="D60" s="10">
        <v>78.3</v>
      </c>
      <c r="E60" s="1">
        <v>45669</v>
      </c>
      <c r="F60" s="6" t="s">
        <v>16</v>
      </c>
      <c r="G60" s="11">
        <v>65</v>
      </c>
      <c r="H60" s="11">
        <v>2</v>
      </c>
      <c r="I60" t="str">
        <f t="shared" si="0"/>
        <v>enero</v>
      </c>
      <c r="J60" t="str">
        <f t="shared" si="1"/>
        <v>domingo</v>
      </c>
    </row>
    <row r="61" spans="1:10" x14ac:dyDescent="0.3">
      <c r="A61" s="3">
        <v>235</v>
      </c>
      <c r="B61" t="s">
        <v>71</v>
      </c>
      <c r="C61" t="s">
        <v>9</v>
      </c>
      <c r="D61" s="10">
        <v>63.7</v>
      </c>
      <c r="E61" s="1">
        <v>45779</v>
      </c>
      <c r="F61" s="6" t="s">
        <v>22</v>
      </c>
      <c r="G61" s="11">
        <v>51</v>
      </c>
      <c r="H61" s="11">
        <v>3</v>
      </c>
      <c r="I61" t="str">
        <f t="shared" si="0"/>
        <v>mayo</v>
      </c>
      <c r="J61" t="str">
        <f t="shared" si="1"/>
        <v>viernes</v>
      </c>
    </row>
    <row r="62" spans="1:10" x14ac:dyDescent="0.3">
      <c r="A62" s="3">
        <v>242</v>
      </c>
      <c r="B62" t="s">
        <v>72</v>
      </c>
      <c r="C62" t="s">
        <v>9</v>
      </c>
      <c r="D62" s="10">
        <v>94.7</v>
      </c>
      <c r="E62" s="1">
        <v>45681</v>
      </c>
      <c r="F62" s="6" t="s">
        <v>22</v>
      </c>
      <c r="G62" s="11">
        <v>58</v>
      </c>
      <c r="H62" s="11">
        <v>3</v>
      </c>
      <c r="I62" t="str">
        <f t="shared" si="0"/>
        <v>enero</v>
      </c>
      <c r="J62" t="str">
        <f t="shared" si="1"/>
        <v>viernes</v>
      </c>
    </row>
    <row r="63" spans="1:10" x14ac:dyDescent="0.3">
      <c r="A63" s="3">
        <v>242</v>
      </c>
      <c r="B63" t="s">
        <v>72</v>
      </c>
      <c r="C63" t="s">
        <v>12</v>
      </c>
      <c r="D63" s="10">
        <v>73</v>
      </c>
      <c r="E63" s="1">
        <v>45656</v>
      </c>
      <c r="F63" s="6" t="s">
        <v>20</v>
      </c>
      <c r="G63" s="11">
        <v>90</v>
      </c>
      <c r="H63" s="11">
        <v>2</v>
      </c>
      <c r="I63" t="str">
        <f t="shared" si="0"/>
        <v>diciembre</v>
      </c>
      <c r="J63" t="str">
        <f t="shared" si="1"/>
        <v>lunes</v>
      </c>
    </row>
    <row r="64" spans="1:10" x14ac:dyDescent="0.3">
      <c r="A64" s="3">
        <v>242</v>
      </c>
      <c r="B64" t="s">
        <v>72</v>
      </c>
      <c r="C64" t="s">
        <v>15</v>
      </c>
      <c r="D64" s="10">
        <v>93.9</v>
      </c>
      <c r="E64" s="1">
        <v>45894</v>
      </c>
      <c r="F64" s="6" t="s">
        <v>16</v>
      </c>
      <c r="G64" s="11">
        <v>78</v>
      </c>
      <c r="H64" s="11">
        <v>1</v>
      </c>
      <c r="I64" t="str">
        <f t="shared" si="0"/>
        <v>agosto</v>
      </c>
      <c r="J64" t="str">
        <f t="shared" si="1"/>
        <v>lunes</v>
      </c>
    </row>
    <row r="65" spans="1:10" x14ac:dyDescent="0.3">
      <c r="A65" s="3">
        <v>243</v>
      </c>
      <c r="B65" t="s">
        <v>73</v>
      </c>
      <c r="C65" t="s">
        <v>24</v>
      </c>
      <c r="D65" s="10">
        <v>73.7</v>
      </c>
      <c r="E65" s="1">
        <v>45864</v>
      </c>
      <c r="F65" s="6" t="s">
        <v>16</v>
      </c>
      <c r="G65" s="11">
        <v>100</v>
      </c>
      <c r="H65" s="11">
        <v>1</v>
      </c>
      <c r="I65" t="str">
        <f t="shared" si="0"/>
        <v>julio</v>
      </c>
      <c r="J65" t="str">
        <f t="shared" si="1"/>
        <v>sábado</v>
      </c>
    </row>
    <row r="66" spans="1:10" x14ac:dyDescent="0.3">
      <c r="A66" s="3">
        <v>244</v>
      </c>
      <c r="B66" t="s">
        <v>74</v>
      </c>
      <c r="C66" t="s">
        <v>12</v>
      </c>
      <c r="D66" s="10">
        <v>66.8</v>
      </c>
      <c r="E66" s="1">
        <v>45682</v>
      </c>
      <c r="F66" s="6" t="s">
        <v>13</v>
      </c>
      <c r="G66" s="11">
        <v>75</v>
      </c>
      <c r="H66" s="11">
        <v>3</v>
      </c>
      <c r="I66" t="str">
        <f t="shared" si="0"/>
        <v>enero</v>
      </c>
      <c r="J66" t="str">
        <f t="shared" si="1"/>
        <v>sábado</v>
      </c>
    </row>
    <row r="67" spans="1:10" x14ac:dyDescent="0.3">
      <c r="A67" s="3">
        <v>244</v>
      </c>
      <c r="B67" t="s">
        <v>74</v>
      </c>
      <c r="C67" t="s">
        <v>19</v>
      </c>
      <c r="D67" s="10">
        <v>99.3</v>
      </c>
      <c r="E67" s="1">
        <v>45808</v>
      </c>
      <c r="F67" s="6" t="s">
        <v>22</v>
      </c>
      <c r="G67" s="11">
        <v>83</v>
      </c>
      <c r="H67" s="11">
        <v>3</v>
      </c>
      <c r="I67" t="str">
        <f t="shared" ref="I67:I130" si="2">TEXT(E67,"MMMM")</f>
        <v>mayo</v>
      </c>
      <c r="J67" t="str">
        <f t="shared" ref="J67:J130" si="3">TEXT(E67,"DDDD")</f>
        <v>sábado</v>
      </c>
    </row>
    <row r="68" spans="1:10" x14ac:dyDescent="0.3">
      <c r="A68" s="3">
        <v>244</v>
      </c>
      <c r="B68" t="s">
        <v>74</v>
      </c>
      <c r="C68" t="s">
        <v>9</v>
      </c>
      <c r="D68" s="10">
        <v>95.4</v>
      </c>
      <c r="E68" s="1">
        <v>45889</v>
      </c>
      <c r="F68" s="6" t="s">
        <v>22</v>
      </c>
      <c r="G68" s="11">
        <v>61</v>
      </c>
      <c r="H68" s="11">
        <v>2</v>
      </c>
      <c r="I68" t="str">
        <f t="shared" si="2"/>
        <v>agosto</v>
      </c>
      <c r="J68" t="str">
        <f t="shared" si="3"/>
        <v>miércoles</v>
      </c>
    </row>
    <row r="69" spans="1:10" x14ac:dyDescent="0.3">
      <c r="A69" s="3">
        <v>245</v>
      </c>
      <c r="B69" t="s">
        <v>75</v>
      </c>
      <c r="C69" t="s">
        <v>19</v>
      </c>
      <c r="D69" s="10">
        <v>59.6</v>
      </c>
      <c r="E69" s="1">
        <v>45849</v>
      </c>
      <c r="F69" s="6" t="s">
        <v>22</v>
      </c>
      <c r="G69" s="11">
        <v>52</v>
      </c>
      <c r="H69" s="11">
        <v>1</v>
      </c>
      <c r="I69" t="str">
        <f t="shared" si="2"/>
        <v>julio</v>
      </c>
      <c r="J69" t="str">
        <f t="shared" si="3"/>
        <v>viernes</v>
      </c>
    </row>
    <row r="70" spans="1:10" x14ac:dyDescent="0.3">
      <c r="A70" s="3">
        <v>253</v>
      </c>
      <c r="B70" t="s">
        <v>76</v>
      </c>
      <c r="C70" t="s">
        <v>9</v>
      </c>
      <c r="D70" s="10">
        <v>62.3</v>
      </c>
      <c r="E70" s="1">
        <v>45692</v>
      </c>
      <c r="F70" s="6" t="s">
        <v>22</v>
      </c>
      <c r="G70" s="11">
        <v>35</v>
      </c>
      <c r="H70" s="11">
        <v>2</v>
      </c>
      <c r="I70" t="str">
        <f t="shared" si="2"/>
        <v>febrero</v>
      </c>
      <c r="J70" t="str">
        <f t="shared" si="3"/>
        <v>martes</v>
      </c>
    </row>
    <row r="71" spans="1:10" x14ac:dyDescent="0.3">
      <c r="A71" s="3">
        <v>254</v>
      </c>
      <c r="B71" t="s">
        <v>77</v>
      </c>
      <c r="C71" t="s">
        <v>24</v>
      </c>
      <c r="D71" s="10">
        <v>93.1</v>
      </c>
      <c r="E71" s="1">
        <v>45993</v>
      </c>
      <c r="F71" s="6" t="s">
        <v>16</v>
      </c>
      <c r="G71" s="11">
        <v>86</v>
      </c>
      <c r="H71" s="11">
        <v>1</v>
      </c>
      <c r="I71" t="str">
        <f t="shared" si="2"/>
        <v>diciembre</v>
      </c>
      <c r="J71" t="str">
        <f t="shared" si="3"/>
        <v>martes</v>
      </c>
    </row>
    <row r="72" spans="1:10" x14ac:dyDescent="0.3">
      <c r="A72" s="3">
        <v>256</v>
      </c>
      <c r="B72" t="s">
        <v>78</v>
      </c>
      <c r="C72" t="s">
        <v>19</v>
      </c>
      <c r="D72" s="10">
        <v>50.3</v>
      </c>
      <c r="E72" s="1">
        <v>45907</v>
      </c>
      <c r="F72" s="6" t="s">
        <v>16</v>
      </c>
      <c r="G72" s="11">
        <v>75</v>
      </c>
      <c r="H72" s="11">
        <v>2</v>
      </c>
      <c r="I72" t="str">
        <f t="shared" si="2"/>
        <v>septiembre</v>
      </c>
      <c r="J72" t="str">
        <f t="shared" si="3"/>
        <v>domingo</v>
      </c>
    </row>
    <row r="73" spans="1:10" x14ac:dyDescent="0.3">
      <c r="A73" s="3">
        <v>258</v>
      </c>
      <c r="B73" t="s">
        <v>79</v>
      </c>
      <c r="C73" t="s">
        <v>9</v>
      </c>
      <c r="D73" s="10">
        <v>93.3</v>
      </c>
      <c r="E73" s="1">
        <v>45960</v>
      </c>
      <c r="F73" s="6" t="s">
        <v>22</v>
      </c>
      <c r="G73" s="11">
        <v>30</v>
      </c>
      <c r="H73" s="11">
        <v>3</v>
      </c>
      <c r="I73" t="str">
        <f t="shared" si="2"/>
        <v>octubre</v>
      </c>
      <c r="J73" t="str">
        <f t="shared" si="3"/>
        <v>jueves</v>
      </c>
    </row>
    <row r="74" spans="1:10" x14ac:dyDescent="0.3">
      <c r="A74" s="3">
        <v>261</v>
      </c>
      <c r="B74" t="s">
        <v>80</v>
      </c>
      <c r="C74" t="s">
        <v>15</v>
      </c>
      <c r="D74" s="10">
        <v>66.599999999999994</v>
      </c>
      <c r="E74" s="1">
        <v>45905</v>
      </c>
      <c r="F74" s="6" t="s">
        <v>16</v>
      </c>
      <c r="G74" s="11">
        <v>79</v>
      </c>
      <c r="H74" s="11">
        <v>1</v>
      </c>
      <c r="I74" t="str">
        <f t="shared" si="2"/>
        <v>septiembre</v>
      </c>
      <c r="J74" t="str">
        <f t="shared" si="3"/>
        <v>viernes</v>
      </c>
    </row>
    <row r="75" spans="1:10" x14ac:dyDescent="0.3">
      <c r="A75" s="3">
        <v>268</v>
      </c>
      <c r="B75" t="s">
        <v>81</v>
      </c>
      <c r="C75" t="s">
        <v>9</v>
      </c>
      <c r="D75" s="10">
        <v>68.599999999999994</v>
      </c>
      <c r="E75" s="1">
        <v>45628</v>
      </c>
      <c r="F75" s="6" t="s">
        <v>22</v>
      </c>
      <c r="G75" s="11">
        <v>54</v>
      </c>
      <c r="H75" s="11">
        <v>2</v>
      </c>
      <c r="I75" t="str">
        <f t="shared" si="2"/>
        <v>diciembre</v>
      </c>
      <c r="J75" t="str">
        <f t="shared" si="3"/>
        <v>lunes</v>
      </c>
    </row>
    <row r="76" spans="1:10" x14ac:dyDescent="0.3">
      <c r="A76" s="3">
        <v>271</v>
      </c>
      <c r="B76" t="s">
        <v>82</v>
      </c>
      <c r="C76" t="s">
        <v>19</v>
      </c>
      <c r="D76" s="10">
        <v>93.8</v>
      </c>
      <c r="E76" s="1">
        <v>45858</v>
      </c>
      <c r="F76" s="6" t="s">
        <v>16</v>
      </c>
      <c r="G76" s="11">
        <v>88</v>
      </c>
      <c r="H76" s="11">
        <v>3</v>
      </c>
      <c r="I76" t="str">
        <f t="shared" si="2"/>
        <v>julio</v>
      </c>
      <c r="J76" t="str">
        <f t="shared" si="3"/>
        <v>domingo</v>
      </c>
    </row>
    <row r="77" spans="1:10" x14ac:dyDescent="0.3">
      <c r="A77" s="3">
        <v>280</v>
      </c>
      <c r="B77" t="s">
        <v>83</v>
      </c>
      <c r="C77" t="s">
        <v>24</v>
      </c>
      <c r="D77" s="10">
        <v>95.3</v>
      </c>
      <c r="E77" s="1">
        <v>45918</v>
      </c>
      <c r="F77" s="6" t="s">
        <v>16</v>
      </c>
      <c r="G77" s="11">
        <v>54</v>
      </c>
      <c r="H77" s="11">
        <v>3</v>
      </c>
      <c r="I77" t="str">
        <f t="shared" si="2"/>
        <v>septiembre</v>
      </c>
      <c r="J77" t="str">
        <f t="shared" si="3"/>
        <v>jueves</v>
      </c>
    </row>
    <row r="78" spans="1:10" x14ac:dyDescent="0.3">
      <c r="A78" s="3">
        <v>285</v>
      </c>
      <c r="B78" t="s">
        <v>84</v>
      </c>
      <c r="C78" t="s">
        <v>24</v>
      </c>
      <c r="D78" s="10">
        <v>77</v>
      </c>
      <c r="E78" s="1">
        <v>45957</v>
      </c>
      <c r="F78" s="6" t="s">
        <v>22</v>
      </c>
      <c r="G78" s="11">
        <v>89</v>
      </c>
      <c r="H78" s="11">
        <v>2</v>
      </c>
      <c r="I78" t="str">
        <f t="shared" si="2"/>
        <v>octubre</v>
      </c>
      <c r="J78" t="str">
        <f t="shared" si="3"/>
        <v>lunes</v>
      </c>
    </row>
    <row r="79" spans="1:10" x14ac:dyDescent="0.3">
      <c r="A79" s="3">
        <v>287</v>
      </c>
      <c r="B79" t="s">
        <v>85</v>
      </c>
      <c r="C79" t="s">
        <v>15</v>
      </c>
      <c r="D79" s="10">
        <v>62</v>
      </c>
      <c r="E79" s="1">
        <v>45744</v>
      </c>
      <c r="F79" s="6" t="s">
        <v>16</v>
      </c>
      <c r="G79" s="11">
        <v>100</v>
      </c>
      <c r="H79" s="11">
        <v>1</v>
      </c>
      <c r="I79" t="str">
        <f t="shared" si="2"/>
        <v>marzo</v>
      </c>
      <c r="J79" t="str">
        <f t="shared" si="3"/>
        <v>viernes</v>
      </c>
    </row>
    <row r="80" spans="1:10" x14ac:dyDescent="0.3">
      <c r="A80" s="3">
        <v>289</v>
      </c>
      <c r="B80" t="s">
        <v>86</v>
      </c>
      <c r="C80" t="s">
        <v>9</v>
      </c>
      <c r="D80" s="10">
        <v>95.3</v>
      </c>
      <c r="E80" s="1">
        <v>45936</v>
      </c>
      <c r="F80" s="6" t="s">
        <v>10</v>
      </c>
      <c r="G80" s="11">
        <v>47</v>
      </c>
      <c r="H80" s="11">
        <v>1</v>
      </c>
      <c r="I80" t="str">
        <f t="shared" si="2"/>
        <v>octubre</v>
      </c>
      <c r="J80" t="str">
        <f t="shared" si="3"/>
        <v>lunes</v>
      </c>
    </row>
    <row r="81" spans="1:10" x14ac:dyDescent="0.3">
      <c r="A81" s="3">
        <v>291</v>
      </c>
      <c r="B81" t="s">
        <v>87</v>
      </c>
      <c r="C81" t="s">
        <v>19</v>
      </c>
      <c r="D81" s="10">
        <v>70.599999999999994</v>
      </c>
      <c r="E81" s="1">
        <v>45806</v>
      </c>
      <c r="F81" s="6" t="s">
        <v>16</v>
      </c>
      <c r="G81" s="11">
        <v>12</v>
      </c>
      <c r="H81" s="11">
        <v>3</v>
      </c>
      <c r="I81" t="str">
        <f t="shared" si="2"/>
        <v>mayo</v>
      </c>
      <c r="J81" t="str">
        <f t="shared" si="3"/>
        <v>jueves</v>
      </c>
    </row>
    <row r="82" spans="1:10" x14ac:dyDescent="0.3">
      <c r="A82" s="3">
        <v>292</v>
      </c>
      <c r="B82" t="s">
        <v>88</v>
      </c>
      <c r="C82" t="s">
        <v>19</v>
      </c>
      <c r="D82" s="10">
        <v>54.7</v>
      </c>
      <c r="E82" s="1">
        <v>45659</v>
      </c>
      <c r="F82" s="6" t="s">
        <v>20</v>
      </c>
      <c r="G82" s="11">
        <v>70</v>
      </c>
      <c r="H82" s="11">
        <v>3</v>
      </c>
      <c r="I82" t="str">
        <f t="shared" si="2"/>
        <v>enero</v>
      </c>
      <c r="J82" t="str">
        <f t="shared" si="3"/>
        <v>jueves</v>
      </c>
    </row>
    <row r="83" spans="1:10" x14ac:dyDescent="0.3">
      <c r="A83" s="3">
        <v>295</v>
      </c>
      <c r="B83" t="s">
        <v>89</v>
      </c>
      <c r="C83" t="s">
        <v>9</v>
      </c>
      <c r="D83" s="10">
        <v>98.1</v>
      </c>
      <c r="E83" s="1">
        <v>45846</v>
      </c>
      <c r="F83" s="6" t="s">
        <v>22</v>
      </c>
      <c r="G83" s="11">
        <v>24</v>
      </c>
      <c r="H83" s="11">
        <v>3</v>
      </c>
      <c r="I83" t="str">
        <f t="shared" si="2"/>
        <v>julio</v>
      </c>
      <c r="J83" t="str">
        <f t="shared" si="3"/>
        <v>martes</v>
      </c>
    </row>
    <row r="84" spans="1:10" x14ac:dyDescent="0.3">
      <c r="A84" s="3">
        <v>296</v>
      </c>
      <c r="B84" t="s">
        <v>90</v>
      </c>
      <c r="C84" t="s">
        <v>24</v>
      </c>
      <c r="D84" s="10">
        <v>86.6</v>
      </c>
      <c r="E84" s="1">
        <v>45803</v>
      </c>
      <c r="F84" s="6" t="s">
        <v>22</v>
      </c>
      <c r="G84" s="11">
        <v>65</v>
      </c>
      <c r="H84" s="11">
        <v>3</v>
      </c>
      <c r="I84" t="str">
        <f t="shared" si="2"/>
        <v>mayo</v>
      </c>
      <c r="J84" t="str">
        <f t="shared" si="3"/>
        <v>lunes</v>
      </c>
    </row>
    <row r="85" spans="1:10" x14ac:dyDescent="0.3">
      <c r="A85" s="3">
        <v>300</v>
      </c>
      <c r="B85" t="s">
        <v>91</v>
      </c>
      <c r="C85" t="s">
        <v>19</v>
      </c>
      <c r="D85" s="10">
        <v>63.2</v>
      </c>
      <c r="E85" s="1">
        <v>45666</v>
      </c>
      <c r="F85" s="6" t="s">
        <v>16</v>
      </c>
      <c r="G85" s="11">
        <v>28</v>
      </c>
      <c r="H85" s="11">
        <v>1</v>
      </c>
      <c r="I85" t="str">
        <f t="shared" si="2"/>
        <v>enero</v>
      </c>
      <c r="J85" t="str">
        <f t="shared" si="3"/>
        <v>jueves</v>
      </c>
    </row>
    <row r="86" spans="1:10" x14ac:dyDescent="0.3">
      <c r="A86" s="3">
        <v>306</v>
      </c>
      <c r="B86" t="s">
        <v>92</v>
      </c>
      <c r="C86" t="s">
        <v>24</v>
      </c>
      <c r="D86" s="10">
        <v>72.8</v>
      </c>
      <c r="E86" s="1">
        <v>45779</v>
      </c>
      <c r="F86" s="6" t="s">
        <v>16</v>
      </c>
      <c r="G86" s="11">
        <v>90</v>
      </c>
      <c r="H86" s="11">
        <v>2</v>
      </c>
      <c r="I86" t="str">
        <f t="shared" si="2"/>
        <v>mayo</v>
      </c>
      <c r="J86" t="str">
        <f t="shared" si="3"/>
        <v>viernes</v>
      </c>
    </row>
    <row r="87" spans="1:10" x14ac:dyDescent="0.3">
      <c r="A87" s="3">
        <v>309</v>
      </c>
      <c r="B87" t="s">
        <v>93</v>
      </c>
      <c r="C87" t="s">
        <v>15</v>
      </c>
      <c r="D87" s="10">
        <v>75</v>
      </c>
      <c r="E87" s="1">
        <v>45785</v>
      </c>
      <c r="F87" s="6" t="s">
        <v>16</v>
      </c>
      <c r="G87" s="11">
        <v>63</v>
      </c>
      <c r="H87" s="11">
        <v>3</v>
      </c>
      <c r="I87" t="str">
        <f t="shared" si="2"/>
        <v>mayo</v>
      </c>
      <c r="J87" t="str">
        <f t="shared" si="3"/>
        <v>jueves</v>
      </c>
    </row>
    <row r="88" spans="1:10" x14ac:dyDescent="0.3">
      <c r="A88" s="3">
        <v>310</v>
      </c>
      <c r="B88" t="s">
        <v>94</v>
      </c>
      <c r="C88" t="s">
        <v>19</v>
      </c>
      <c r="D88" s="10">
        <v>57.7</v>
      </c>
      <c r="E88" s="1">
        <v>45970</v>
      </c>
      <c r="F88" s="6" t="s">
        <v>16</v>
      </c>
      <c r="G88" s="11">
        <v>100</v>
      </c>
      <c r="H88" s="11">
        <v>1</v>
      </c>
      <c r="I88" t="str">
        <f t="shared" si="2"/>
        <v>noviembre</v>
      </c>
      <c r="J88" t="str">
        <f t="shared" si="3"/>
        <v>domingo</v>
      </c>
    </row>
    <row r="89" spans="1:10" x14ac:dyDescent="0.3">
      <c r="A89" s="3">
        <v>311</v>
      </c>
      <c r="B89" t="s">
        <v>95</v>
      </c>
      <c r="C89" t="s">
        <v>12</v>
      </c>
      <c r="D89" s="10">
        <v>98.8</v>
      </c>
      <c r="E89" s="1">
        <v>45767</v>
      </c>
      <c r="F89" s="6" t="s">
        <v>13</v>
      </c>
      <c r="G89" s="11">
        <v>96</v>
      </c>
      <c r="H89" s="11">
        <v>3</v>
      </c>
      <c r="I89" t="str">
        <f t="shared" si="2"/>
        <v>abril</v>
      </c>
      <c r="J89" t="str">
        <f t="shared" si="3"/>
        <v>domingo</v>
      </c>
    </row>
    <row r="90" spans="1:10" x14ac:dyDescent="0.3">
      <c r="A90" s="3">
        <v>316</v>
      </c>
      <c r="B90" t="s">
        <v>96</v>
      </c>
      <c r="C90" t="s">
        <v>19</v>
      </c>
      <c r="D90" s="10">
        <v>72.599999999999994</v>
      </c>
      <c r="E90" s="1">
        <v>45866</v>
      </c>
      <c r="F90" s="6" t="s">
        <v>20</v>
      </c>
      <c r="G90" s="11">
        <v>34</v>
      </c>
      <c r="H90" s="11">
        <v>1</v>
      </c>
      <c r="I90" t="str">
        <f t="shared" si="2"/>
        <v>julio</v>
      </c>
      <c r="J90" t="str">
        <f t="shared" si="3"/>
        <v>lunes</v>
      </c>
    </row>
    <row r="91" spans="1:10" x14ac:dyDescent="0.3">
      <c r="A91" s="3">
        <v>318</v>
      </c>
      <c r="B91" t="s">
        <v>97</v>
      </c>
      <c r="C91" t="s">
        <v>9</v>
      </c>
      <c r="D91" s="10">
        <v>69.900000000000006</v>
      </c>
      <c r="E91" s="1">
        <v>45854</v>
      </c>
      <c r="F91" s="6" t="s">
        <v>22</v>
      </c>
      <c r="G91" s="11">
        <v>87</v>
      </c>
      <c r="H91" s="11">
        <v>1</v>
      </c>
      <c r="I91" t="str">
        <f t="shared" si="2"/>
        <v>julio</v>
      </c>
      <c r="J91" t="str">
        <f t="shared" si="3"/>
        <v>miércoles</v>
      </c>
    </row>
    <row r="92" spans="1:10" x14ac:dyDescent="0.3">
      <c r="A92" s="3">
        <v>320</v>
      </c>
      <c r="B92" t="s">
        <v>98</v>
      </c>
      <c r="C92" t="s">
        <v>24</v>
      </c>
      <c r="D92" s="10">
        <v>83</v>
      </c>
      <c r="E92" s="1">
        <v>45841</v>
      </c>
      <c r="F92" s="6" t="s">
        <v>16</v>
      </c>
      <c r="G92" s="11">
        <v>93</v>
      </c>
      <c r="H92" s="11">
        <v>2</v>
      </c>
      <c r="I92" t="str">
        <f t="shared" si="2"/>
        <v>julio</v>
      </c>
      <c r="J92" t="str">
        <f t="shared" si="3"/>
        <v>jueves</v>
      </c>
    </row>
    <row r="93" spans="1:10" x14ac:dyDescent="0.3">
      <c r="A93" s="3">
        <v>324</v>
      </c>
      <c r="B93" t="s">
        <v>99</v>
      </c>
      <c r="C93" t="s">
        <v>12</v>
      </c>
      <c r="D93" s="10">
        <v>75.900000000000006</v>
      </c>
      <c r="E93" s="1">
        <v>45683</v>
      </c>
      <c r="F93" s="6" t="s">
        <v>20</v>
      </c>
      <c r="G93" s="11">
        <v>90</v>
      </c>
      <c r="H93" s="11">
        <v>2</v>
      </c>
      <c r="I93" t="str">
        <f t="shared" si="2"/>
        <v>enero</v>
      </c>
      <c r="J93" t="str">
        <f t="shared" si="3"/>
        <v>domingo</v>
      </c>
    </row>
    <row r="94" spans="1:10" x14ac:dyDescent="0.3">
      <c r="A94" s="3">
        <v>327</v>
      </c>
      <c r="B94" t="s">
        <v>100</v>
      </c>
      <c r="C94" t="s">
        <v>15</v>
      </c>
      <c r="D94" s="10">
        <v>78.8</v>
      </c>
      <c r="E94" s="1">
        <v>45679</v>
      </c>
      <c r="F94" s="6" t="s">
        <v>16</v>
      </c>
      <c r="G94" s="11">
        <v>100</v>
      </c>
      <c r="H94" s="11">
        <v>1</v>
      </c>
      <c r="I94" t="str">
        <f t="shared" si="2"/>
        <v>enero</v>
      </c>
      <c r="J94" t="str">
        <f t="shared" si="3"/>
        <v>miércoles</v>
      </c>
    </row>
    <row r="95" spans="1:10" x14ac:dyDescent="0.3">
      <c r="A95" s="3">
        <v>330</v>
      </c>
      <c r="B95" t="s">
        <v>101</v>
      </c>
      <c r="C95" t="s">
        <v>12</v>
      </c>
      <c r="D95" s="10">
        <v>65.099999999999994</v>
      </c>
      <c r="E95" s="1">
        <v>45872</v>
      </c>
      <c r="F95" s="6" t="s">
        <v>13</v>
      </c>
      <c r="G95" s="11">
        <v>100</v>
      </c>
      <c r="H95" s="11">
        <v>1</v>
      </c>
      <c r="I95" t="str">
        <f t="shared" si="2"/>
        <v>agosto</v>
      </c>
      <c r="J95" t="str">
        <f t="shared" si="3"/>
        <v>domingo</v>
      </c>
    </row>
    <row r="96" spans="1:10" x14ac:dyDescent="0.3">
      <c r="A96" s="3">
        <v>335</v>
      </c>
      <c r="B96" t="s">
        <v>102</v>
      </c>
      <c r="C96" t="s">
        <v>24</v>
      </c>
      <c r="D96" s="10">
        <v>75.900000000000006</v>
      </c>
      <c r="E96" s="1">
        <v>45930</v>
      </c>
      <c r="F96" s="6" t="s">
        <v>16</v>
      </c>
      <c r="G96" s="11">
        <v>87</v>
      </c>
      <c r="H96" s="11">
        <v>2</v>
      </c>
      <c r="I96" t="str">
        <f t="shared" si="2"/>
        <v>septiembre</v>
      </c>
      <c r="J96" t="str">
        <f t="shared" si="3"/>
        <v>martes</v>
      </c>
    </row>
    <row r="97" spans="1:10" x14ac:dyDescent="0.3">
      <c r="A97" s="3">
        <v>336</v>
      </c>
      <c r="B97" t="s">
        <v>103</v>
      </c>
      <c r="C97" t="s">
        <v>24</v>
      </c>
      <c r="D97" s="10">
        <v>81.599999999999994</v>
      </c>
      <c r="E97" s="1">
        <v>45685</v>
      </c>
      <c r="F97" s="6" t="s">
        <v>16</v>
      </c>
      <c r="G97" s="11">
        <v>90</v>
      </c>
      <c r="H97" s="11">
        <v>2</v>
      </c>
      <c r="I97" t="str">
        <f t="shared" si="2"/>
        <v>enero</v>
      </c>
      <c r="J97" t="str">
        <f t="shared" si="3"/>
        <v>martes</v>
      </c>
    </row>
    <row r="98" spans="1:10" x14ac:dyDescent="0.3">
      <c r="A98" s="3">
        <v>342</v>
      </c>
      <c r="B98" t="s">
        <v>104</v>
      </c>
      <c r="C98" t="s">
        <v>15</v>
      </c>
      <c r="D98" s="10">
        <v>76.7</v>
      </c>
      <c r="E98" s="1">
        <v>45762</v>
      </c>
      <c r="F98" s="6" t="s">
        <v>16</v>
      </c>
      <c r="G98" s="11">
        <v>37</v>
      </c>
      <c r="H98" s="11">
        <v>3</v>
      </c>
      <c r="I98" t="str">
        <f t="shared" si="2"/>
        <v>abril</v>
      </c>
      <c r="J98" t="str">
        <f t="shared" si="3"/>
        <v>martes</v>
      </c>
    </row>
    <row r="99" spans="1:10" x14ac:dyDescent="0.3">
      <c r="A99" s="3">
        <v>344</v>
      </c>
      <c r="B99" t="s">
        <v>105</v>
      </c>
      <c r="C99" t="s">
        <v>24</v>
      </c>
      <c r="D99" s="10">
        <v>98.3</v>
      </c>
      <c r="E99" s="1">
        <v>45749</v>
      </c>
      <c r="F99" s="6" t="s">
        <v>16</v>
      </c>
      <c r="G99" s="11">
        <v>86</v>
      </c>
      <c r="H99" s="11">
        <v>1</v>
      </c>
      <c r="I99" t="str">
        <f t="shared" si="2"/>
        <v>abril</v>
      </c>
      <c r="J99" t="str">
        <f t="shared" si="3"/>
        <v>miércoles</v>
      </c>
    </row>
    <row r="100" spans="1:10" x14ac:dyDescent="0.3">
      <c r="A100" s="3">
        <v>354</v>
      </c>
      <c r="B100" t="s">
        <v>106</v>
      </c>
      <c r="C100" t="s">
        <v>12</v>
      </c>
      <c r="D100" s="10">
        <v>69.7</v>
      </c>
      <c r="E100" s="1">
        <v>45706</v>
      </c>
      <c r="F100" s="6" t="s">
        <v>13</v>
      </c>
      <c r="G100" s="11">
        <v>70</v>
      </c>
      <c r="H100" s="11">
        <v>3</v>
      </c>
      <c r="I100" t="str">
        <f t="shared" si="2"/>
        <v>febrero</v>
      </c>
      <c r="J100" t="str">
        <f t="shared" si="3"/>
        <v>martes</v>
      </c>
    </row>
    <row r="101" spans="1:10" x14ac:dyDescent="0.3">
      <c r="A101" s="3">
        <v>367</v>
      </c>
      <c r="B101" t="s">
        <v>107</v>
      </c>
      <c r="C101" t="s">
        <v>12</v>
      </c>
      <c r="D101" s="10">
        <v>54.6</v>
      </c>
      <c r="E101" s="1">
        <v>45770</v>
      </c>
      <c r="F101" s="6" t="s">
        <v>13</v>
      </c>
      <c r="G101" s="11">
        <v>47</v>
      </c>
      <c r="H101" s="11">
        <v>2</v>
      </c>
      <c r="I101" t="str">
        <f t="shared" si="2"/>
        <v>abril</v>
      </c>
      <c r="J101" t="str">
        <f t="shared" si="3"/>
        <v>miércoles</v>
      </c>
    </row>
    <row r="102" spans="1:10" x14ac:dyDescent="0.3">
      <c r="A102" s="3">
        <v>372</v>
      </c>
      <c r="B102" t="s">
        <v>108</v>
      </c>
      <c r="C102" t="s">
        <v>12</v>
      </c>
      <c r="D102" s="10">
        <v>97.2</v>
      </c>
      <c r="E102" s="1">
        <v>45843</v>
      </c>
      <c r="F102" s="6" t="s">
        <v>20</v>
      </c>
      <c r="G102" s="11">
        <v>100</v>
      </c>
      <c r="H102" s="11">
        <v>1</v>
      </c>
      <c r="I102" t="str">
        <f t="shared" si="2"/>
        <v>julio</v>
      </c>
      <c r="J102" t="str">
        <f t="shared" si="3"/>
        <v>sábado</v>
      </c>
    </row>
    <row r="103" spans="1:10" x14ac:dyDescent="0.3">
      <c r="A103" s="3">
        <v>373</v>
      </c>
      <c r="B103" t="s">
        <v>109</v>
      </c>
      <c r="C103" t="s">
        <v>15</v>
      </c>
      <c r="D103" s="10">
        <v>62.8</v>
      </c>
      <c r="E103" s="1">
        <v>45696</v>
      </c>
      <c r="F103" s="6" t="s">
        <v>16</v>
      </c>
      <c r="G103" s="11">
        <v>0</v>
      </c>
      <c r="H103" s="11">
        <v>1</v>
      </c>
      <c r="I103" t="str">
        <f t="shared" si="2"/>
        <v>febrero</v>
      </c>
      <c r="J103" t="str">
        <f t="shared" si="3"/>
        <v>sábado</v>
      </c>
    </row>
    <row r="104" spans="1:10" x14ac:dyDescent="0.3">
      <c r="A104" s="3">
        <v>376</v>
      </c>
      <c r="B104" t="s">
        <v>110</v>
      </c>
      <c r="C104" t="s">
        <v>12</v>
      </c>
      <c r="D104" s="10">
        <v>56.4</v>
      </c>
      <c r="E104" s="1">
        <v>45748</v>
      </c>
      <c r="F104" s="6" t="s">
        <v>13</v>
      </c>
      <c r="G104" s="11">
        <v>65</v>
      </c>
      <c r="H104" s="11">
        <v>2</v>
      </c>
      <c r="I104" t="str">
        <f t="shared" si="2"/>
        <v>abril</v>
      </c>
      <c r="J104" t="str">
        <f t="shared" si="3"/>
        <v>martes</v>
      </c>
    </row>
    <row r="105" spans="1:10" x14ac:dyDescent="0.3">
      <c r="A105" s="3">
        <v>379</v>
      </c>
      <c r="B105" t="s">
        <v>111</v>
      </c>
      <c r="C105" t="s">
        <v>9</v>
      </c>
      <c r="D105" s="10">
        <v>91.7</v>
      </c>
      <c r="E105" s="1">
        <v>45739</v>
      </c>
      <c r="F105" s="6" t="s">
        <v>22</v>
      </c>
      <c r="G105" s="11">
        <v>46</v>
      </c>
      <c r="H105" s="11">
        <v>3</v>
      </c>
      <c r="I105" t="str">
        <f t="shared" si="2"/>
        <v>marzo</v>
      </c>
      <c r="J105" t="str">
        <f t="shared" si="3"/>
        <v>domingo</v>
      </c>
    </row>
    <row r="106" spans="1:10" x14ac:dyDescent="0.3">
      <c r="A106" s="3">
        <v>383</v>
      </c>
      <c r="B106" t="s">
        <v>112</v>
      </c>
      <c r="C106" t="s">
        <v>24</v>
      </c>
      <c r="D106" s="10">
        <v>85.4</v>
      </c>
      <c r="E106" s="1">
        <v>45750</v>
      </c>
      <c r="F106" s="6" t="s">
        <v>16</v>
      </c>
      <c r="G106" s="11">
        <v>62</v>
      </c>
      <c r="H106" s="11">
        <v>3</v>
      </c>
      <c r="I106" t="str">
        <f t="shared" si="2"/>
        <v>abril</v>
      </c>
      <c r="J106" t="str">
        <f t="shared" si="3"/>
        <v>jueves</v>
      </c>
    </row>
    <row r="107" spans="1:10" x14ac:dyDescent="0.3">
      <c r="A107" s="3">
        <v>389</v>
      </c>
      <c r="B107" t="s">
        <v>113</v>
      </c>
      <c r="C107" t="s">
        <v>15</v>
      </c>
      <c r="D107" s="10">
        <v>70.5</v>
      </c>
      <c r="E107" s="1">
        <v>45629</v>
      </c>
      <c r="F107" s="6" t="s">
        <v>16</v>
      </c>
      <c r="G107" s="11">
        <v>53</v>
      </c>
      <c r="H107" s="11">
        <v>1</v>
      </c>
      <c r="I107" t="str">
        <f t="shared" si="2"/>
        <v>diciembre</v>
      </c>
      <c r="J107" t="str">
        <f t="shared" si="3"/>
        <v>martes</v>
      </c>
    </row>
    <row r="108" spans="1:10" x14ac:dyDescent="0.3">
      <c r="A108" s="3">
        <v>390</v>
      </c>
      <c r="B108" t="s">
        <v>114</v>
      </c>
      <c r="C108" t="s">
        <v>9</v>
      </c>
      <c r="D108" s="10">
        <v>86.2</v>
      </c>
      <c r="E108" s="1">
        <v>45846</v>
      </c>
      <c r="F108" s="6" t="s">
        <v>10</v>
      </c>
      <c r="G108" s="11">
        <v>39</v>
      </c>
      <c r="H108" s="11">
        <v>3</v>
      </c>
      <c r="I108" t="str">
        <f t="shared" si="2"/>
        <v>julio</v>
      </c>
      <c r="J108" t="str">
        <f t="shared" si="3"/>
        <v>martes</v>
      </c>
    </row>
    <row r="109" spans="1:10" x14ac:dyDescent="0.3">
      <c r="A109" s="3">
        <v>400</v>
      </c>
      <c r="B109" t="s">
        <v>115</v>
      </c>
      <c r="C109" t="s">
        <v>19</v>
      </c>
      <c r="D109" s="10">
        <v>69.8</v>
      </c>
      <c r="E109" s="1">
        <v>45633</v>
      </c>
      <c r="F109" s="6" t="s">
        <v>20</v>
      </c>
      <c r="G109" s="11">
        <v>39</v>
      </c>
      <c r="H109" s="11">
        <v>3</v>
      </c>
      <c r="I109" t="str">
        <f t="shared" si="2"/>
        <v>diciembre</v>
      </c>
      <c r="J109" t="str">
        <f t="shared" si="3"/>
        <v>sábado</v>
      </c>
    </row>
    <row r="110" spans="1:10" x14ac:dyDescent="0.3">
      <c r="A110" s="3">
        <v>403</v>
      </c>
      <c r="B110" t="s">
        <v>116</v>
      </c>
      <c r="C110" t="s">
        <v>9</v>
      </c>
      <c r="D110" s="10">
        <v>71.400000000000006</v>
      </c>
      <c r="E110" s="1">
        <v>45864</v>
      </c>
      <c r="F110" s="6" t="s">
        <v>10</v>
      </c>
      <c r="G110" s="11">
        <v>90</v>
      </c>
      <c r="H110" s="11">
        <v>2</v>
      </c>
      <c r="I110" t="str">
        <f t="shared" si="2"/>
        <v>julio</v>
      </c>
      <c r="J110" t="str">
        <f t="shared" si="3"/>
        <v>sábado</v>
      </c>
    </row>
    <row r="111" spans="1:10" x14ac:dyDescent="0.3">
      <c r="A111" s="3">
        <v>404</v>
      </c>
      <c r="B111" t="s">
        <v>117</v>
      </c>
      <c r="C111" t="s">
        <v>9</v>
      </c>
      <c r="D111" s="10">
        <v>86.9</v>
      </c>
      <c r="E111" s="1">
        <v>45857</v>
      </c>
      <c r="F111" s="6" t="s">
        <v>10</v>
      </c>
      <c r="G111" s="11">
        <v>44</v>
      </c>
      <c r="H111" s="11">
        <v>1</v>
      </c>
      <c r="I111" t="str">
        <f t="shared" si="2"/>
        <v>julio</v>
      </c>
      <c r="J111" t="str">
        <f t="shared" si="3"/>
        <v>sábado</v>
      </c>
    </row>
    <row r="112" spans="1:10" x14ac:dyDescent="0.3">
      <c r="A112" s="3">
        <v>411</v>
      </c>
      <c r="B112" t="s">
        <v>118</v>
      </c>
      <c r="C112" t="s">
        <v>15</v>
      </c>
      <c r="D112" s="10">
        <v>80.400000000000006</v>
      </c>
      <c r="E112" s="1">
        <v>45886</v>
      </c>
      <c r="F112" s="6" t="s">
        <v>16</v>
      </c>
      <c r="G112" s="11">
        <v>33</v>
      </c>
      <c r="H112" s="11">
        <v>1</v>
      </c>
      <c r="I112" t="str">
        <f t="shared" si="2"/>
        <v>agosto</v>
      </c>
      <c r="J112" t="str">
        <f t="shared" si="3"/>
        <v>domingo</v>
      </c>
    </row>
    <row r="113" spans="1:10" x14ac:dyDescent="0.3">
      <c r="A113" s="3">
        <v>413</v>
      </c>
      <c r="B113" t="s">
        <v>119</v>
      </c>
      <c r="C113" t="s">
        <v>19</v>
      </c>
      <c r="D113" s="10">
        <v>75.8</v>
      </c>
      <c r="E113" s="1">
        <v>45784</v>
      </c>
      <c r="F113" s="6" t="s">
        <v>16</v>
      </c>
      <c r="G113" s="11">
        <v>65</v>
      </c>
      <c r="H113" s="11">
        <v>2</v>
      </c>
      <c r="I113" t="str">
        <f t="shared" si="2"/>
        <v>mayo</v>
      </c>
      <c r="J113" t="str">
        <f t="shared" si="3"/>
        <v>miércoles</v>
      </c>
    </row>
    <row r="114" spans="1:10" x14ac:dyDescent="0.3">
      <c r="A114" s="3">
        <v>414</v>
      </c>
      <c r="B114" t="s">
        <v>120</v>
      </c>
      <c r="C114" t="s">
        <v>19</v>
      </c>
      <c r="D114" s="10">
        <v>65.599999999999994</v>
      </c>
      <c r="E114" s="1">
        <v>45830</v>
      </c>
      <c r="F114" s="6" t="s">
        <v>20</v>
      </c>
      <c r="G114" s="11">
        <v>100</v>
      </c>
      <c r="H114" s="11">
        <v>1</v>
      </c>
      <c r="I114" t="str">
        <f t="shared" si="2"/>
        <v>junio</v>
      </c>
      <c r="J114" t="str">
        <f t="shared" si="3"/>
        <v>domingo</v>
      </c>
    </row>
    <row r="115" spans="1:10" x14ac:dyDescent="0.3">
      <c r="A115" s="3">
        <v>420</v>
      </c>
      <c r="B115" t="s">
        <v>121</v>
      </c>
      <c r="C115" t="s">
        <v>12</v>
      </c>
      <c r="D115" s="10">
        <v>52.4</v>
      </c>
      <c r="E115" s="1">
        <v>45951</v>
      </c>
      <c r="F115" s="6" t="s">
        <v>20</v>
      </c>
      <c r="G115" s="11">
        <v>24</v>
      </c>
      <c r="H115" s="11">
        <v>3</v>
      </c>
      <c r="I115" t="str">
        <f t="shared" si="2"/>
        <v>octubre</v>
      </c>
      <c r="J115" t="str">
        <f t="shared" si="3"/>
        <v>martes</v>
      </c>
    </row>
    <row r="116" spans="1:10" x14ac:dyDescent="0.3">
      <c r="A116" s="3">
        <v>424</v>
      </c>
      <c r="B116" t="s">
        <v>122</v>
      </c>
      <c r="C116" t="s">
        <v>19</v>
      </c>
      <c r="D116" s="10">
        <v>97.6</v>
      </c>
      <c r="E116" s="1">
        <v>45756</v>
      </c>
      <c r="F116" s="6" t="s">
        <v>22</v>
      </c>
      <c r="G116" s="11">
        <v>14</v>
      </c>
      <c r="H116" s="11">
        <v>3</v>
      </c>
      <c r="I116" t="str">
        <f t="shared" si="2"/>
        <v>abril</v>
      </c>
      <c r="J116" t="str">
        <f t="shared" si="3"/>
        <v>miércoles</v>
      </c>
    </row>
    <row r="117" spans="1:10" x14ac:dyDescent="0.3">
      <c r="A117" s="3">
        <v>429</v>
      </c>
      <c r="B117" t="s">
        <v>123</v>
      </c>
      <c r="C117" t="s">
        <v>24</v>
      </c>
      <c r="D117" s="10">
        <v>89.3</v>
      </c>
      <c r="E117" s="1">
        <v>45763</v>
      </c>
      <c r="F117" s="6" t="s">
        <v>22</v>
      </c>
      <c r="G117" s="11">
        <v>87</v>
      </c>
      <c r="H117" s="11">
        <v>1</v>
      </c>
      <c r="I117" t="str">
        <f t="shared" si="2"/>
        <v>abril</v>
      </c>
      <c r="J117" t="str">
        <f t="shared" si="3"/>
        <v>miércoles</v>
      </c>
    </row>
    <row r="118" spans="1:10" x14ac:dyDescent="0.3">
      <c r="A118" s="3">
        <v>434</v>
      </c>
      <c r="B118" t="s">
        <v>124</v>
      </c>
      <c r="C118" t="s">
        <v>12</v>
      </c>
      <c r="D118" s="10">
        <v>70.400000000000006</v>
      </c>
      <c r="E118" s="1">
        <v>45805</v>
      </c>
      <c r="F118" s="6" t="s">
        <v>20</v>
      </c>
      <c r="G118" s="11">
        <v>72</v>
      </c>
      <c r="H118" s="11">
        <v>3</v>
      </c>
      <c r="I118" t="str">
        <f t="shared" si="2"/>
        <v>mayo</v>
      </c>
      <c r="J118" t="str">
        <f t="shared" si="3"/>
        <v>miércoles</v>
      </c>
    </row>
    <row r="119" spans="1:10" x14ac:dyDescent="0.3">
      <c r="A119" s="3">
        <v>435</v>
      </c>
      <c r="B119" t="s">
        <v>125</v>
      </c>
      <c r="C119" t="s">
        <v>15</v>
      </c>
      <c r="D119" s="10">
        <v>74.099999999999994</v>
      </c>
      <c r="E119" s="1">
        <v>45716</v>
      </c>
      <c r="F119" s="6" t="s">
        <v>16</v>
      </c>
      <c r="G119" s="11">
        <v>90</v>
      </c>
      <c r="H119" s="11">
        <v>2</v>
      </c>
      <c r="I119" t="str">
        <f t="shared" si="2"/>
        <v>febrero</v>
      </c>
      <c r="J119" t="str">
        <f t="shared" si="3"/>
        <v>viernes</v>
      </c>
    </row>
    <row r="120" spans="1:10" x14ac:dyDescent="0.3">
      <c r="A120" s="3">
        <v>438</v>
      </c>
      <c r="B120" t="s">
        <v>126</v>
      </c>
      <c r="C120" t="s">
        <v>24</v>
      </c>
      <c r="D120" s="10">
        <v>99.1</v>
      </c>
      <c r="E120" s="1">
        <v>45843</v>
      </c>
      <c r="F120" s="6" t="s">
        <v>16</v>
      </c>
      <c r="G120" s="11">
        <v>20</v>
      </c>
      <c r="H120" s="11">
        <v>3</v>
      </c>
      <c r="I120" t="str">
        <f t="shared" si="2"/>
        <v>julio</v>
      </c>
      <c r="J120" t="str">
        <f t="shared" si="3"/>
        <v>sábado</v>
      </c>
    </row>
    <row r="121" spans="1:10" x14ac:dyDescent="0.3">
      <c r="A121" s="3">
        <v>439</v>
      </c>
      <c r="B121" t="s">
        <v>127</v>
      </c>
      <c r="C121" t="s">
        <v>9</v>
      </c>
      <c r="D121" s="10">
        <v>97.3</v>
      </c>
      <c r="E121" s="1">
        <v>45843</v>
      </c>
      <c r="F121" s="6" t="s">
        <v>22</v>
      </c>
      <c r="G121" s="11">
        <v>42</v>
      </c>
      <c r="H121" s="11">
        <v>3</v>
      </c>
      <c r="I121" t="str">
        <f t="shared" si="2"/>
        <v>julio</v>
      </c>
      <c r="J121" t="str">
        <f t="shared" si="3"/>
        <v>sábado</v>
      </c>
    </row>
    <row r="122" spans="1:10" x14ac:dyDescent="0.3">
      <c r="A122" s="3">
        <v>440</v>
      </c>
      <c r="B122" t="s">
        <v>128</v>
      </c>
      <c r="C122" t="s">
        <v>24</v>
      </c>
      <c r="D122" s="10">
        <v>74.599999999999994</v>
      </c>
      <c r="E122" s="1">
        <v>45941</v>
      </c>
      <c r="F122" s="6" t="s">
        <v>16</v>
      </c>
      <c r="G122" s="11">
        <v>41</v>
      </c>
      <c r="H122" s="11">
        <v>3</v>
      </c>
      <c r="I122" t="str">
        <f t="shared" si="2"/>
        <v>octubre</v>
      </c>
      <c r="J122" t="str">
        <f t="shared" si="3"/>
        <v>sábado</v>
      </c>
    </row>
    <row r="123" spans="1:10" x14ac:dyDescent="0.3">
      <c r="A123" s="3">
        <v>444</v>
      </c>
      <c r="B123" t="s">
        <v>129</v>
      </c>
      <c r="C123" t="s">
        <v>9</v>
      </c>
      <c r="D123" s="10">
        <v>60.6</v>
      </c>
      <c r="E123" s="1">
        <v>45922</v>
      </c>
      <c r="F123" s="6" t="s">
        <v>22</v>
      </c>
      <c r="G123" s="11">
        <v>11</v>
      </c>
      <c r="H123" s="11">
        <v>3</v>
      </c>
      <c r="I123" t="str">
        <f t="shared" si="2"/>
        <v>septiembre</v>
      </c>
      <c r="J123" t="str">
        <f t="shared" si="3"/>
        <v>lunes</v>
      </c>
    </row>
    <row r="124" spans="1:10" x14ac:dyDescent="0.3">
      <c r="A124" s="3">
        <v>446</v>
      </c>
      <c r="B124" t="s">
        <v>130</v>
      </c>
      <c r="C124" t="s">
        <v>9</v>
      </c>
      <c r="D124" s="10">
        <v>64.599999999999994</v>
      </c>
      <c r="E124" s="1">
        <v>45672</v>
      </c>
      <c r="F124" s="6" t="s">
        <v>10</v>
      </c>
      <c r="G124" s="11">
        <v>90</v>
      </c>
      <c r="H124" s="11">
        <v>2</v>
      </c>
      <c r="I124" t="str">
        <f t="shared" si="2"/>
        <v>enero</v>
      </c>
      <c r="J124" t="str">
        <f t="shared" si="3"/>
        <v>miércoles</v>
      </c>
    </row>
    <row r="125" spans="1:10" x14ac:dyDescent="0.3">
      <c r="A125" s="3">
        <v>458</v>
      </c>
      <c r="B125" t="s">
        <v>131</v>
      </c>
      <c r="C125" t="s">
        <v>15</v>
      </c>
      <c r="D125" s="10">
        <v>57.4</v>
      </c>
      <c r="E125" s="1">
        <v>45743</v>
      </c>
      <c r="F125" s="6" t="s">
        <v>16</v>
      </c>
      <c r="G125" s="11">
        <v>91</v>
      </c>
      <c r="H125" s="11">
        <v>1</v>
      </c>
      <c r="I125" t="str">
        <f t="shared" si="2"/>
        <v>marzo</v>
      </c>
      <c r="J125" t="str">
        <f t="shared" si="3"/>
        <v>jueves</v>
      </c>
    </row>
    <row r="126" spans="1:10" x14ac:dyDescent="0.3">
      <c r="A126" s="3">
        <v>466</v>
      </c>
      <c r="B126" t="s">
        <v>132</v>
      </c>
      <c r="C126" t="s">
        <v>12</v>
      </c>
      <c r="D126" s="10">
        <v>53.7</v>
      </c>
      <c r="E126" s="1">
        <v>45712</v>
      </c>
      <c r="F126" s="6" t="s">
        <v>13</v>
      </c>
      <c r="G126" s="11">
        <v>96</v>
      </c>
      <c r="H126" s="11">
        <v>1</v>
      </c>
      <c r="I126" t="str">
        <f t="shared" si="2"/>
        <v>febrero</v>
      </c>
      <c r="J126" t="str">
        <f t="shared" si="3"/>
        <v>lunes</v>
      </c>
    </row>
    <row r="127" spans="1:10" x14ac:dyDescent="0.3">
      <c r="A127" s="3">
        <v>469</v>
      </c>
      <c r="B127" t="s">
        <v>133</v>
      </c>
      <c r="C127" t="s">
        <v>12</v>
      </c>
      <c r="D127" s="10">
        <v>72.2</v>
      </c>
      <c r="E127" s="1">
        <v>45700</v>
      </c>
      <c r="F127" s="6" t="s">
        <v>20</v>
      </c>
      <c r="G127" s="11">
        <v>62</v>
      </c>
      <c r="H127" s="11">
        <v>1</v>
      </c>
      <c r="I127" t="str">
        <f t="shared" si="2"/>
        <v>febrero</v>
      </c>
      <c r="J127" t="str">
        <f t="shared" si="3"/>
        <v>miércoles</v>
      </c>
    </row>
    <row r="128" spans="1:10" x14ac:dyDescent="0.3">
      <c r="A128" s="3">
        <v>480</v>
      </c>
      <c r="B128" t="s">
        <v>134</v>
      </c>
      <c r="C128" t="s">
        <v>12</v>
      </c>
      <c r="D128" s="10">
        <v>98.8</v>
      </c>
      <c r="E128" s="1">
        <v>45920</v>
      </c>
      <c r="F128" s="6" t="s">
        <v>20</v>
      </c>
      <c r="G128" s="11">
        <v>25</v>
      </c>
      <c r="H128" s="11">
        <v>1</v>
      </c>
      <c r="I128" t="str">
        <f t="shared" si="2"/>
        <v>septiembre</v>
      </c>
      <c r="J128" t="str">
        <f t="shared" si="3"/>
        <v>sábado</v>
      </c>
    </row>
    <row r="129" spans="1:10" x14ac:dyDescent="0.3">
      <c r="A129" s="3">
        <v>483</v>
      </c>
      <c r="B129" t="s">
        <v>135</v>
      </c>
      <c r="C129" t="s">
        <v>19</v>
      </c>
      <c r="D129" s="10">
        <v>56.7</v>
      </c>
      <c r="E129" s="1">
        <v>45704</v>
      </c>
      <c r="F129" s="6" t="s">
        <v>20</v>
      </c>
      <c r="G129" s="11">
        <v>38</v>
      </c>
      <c r="H129" s="11">
        <v>3</v>
      </c>
      <c r="I129" t="str">
        <f t="shared" si="2"/>
        <v>febrero</v>
      </c>
      <c r="J129" t="str">
        <f t="shared" si="3"/>
        <v>domingo</v>
      </c>
    </row>
    <row r="130" spans="1:10" x14ac:dyDescent="0.3">
      <c r="A130" s="3">
        <v>488</v>
      </c>
      <c r="B130" t="s">
        <v>136</v>
      </c>
      <c r="C130" t="s">
        <v>24</v>
      </c>
      <c r="D130" s="10">
        <v>75.599999999999994</v>
      </c>
      <c r="E130" s="1">
        <v>45641</v>
      </c>
      <c r="F130" s="6" t="s">
        <v>16</v>
      </c>
      <c r="G130" s="11">
        <v>97</v>
      </c>
      <c r="H130" s="11">
        <v>2</v>
      </c>
      <c r="I130" t="str">
        <f t="shared" si="2"/>
        <v>diciembre</v>
      </c>
      <c r="J130" t="str">
        <f t="shared" si="3"/>
        <v>domingo</v>
      </c>
    </row>
    <row r="131" spans="1:10" x14ac:dyDescent="0.3">
      <c r="A131" s="3">
        <v>492</v>
      </c>
      <c r="B131" t="s">
        <v>137</v>
      </c>
      <c r="C131" t="s">
        <v>15</v>
      </c>
      <c r="D131" s="10">
        <v>52.8</v>
      </c>
      <c r="E131" s="1">
        <v>45732</v>
      </c>
      <c r="F131" s="6" t="s">
        <v>16</v>
      </c>
      <c r="G131" s="11">
        <v>81</v>
      </c>
      <c r="H131" s="11">
        <v>2</v>
      </c>
      <c r="I131" t="str">
        <f t="shared" ref="I131:I194" si="4">TEXT(E131,"MMMM")</f>
        <v>marzo</v>
      </c>
      <c r="J131" t="str">
        <f t="shared" ref="J131:J194" si="5">TEXT(E131,"DDDD")</f>
        <v>domingo</v>
      </c>
    </row>
    <row r="132" spans="1:10" x14ac:dyDescent="0.3">
      <c r="A132" s="3">
        <v>493</v>
      </c>
      <c r="B132" t="s">
        <v>138</v>
      </c>
      <c r="C132" t="s">
        <v>15</v>
      </c>
      <c r="D132" s="10">
        <v>98.9</v>
      </c>
      <c r="E132" s="1">
        <v>45705</v>
      </c>
      <c r="F132" s="6" t="s">
        <v>16</v>
      </c>
      <c r="G132" s="11">
        <v>40</v>
      </c>
      <c r="H132" s="11">
        <v>2</v>
      </c>
      <c r="I132" t="str">
        <f t="shared" si="4"/>
        <v>febrero</v>
      </c>
      <c r="J132" t="str">
        <f t="shared" si="5"/>
        <v>lunes</v>
      </c>
    </row>
    <row r="133" spans="1:10" x14ac:dyDescent="0.3">
      <c r="A133" s="3">
        <v>494</v>
      </c>
      <c r="B133" t="s">
        <v>139</v>
      </c>
      <c r="C133" t="s">
        <v>12</v>
      </c>
      <c r="D133" s="10">
        <v>67.5</v>
      </c>
      <c r="E133" s="1">
        <v>45944</v>
      </c>
      <c r="F133" s="6" t="s">
        <v>13</v>
      </c>
      <c r="G133" s="11">
        <v>90</v>
      </c>
      <c r="H133" s="11">
        <v>3</v>
      </c>
      <c r="I133" t="str">
        <f t="shared" si="4"/>
        <v>octubre</v>
      </c>
      <c r="J133" t="str">
        <f t="shared" si="5"/>
        <v>martes</v>
      </c>
    </row>
    <row r="134" spans="1:10" x14ac:dyDescent="0.3">
      <c r="A134" s="3">
        <v>504</v>
      </c>
      <c r="B134" t="s">
        <v>140</v>
      </c>
      <c r="C134" t="s">
        <v>24</v>
      </c>
      <c r="D134" s="10">
        <v>57.2</v>
      </c>
      <c r="E134" s="1">
        <v>45792</v>
      </c>
      <c r="F134" s="6" t="s">
        <v>16</v>
      </c>
      <c r="G134" s="11">
        <v>92</v>
      </c>
      <c r="H134" s="11">
        <v>2</v>
      </c>
      <c r="I134" t="str">
        <f t="shared" si="4"/>
        <v>mayo</v>
      </c>
      <c r="J134" t="str">
        <f t="shared" si="5"/>
        <v>jueves</v>
      </c>
    </row>
    <row r="135" spans="1:10" x14ac:dyDescent="0.3">
      <c r="A135" s="3">
        <v>505</v>
      </c>
      <c r="B135" t="s">
        <v>141</v>
      </c>
      <c r="C135" t="s">
        <v>24</v>
      </c>
      <c r="D135" s="10">
        <v>87.7</v>
      </c>
      <c r="E135" s="1">
        <v>45924</v>
      </c>
      <c r="F135" s="6" t="s">
        <v>22</v>
      </c>
      <c r="G135" s="11">
        <v>100</v>
      </c>
      <c r="H135" s="11">
        <v>1</v>
      </c>
      <c r="I135" t="str">
        <f t="shared" si="4"/>
        <v>septiembre</v>
      </c>
      <c r="J135" t="str">
        <f t="shared" si="5"/>
        <v>miércoles</v>
      </c>
    </row>
    <row r="136" spans="1:10" x14ac:dyDescent="0.3">
      <c r="A136" s="3">
        <v>509</v>
      </c>
      <c r="B136" t="s">
        <v>142</v>
      </c>
      <c r="C136" t="s">
        <v>15</v>
      </c>
      <c r="D136" s="10">
        <v>73.900000000000006</v>
      </c>
      <c r="E136" s="1">
        <v>45788</v>
      </c>
      <c r="F136" s="6" t="s">
        <v>16</v>
      </c>
      <c r="G136" s="11">
        <v>22</v>
      </c>
      <c r="H136" s="11">
        <v>3</v>
      </c>
      <c r="I136" t="str">
        <f t="shared" si="4"/>
        <v>mayo</v>
      </c>
      <c r="J136" t="str">
        <f t="shared" si="5"/>
        <v>domingo</v>
      </c>
    </row>
    <row r="137" spans="1:10" x14ac:dyDescent="0.3">
      <c r="A137" s="3">
        <v>512</v>
      </c>
      <c r="B137" t="s">
        <v>143</v>
      </c>
      <c r="C137" t="s">
        <v>24</v>
      </c>
      <c r="D137" s="10">
        <v>60.2</v>
      </c>
      <c r="E137" s="1">
        <v>45640</v>
      </c>
      <c r="F137" s="6" t="s">
        <v>16</v>
      </c>
      <c r="G137" s="11">
        <v>40</v>
      </c>
      <c r="H137" s="11">
        <v>2</v>
      </c>
      <c r="I137" t="str">
        <f t="shared" si="4"/>
        <v>diciembre</v>
      </c>
      <c r="J137" t="str">
        <f t="shared" si="5"/>
        <v>sábado</v>
      </c>
    </row>
    <row r="138" spans="1:10" x14ac:dyDescent="0.3">
      <c r="A138" s="3">
        <v>513</v>
      </c>
      <c r="B138" t="s">
        <v>144</v>
      </c>
      <c r="C138" t="s">
        <v>19</v>
      </c>
      <c r="D138" s="10">
        <v>64.7</v>
      </c>
      <c r="E138" s="1">
        <v>45991</v>
      </c>
      <c r="F138" s="6" t="s">
        <v>16</v>
      </c>
      <c r="G138" s="11">
        <v>44</v>
      </c>
      <c r="H138" s="11">
        <v>1</v>
      </c>
      <c r="I138" t="str">
        <f t="shared" si="4"/>
        <v>noviembre</v>
      </c>
      <c r="J138" t="str">
        <f t="shared" si="5"/>
        <v>domingo</v>
      </c>
    </row>
    <row r="139" spans="1:10" x14ac:dyDescent="0.3">
      <c r="A139" s="3">
        <v>520</v>
      </c>
      <c r="B139" t="s">
        <v>145</v>
      </c>
      <c r="C139" t="s">
        <v>12</v>
      </c>
      <c r="D139" s="10">
        <v>72.099999999999994</v>
      </c>
      <c r="E139" s="1">
        <v>45857</v>
      </c>
      <c r="F139" s="6" t="s">
        <v>20</v>
      </c>
      <c r="G139" s="11">
        <v>86</v>
      </c>
      <c r="H139" s="11">
        <v>3</v>
      </c>
      <c r="I139" t="str">
        <f t="shared" si="4"/>
        <v>julio</v>
      </c>
      <c r="J139" t="str">
        <f t="shared" si="5"/>
        <v>sábado</v>
      </c>
    </row>
    <row r="140" spans="1:10" x14ac:dyDescent="0.3">
      <c r="A140" s="3">
        <v>521</v>
      </c>
      <c r="B140" t="s">
        <v>146</v>
      </c>
      <c r="C140" t="s">
        <v>9</v>
      </c>
      <c r="D140" s="10">
        <v>82.4</v>
      </c>
      <c r="E140" s="1">
        <v>45832</v>
      </c>
      <c r="F140" s="6" t="s">
        <v>22</v>
      </c>
      <c r="G140" s="11">
        <v>17</v>
      </c>
      <c r="H140" s="11">
        <v>3</v>
      </c>
      <c r="I140" t="str">
        <f t="shared" si="4"/>
        <v>junio</v>
      </c>
      <c r="J140" t="str">
        <f t="shared" si="5"/>
        <v>martes</v>
      </c>
    </row>
    <row r="141" spans="1:10" x14ac:dyDescent="0.3">
      <c r="A141" s="3">
        <v>522</v>
      </c>
      <c r="B141" t="s">
        <v>147</v>
      </c>
      <c r="C141" t="s">
        <v>12</v>
      </c>
      <c r="D141" s="10">
        <v>92.3</v>
      </c>
      <c r="E141" s="1">
        <v>45874</v>
      </c>
      <c r="F141" s="6" t="s">
        <v>20</v>
      </c>
      <c r="G141" s="11">
        <v>80</v>
      </c>
      <c r="H141" s="11">
        <v>1</v>
      </c>
      <c r="I141" t="str">
        <f t="shared" si="4"/>
        <v>agosto</v>
      </c>
      <c r="J141" t="str">
        <f t="shared" si="5"/>
        <v>martes</v>
      </c>
    </row>
    <row r="142" spans="1:10" x14ac:dyDescent="0.3">
      <c r="A142" s="3">
        <v>522</v>
      </c>
      <c r="B142" t="s">
        <v>147</v>
      </c>
      <c r="C142" t="s">
        <v>24</v>
      </c>
      <c r="D142" s="10">
        <v>61.7</v>
      </c>
      <c r="E142" s="1">
        <v>45842</v>
      </c>
      <c r="F142" s="6" t="s">
        <v>16</v>
      </c>
      <c r="G142" s="11">
        <v>19</v>
      </c>
      <c r="H142" s="11">
        <v>3</v>
      </c>
      <c r="I142" t="str">
        <f t="shared" si="4"/>
        <v>julio</v>
      </c>
      <c r="J142" t="str">
        <f t="shared" si="5"/>
        <v>viernes</v>
      </c>
    </row>
    <row r="143" spans="1:10" x14ac:dyDescent="0.3">
      <c r="A143" s="3">
        <v>522</v>
      </c>
      <c r="B143" t="s">
        <v>147</v>
      </c>
      <c r="C143" t="s">
        <v>9</v>
      </c>
      <c r="D143" s="10">
        <v>75.400000000000006</v>
      </c>
      <c r="E143" s="1">
        <v>45646</v>
      </c>
      <c r="F143" s="6" t="s">
        <v>22</v>
      </c>
      <c r="G143" s="11">
        <v>67</v>
      </c>
      <c r="H143" s="11">
        <v>1</v>
      </c>
      <c r="I143" t="str">
        <f t="shared" si="4"/>
        <v>diciembre</v>
      </c>
      <c r="J143" t="str">
        <f t="shared" si="5"/>
        <v>viernes</v>
      </c>
    </row>
    <row r="144" spans="1:10" x14ac:dyDescent="0.3">
      <c r="A144" s="3">
        <v>522</v>
      </c>
      <c r="B144" t="s">
        <v>147</v>
      </c>
      <c r="C144" t="s">
        <v>19</v>
      </c>
      <c r="D144" s="10">
        <v>97.7</v>
      </c>
      <c r="E144" s="1">
        <v>45821</v>
      </c>
      <c r="F144" s="6" t="s">
        <v>20</v>
      </c>
      <c r="G144" s="11">
        <v>89</v>
      </c>
      <c r="H144" s="11">
        <v>1</v>
      </c>
      <c r="I144" t="str">
        <f t="shared" si="4"/>
        <v>junio</v>
      </c>
      <c r="J144" t="str">
        <f t="shared" si="5"/>
        <v>viernes</v>
      </c>
    </row>
    <row r="145" spans="1:10" x14ac:dyDescent="0.3">
      <c r="A145" s="3">
        <v>526</v>
      </c>
      <c r="B145" t="s">
        <v>148</v>
      </c>
      <c r="C145" t="s">
        <v>12</v>
      </c>
      <c r="D145" s="10">
        <v>65.599999999999994</v>
      </c>
      <c r="E145" s="1">
        <v>45750</v>
      </c>
      <c r="F145" s="6" t="s">
        <v>13</v>
      </c>
      <c r="G145" s="11">
        <v>42</v>
      </c>
      <c r="H145" s="11">
        <v>3</v>
      </c>
      <c r="I145" t="str">
        <f t="shared" si="4"/>
        <v>abril</v>
      </c>
      <c r="J145" t="str">
        <f t="shared" si="5"/>
        <v>jueves</v>
      </c>
    </row>
    <row r="146" spans="1:10" x14ac:dyDescent="0.3">
      <c r="A146" s="3">
        <v>530</v>
      </c>
      <c r="B146" t="s">
        <v>149</v>
      </c>
      <c r="C146" t="s">
        <v>24</v>
      </c>
      <c r="D146" s="10">
        <v>74</v>
      </c>
      <c r="E146" s="1">
        <v>45887</v>
      </c>
      <c r="F146" s="6" t="s">
        <v>16</v>
      </c>
      <c r="G146" s="11">
        <v>97</v>
      </c>
      <c r="H146" s="11">
        <v>2</v>
      </c>
      <c r="I146" t="str">
        <f t="shared" si="4"/>
        <v>agosto</v>
      </c>
      <c r="J146" t="str">
        <f t="shared" si="5"/>
        <v>lunes</v>
      </c>
    </row>
    <row r="147" spans="1:10" x14ac:dyDescent="0.3">
      <c r="A147" s="3">
        <v>532</v>
      </c>
      <c r="B147" t="s">
        <v>150</v>
      </c>
      <c r="C147" t="s">
        <v>24</v>
      </c>
      <c r="D147" s="10">
        <v>65</v>
      </c>
      <c r="E147" s="1">
        <v>45827</v>
      </c>
      <c r="F147" s="6" t="s">
        <v>16</v>
      </c>
      <c r="G147" s="11">
        <v>36</v>
      </c>
      <c r="H147" s="11">
        <v>3</v>
      </c>
      <c r="I147" t="str">
        <f t="shared" si="4"/>
        <v>junio</v>
      </c>
      <c r="J147" t="str">
        <f t="shared" si="5"/>
        <v>jueves</v>
      </c>
    </row>
    <row r="148" spans="1:10" x14ac:dyDescent="0.3">
      <c r="A148" s="3">
        <v>533</v>
      </c>
      <c r="B148" t="s">
        <v>151</v>
      </c>
      <c r="C148" t="s">
        <v>24</v>
      </c>
      <c r="D148" s="10">
        <v>53.8</v>
      </c>
      <c r="E148" s="1">
        <v>45812</v>
      </c>
      <c r="F148" s="6" t="s">
        <v>16</v>
      </c>
      <c r="G148" s="11">
        <v>8</v>
      </c>
      <c r="H148" s="11">
        <v>3</v>
      </c>
      <c r="I148" t="str">
        <f t="shared" si="4"/>
        <v>junio</v>
      </c>
      <c r="J148" t="str">
        <f t="shared" si="5"/>
        <v>miércoles</v>
      </c>
    </row>
    <row r="149" spans="1:10" x14ac:dyDescent="0.3">
      <c r="A149" s="3">
        <v>537</v>
      </c>
      <c r="B149" t="s">
        <v>152</v>
      </c>
      <c r="C149" t="s">
        <v>12</v>
      </c>
      <c r="D149" s="10">
        <v>99.2</v>
      </c>
      <c r="E149" s="1">
        <v>45952</v>
      </c>
      <c r="F149" s="6" t="s">
        <v>13</v>
      </c>
      <c r="G149" s="11">
        <v>60</v>
      </c>
      <c r="H149" s="11">
        <v>3</v>
      </c>
      <c r="I149" t="str">
        <f t="shared" si="4"/>
        <v>octubre</v>
      </c>
      <c r="J149" t="str">
        <f t="shared" si="5"/>
        <v>miércoles</v>
      </c>
    </row>
    <row r="150" spans="1:10" x14ac:dyDescent="0.3">
      <c r="A150" s="3">
        <v>538</v>
      </c>
      <c r="B150" t="s">
        <v>153</v>
      </c>
      <c r="C150" t="s">
        <v>15</v>
      </c>
      <c r="D150" s="10">
        <v>56.3</v>
      </c>
      <c r="E150" s="1">
        <v>45952</v>
      </c>
      <c r="F150" s="6" t="s">
        <v>16</v>
      </c>
      <c r="G150" s="11">
        <v>55</v>
      </c>
      <c r="H150" s="11">
        <v>3</v>
      </c>
      <c r="I150" t="str">
        <f t="shared" si="4"/>
        <v>octubre</v>
      </c>
      <c r="J150" t="str">
        <f t="shared" si="5"/>
        <v>miércoles</v>
      </c>
    </row>
    <row r="151" spans="1:10" x14ac:dyDescent="0.3">
      <c r="A151" s="3">
        <v>542</v>
      </c>
      <c r="B151" t="s">
        <v>154</v>
      </c>
      <c r="C151" t="s">
        <v>12</v>
      </c>
      <c r="D151" s="10">
        <v>82.4</v>
      </c>
      <c r="E151" s="1">
        <v>45945</v>
      </c>
      <c r="F151" s="6" t="s">
        <v>13</v>
      </c>
      <c r="G151" s="11">
        <v>77</v>
      </c>
      <c r="H151" s="11">
        <v>2</v>
      </c>
      <c r="I151" t="str">
        <f t="shared" si="4"/>
        <v>octubre</v>
      </c>
      <c r="J151" t="str">
        <f t="shared" si="5"/>
        <v>miércoles</v>
      </c>
    </row>
    <row r="152" spans="1:10" x14ac:dyDescent="0.3">
      <c r="A152" s="3">
        <v>545</v>
      </c>
      <c r="B152" t="s">
        <v>155</v>
      </c>
      <c r="C152" t="s">
        <v>15</v>
      </c>
      <c r="D152" s="10">
        <v>85.3</v>
      </c>
      <c r="E152" s="1">
        <v>45685</v>
      </c>
      <c r="F152" s="6" t="s">
        <v>16</v>
      </c>
      <c r="G152" s="11">
        <v>100</v>
      </c>
      <c r="H152" s="11">
        <v>1</v>
      </c>
      <c r="I152" t="str">
        <f t="shared" si="4"/>
        <v>enero</v>
      </c>
      <c r="J152" t="str">
        <f t="shared" si="5"/>
        <v>martes</v>
      </c>
    </row>
    <row r="153" spans="1:10" x14ac:dyDescent="0.3">
      <c r="A153" s="3">
        <v>548</v>
      </c>
      <c r="B153" t="s">
        <v>156</v>
      </c>
      <c r="C153" t="s">
        <v>12</v>
      </c>
      <c r="D153" s="10">
        <v>94.2</v>
      </c>
      <c r="E153" s="1">
        <v>45887</v>
      </c>
      <c r="F153" s="6" t="s">
        <v>13</v>
      </c>
      <c r="G153" s="11">
        <v>100</v>
      </c>
      <c r="H153" s="11">
        <v>1</v>
      </c>
      <c r="I153" t="str">
        <f t="shared" si="4"/>
        <v>agosto</v>
      </c>
      <c r="J153" t="str">
        <f t="shared" si="5"/>
        <v>lunes</v>
      </c>
    </row>
    <row r="154" spans="1:10" x14ac:dyDescent="0.3">
      <c r="A154" s="3">
        <v>550</v>
      </c>
      <c r="B154" t="s">
        <v>157</v>
      </c>
      <c r="C154" t="s">
        <v>15</v>
      </c>
      <c r="D154" s="10">
        <v>68.099999999999994</v>
      </c>
      <c r="E154" s="1">
        <v>45744</v>
      </c>
      <c r="F154" s="6" t="s">
        <v>16</v>
      </c>
      <c r="G154" s="11">
        <v>100</v>
      </c>
      <c r="H154" s="11">
        <v>1</v>
      </c>
      <c r="I154" t="str">
        <f t="shared" si="4"/>
        <v>marzo</v>
      </c>
      <c r="J154" t="str">
        <f t="shared" si="5"/>
        <v>viernes</v>
      </c>
    </row>
    <row r="155" spans="1:10" x14ac:dyDescent="0.3">
      <c r="A155" s="3">
        <v>556</v>
      </c>
      <c r="B155" t="s">
        <v>158</v>
      </c>
      <c r="C155" t="s">
        <v>19</v>
      </c>
      <c r="D155" s="10">
        <v>91.6</v>
      </c>
      <c r="E155" s="1">
        <v>45737</v>
      </c>
      <c r="F155" s="6" t="s">
        <v>20</v>
      </c>
      <c r="G155" s="11">
        <v>97</v>
      </c>
      <c r="H155" s="11">
        <v>2</v>
      </c>
      <c r="I155" t="str">
        <f t="shared" si="4"/>
        <v>marzo</v>
      </c>
      <c r="J155" t="str">
        <f t="shared" si="5"/>
        <v>viernes</v>
      </c>
    </row>
    <row r="156" spans="1:10" x14ac:dyDescent="0.3">
      <c r="A156" s="3">
        <v>558</v>
      </c>
      <c r="B156" t="s">
        <v>159</v>
      </c>
      <c r="C156" t="s">
        <v>24</v>
      </c>
      <c r="D156" s="10">
        <v>96.3</v>
      </c>
      <c r="E156" s="1">
        <v>45647</v>
      </c>
      <c r="F156" s="6" t="s">
        <v>22</v>
      </c>
      <c r="G156" s="11">
        <v>96</v>
      </c>
      <c r="H156" s="11">
        <v>1</v>
      </c>
      <c r="I156" t="str">
        <f t="shared" si="4"/>
        <v>diciembre</v>
      </c>
      <c r="J156" t="str">
        <f t="shared" si="5"/>
        <v>sábado</v>
      </c>
    </row>
    <row r="157" spans="1:10" x14ac:dyDescent="0.3">
      <c r="A157" s="3">
        <v>561</v>
      </c>
      <c r="B157" t="s">
        <v>160</v>
      </c>
      <c r="C157" t="s">
        <v>19</v>
      </c>
      <c r="D157" s="10">
        <v>82.6</v>
      </c>
      <c r="E157" s="1">
        <v>45972</v>
      </c>
      <c r="F157" s="6" t="s">
        <v>20</v>
      </c>
      <c r="G157" s="11">
        <v>87</v>
      </c>
      <c r="H157" s="11">
        <v>1</v>
      </c>
      <c r="I157" t="str">
        <f t="shared" si="4"/>
        <v>noviembre</v>
      </c>
      <c r="J157" t="str">
        <f t="shared" si="5"/>
        <v>martes</v>
      </c>
    </row>
    <row r="158" spans="1:10" x14ac:dyDescent="0.3">
      <c r="A158" s="3">
        <v>569</v>
      </c>
      <c r="B158" t="s">
        <v>161</v>
      </c>
      <c r="C158" t="s">
        <v>9</v>
      </c>
      <c r="D158" s="10">
        <v>89.1</v>
      </c>
      <c r="E158" s="1">
        <v>45665</v>
      </c>
      <c r="F158" s="6" t="s">
        <v>22</v>
      </c>
      <c r="G158" s="11">
        <v>99</v>
      </c>
      <c r="H158" s="11">
        <v>1</v>
      </c>
      <c r="I158" t="str">
        <f t="shared" si="4"/>
        <v>enero</v>
      </c>
      <c r="J158" t="str">
        <f t="shared" si="5"/>
        <v>miércoles</v>
      </c>
    </row>
    <row r="159" spans="1:10" x14ac:dyDescent="0.3">
      <c r="A159" s="3">
        <v>582</v>
      </c>
      <c r="B159" t="s">
        <v>162</v>
      </c>
      <c r="C159" t="s">
        <v>12</v>
      </c>
      <c r="D159" s="10">
        <v>52</v>
      </c>
      <c r="E159" s="1">
        <v>45973</v>
      </c>
      <c r="F159" s="6" t="s">
        <v>13</v>
      </c>
      <c r="G159" s="11">
        <v>73</v>
      </c>
      <c r="H159" s="11">
        <v>2</v>
      </c>
      <c r="I159" t="str">
        <f t="shared" si="4"/>
        <v>noviembre</v>
      </c>
      <c r="J159" t="str">
        <f t="shared" si="5"/>
        <v>miércoles</v>
      </c>
    </row>
    <row r="160" spans="1:10" x14ac:dyDescent="0.3">
      <c r="A160" s="3">
        <v>592</v>
      </c>
      <c r="B160" t="s">
        <v>163</v>
      </c>
      <c r="C160" t="s">
        <v>15</v>
      </c>
      <c r="D160" s="10">
        <v>89</v>
      </c>
      <c r="E160" s="1">
        <v>45934</v>
      </c>
      <c r="F160" s="6" t="s">
        <v>16</v>
      </c>
      <c r="G160" s="11">
        <v>50</v>
      </c>
      <c r="H160" s="11">
        <v>2</v>
      </c>
      <c r="I160" t="str">
        <f t="shared" si="4"/>
        <v>octubre</v>
      </c>
      <c r="J160" t="str">
        <f t="shared" si="5"/>
        <v>sábado</v>
      </c>
    </row>
    <row r="161" spans="1:10" x14ac:dyDescent="0.3">
      <c r="A161" s="3">
        <v>601</v>
      </c>
      <c r="B161" t="s">
        <v>164</v>
      </c>
      <c r="C161" t="s">
        <v>24</v>
      </c>
      <c r="D161" s="10">
        <v>83.5</v>
      </c>
      <c r="E161" s="1">
        <v>45976</v>
      </c>
      <c r="F161" s="6" t="s">
        <v>22</v>
      </c>
      <c r="G161" s="11">
        <v>89</v>
      </c>
      <c r="H161" s="11">
        <v>3</v>
      </c>
      <c r="I161" t="str">
        <f t="shared" si="4"/>
        <v>noviembre</v>
      </c>
      <c r="J161" t="str">
        <f t="shared" si="5"/>
        <v>sábado</v>
      </c>
    </row>
    <row r="162" spans="1:10" x14ac:dyDescent="0.3">
      <c r="A162" s="3">
        <v>605</v>
      </c>
      <c r="B162" t="s">
        <v>165</v>
      </c>
      <c r="C162" t="s">
        <v>15</v>
      </c>
      <c r="D162" s="10">
        <v>63.1</v>
      </c>
      <c r="E162" s="1">
        <v>45892</v>
      </c>
      <c r="F162" s="6" t="s">
        <v>16</v>
      </c>
      <c r="G162" s="11">
        <v>0</v>
      </c>
      <c r="H162" s="11">
        <v>1</v>
      </c>
      <c r="I162" t="str">
        <f t="shared" si="4"/>
        <v>agosto</v>
      </c>
      <c r="J162" t="str">
        <f t="shared" si="5"/>
        <v>sábado</v>
      </c>
    </row>
    <row r="163" spans="1:10" x14ac:dyDescent="0.3">
      <c r="A163" s="3">
        <v>613</v>
      </c>
      <c r="B163" t="s">
        <v>166</v>
      </c>
      <c r="C163" t="s">
        <v>9</v>
      </c>
      <c r="D163" s="10">
        <v>63</v>
      </c>
      <c r="E163" s="1">
        <v>45841</v>
      </c>
      <c r="F163" s="6" t="s">
        <v>22</v>
      </c>
      <c r="G163" s="11">
        <v>81</v>
      </c>
      <c r="H163" s="11">
        <v>2</v>
      </c>
      <c r="I163" t="str">
        <f t="shared" si="4"/>
        <v>julio</v>
      </c>
      <c r="J163" t="str">
        <f t="shared" si="5"/>
        <v>jueves</v>
      </c>
    </row>
    <row r="164" spans="1:10" x14ac:dyDescent="0.3">
      <c r="A164" s="3">
        <v>618</v>
      </c>
      <c r="B164" t="s">
        <v>167</v>
      </c>
      <c r="C164" t="s">
        <v>15</v>
      </c>
      <c r="D164" s="10">
        <v>66.400000000000006</v>
      </c>
      <c r="E164" s="1">
        <v>45806</v>
      </c>
      <c r="F164" s="6" t="s">
        <v>16</v>
      </c>
      <c r="G164" s="11">
        <v>68</v>
      </c>
      <c r="H164" s="11">
        <v>1</v>
      </c>
      <c r="I164" t="str">
        <f t="shared" si="4"/>
        <v>mayo</v>
      </c>
      <c r="J164" t="str">
        <f t="shared" si="5"/>
        <v>jueves</v>
      </c>
    </row>
    <row r="165" spans="1:10" x14ac:dyDescent="0.3">
      <c r="A165" s="3">
        <v>620</v>
      </c>
      <c r="B165" t="s">
        <v>168</v>
      </c>
      <c r="C165" t="s">
        <v>12</v>
      </c>
      <c r="D165" s="10">
        <v>94.8</v>
      </c>
      <c r="E165" s="1">
        <v>45802</v>
      </c>
      <c r="F165" s="6" t="s">
        <v>20</v>
      </c>
      <c r="G165" s="11">
        <v>2</v>
      </c>
      <c r="H165" s="11">
        <v>3</v>
      </c>
      <c r="I165" t="str">
        <f t="shared" si="4"/>
        <v>mayo</v>
      </c>
      <c r="J165" t="str">
        <f t="shared" si="5"/>
        <v>domingo</v>
      </c>
    </row>
    <row r="166" spans="1:10" x14ac:dyDescent="0.3">
      <c r="A166" s="3">
        <v>621</v>
      </c>
      <c r="B166" t="s">
        <v>169</v>
      </c>
      <c r="C166" t="s">
        <v>12</v>
      </c>
      <c r="D166" s="10">
        <v>67</v>
      </c>
      <c r="E166" s="1">
        <v>45698</v>
      </c>
      <c r="F166" s="6" t="s">
        <v>20</v>
      </c>
      <c r="G166" s="11">
        <v>0</v>
      </c>
      <c r="H166" s="11">
        <v>2</v>
      </c>
      <c r="I166" t="str">
        <f t="shared" si="4"/>
        <v>febrero</v>
      </c>
      <c r="J166" t="str">
        <f t="shared" si="5"/>
        <v>lunes</v>
      </c>
    </row>
    <row r="167" spans="1:10" x14ac:dyDescent="0.3">
      <c r="A167" s="3">
        <v>629</v>
      </c>
      <c r="B167" t="s">
        <v>170</v>
      </c>
      <c r="C167" t="s">
        <v>12</v>
      </c>
      <c r="D167" s="10">
        <v>91.7</v>
      </c>
      <c r="E167" s="1">
        <v>45687</v>
      </c>
      <c r="F167" s="6" t="s">
        <v>20</v>
      </c>
      <c r="G167" s="11">
        <v>0</v>
      </c>
      <c r="H167" s="11">
        <v>3</v>
      </c>
      <c r="I167" t="str">
        <f t="shared" si="4"/>
        <v>enero</v>
      </c>
      <c r="J167" t="str">
        <f t="shared" si="5"/>
        <v>jueves</v>
      </c>
    </row>
    <row r="168" spans="1:10" x14ac:dyDescent="0.3">
      <c r="A168" s="3">
        <v>631</v>
      </c>
      <c r="B168" t="s">
        <v>171</v>
      </c>
      <c r="C168" t="s">
        <v>24</v>
      </c>
      <c r="D168" s="10">
        <v>81.5</v>
      </c>
      <c r="E168" s="1">
        <v>45710</v>
      </c>
      <c r="F168" s="6" t="s">
        <v>22</v>
      </c>
      <c r="G168" s="11">
        <v>86</v>
      </c>
      <c r="H168" s="11">
        <v>2</v>
      </c>
      <c r="I168" t="str">
        <f t="shared" si="4"/>
        <v>febrero</v>
      </c>
      <c r="J168" t="str">
        <f t="shared" si="5"/>
        <v>sábado</v>
      </c>
    </row>
    <row r="169" spans="1:10" x14ac:dyDescent="0.3">
      <c r="A169" s="3">
        <v>639</v>
      </c>
      <c r="B169" t="s">
        <v>172</v>
      </c>
      <c r="C169" t="s">
        <v>12</v>
      </c>
      <c r="D169" s="10">
        <v>72.900000000000006</v>
      </c>
      <c r="E169" s="1">
        <v>45938</v>
      </c>
      <c r="F169" s="6" t="s">
        <v>13</v>
      </c>
      <c r="G169" s="11">
        <v>76</v>
      </c>
      <c r="H169" s="11">
        <v>2</v>
      </c>
      <c r="I169" t="str">
        <f t="shared" si="4"/>
        <v>octubre</v>
      </c>
      <c r="J169" t="str">
        <f t="shared" si="5"/>
        <v>miércoles</v>
      </c>
    </row>
    <row r="170" spans="1:10" x14ac:dyDescent="0.3">
      <c r="A170" s="3">
        <v>643</v>
      </c>
      <c r="B170" t="s">
        <v>173</v>
      </c>
      <c r="C170" t="s">
        <v>12</v>
      </c>
      <c r="D170" s="10">
        <v>75.900000000000006</v>
      </c>
      <c r="E170" s="1">
        <v>45649</v>
      </c>
      <c r="F170" s="6" t="s">
        <v>13</v>
      </c>
      <c r="G170" s="11">
        <v>63</v>
      </c>
      <c r="H170" s="11">
        <v>1</v>
      </c>
      <c r="I170" t="str">
        <f t="shared" si="4"/>
        <v>diciembre</v>
      </c>
      <c r="J170" t="str">
        <f t="shared" si="5"/>
        <v>lunes</v>
      </c>
    </row>
    <row r="171" spans="1:10" x14ac:dyDescent="0.3">
      <c r="A171" s="3">
        <v>647</v>
      </c>
      <c r="B171" t="s">
        <v>174</v>
      </c>
      <c r="C171" t="s">
        <v>12</v>
      </c>
      <c r="D171" s="10">
        <v>55.3</v>
      </c>
      <c r="E171" s="1">
        <v>45823</v>
      </c>
      <c r="F171" s="6" t="s">
        <v>13</v>
      </c>
      <c r="G171" s="11">
        <v>57</v>
      </c>
      <c r="H171" s="11">
        <v>2</v>
      </c>
      <c r="I171" t="str">
        <f t="shared" si="4"/>
        <v>junio</v>
      </c>
      <c r="J171" t="str">
        <f t="shared" si="5"/>
        <v>domingo</v>
      </c>
    </row>
    <row r="172" spans="1:10" x14ac:dyDescent="0.3">
      <c r="A172" s="3">
        <v>653</v>
      </c>
      <c r="B172" t="s">
        <v>175</v>
      </c>
      <c r="C172" t="s">
        <v>24</v>
      </c>
      <c r="D172" s="10">
        <v>71.099999999999994</v>
      </c>
      <c r="E172" s="1">
        <v>45751</v>
      </c>
      <c r="F172" s="6" t="s">
        <v>16</v>
      </c>
      <c r="G172" s="11">
        <v>62</v>
      </c>
      <c r="H172" s="11">
        <v>2</v>
      </c>
      <c r="I172" t="str">
        <f t="shared" si="4"/>
        <v>abril</v>
      </c>
      <c r="J172" t="str">
        <f t="shared" si="5"/>
        <v>viernes</v>
      </c>
    </row>
    <row r="173" spans="1:10" x14ac:dyDescent="0.3">
      <c r="A173" s="3">
        <v>658</v>
      </c>
      <c r="B173" t="s">
        <v>176</v>
      </c>
      <c r="C173" t="s">
        <v>12</v>
      </c>
      <c r="D173" s="10">
        <v>52</v>
      </c>
      <c r="E173" s="1">
        <v>45644</v>
      </c>
      <c r="F173" s="6" t="s">
        <v>13</v>
      </c>
      <c r="G173" s="11">
        <v>4</v>
      </c>
      <c r="H173" s="11">
        <v>3</v>
      </c>
      <c r="I173" t="str">
        <f t="shared" si="4"/>
        <v>diciembre</v>
      </c>
      <c r="J173" t="str">
        <f t="shared" si="5"/>
        <v>miércoles</v>
      </c>
    </row>
    <row r="174" spans="1:10" x14ac:dyDescent="0.3">
      <c r="A174" s="3">
        <v>659</v>
      </c>
      <c r="B174" t="s">
        <v>177</v>
      </c>
      <c r="C174" t="s">
        <v>9</v>
      </c>
      <c r="D174" s="10">
        <v>98.3</v>
      </c>
      <c r="E174" s="1">
        <v>45986</v>
      </c>
      <c r="F174" s="6" t="s">
        <v>22</v>
      </c>
      <c r="G174" s="11">
        <v>97</v>
      </c>
      <c r="H174" s="11">
        <v>2</v>
      </c>
      <c r="I174" t="str">
        <f t="shared" si="4"/>
        <v>noviembre</v>
      </c>
      <c r="J174" t="str">
        <f t="shared" si="5"/>
        <v>martes</v>
      </c>
    </row>
    <row r="175" spans="1:10" x14ac:dyDescent="0.3">
      <c r="A175" s="3">
        <v>667</v>
      </c>
      <c r="B175" t="s">
        <v>178</v>
      </c>
      <c r="C175" t="s">
        <v>15</v>
      </c>
      <c r="D175" s="10">
        <v>56</v>
      </c>
      <c r="E175" s="1">
        <v>45824</v>
      </c>
      <c r="F175" s="6" t="s">
        <v>16</v>
      </c>
      <c r="G175" s="11">
        <v>68</v>
      </c>
      <c r="H175" s="11">
        <v>2</v>
      </c>
      <c r="I175" t="str">
        <f t="shared" si="4"/>
        <v>junio</v>
      </c>
      <c r="J175" t="str">
        <f t="shared" si="5"/>
        <v>lunes</v>
      </c>
    </row>
    <row r="176" spans="1:10" x14ac:dyDescent="0.3">
      <c r="A176" s="3">
        <v>673</v>
      </c>
      <c r="B176" t="s">
        <v>179</v>
      </c>
      <c r="C176" t="s">
        <v>15</v>
      </c>
      <c r="D176" s="10">
        <v>97.2</v>
      </c>
      <c r="E176" s="1">
        <v>45977</v>
      </c>
      <c r="F176" s="6" t="s">
        <v>16</v>
      </c>
      <c r="G176" s="11">
        <v>88</v>
      </c>
      <c r="H176" s="11">
        <v>1</v>
      </c>
      <c r="I176" t="str">
        <f t="shared" si="4"/>
        <v>noviembre</v>
      </c>
      <c r="J176" t="str">
        <f t="shared" si="5"/>
        <v>domingo</v>
      </c>
    </row>
    <row r="177" spans="1:10" x14ac:dyDescent="0.3">
      <c r="A177" s="3">
        <v>675</v>
      </c>
      <c r="B177" t="s">
        <v>180</v>
      </c>
      <c r="C177" t="s">
        <v>15</v>
      </c>
      <c r="D177" s="10">
        <v>61.1</v>
      </c>
      <c r="E177" s="1">
        <v>45863</v>
      </c>
      <c r="F177" s="6" t="s">
        <v>16</v>
      </c>
      <c r="G177" s="11">
        <v>96</v>
      </c>
      <c r="H177" s="11">
        <v>1</v>
      </c>
      <c r="I177" t="str">
        <f t="shared" si="4"/>
        <v>julio</v>
      </c>
      <c r="J177" t="str">
        <f t="shared" si="5"/>
        <v>viernes</v>
      </c>
    </row>
    <row r="178" spans="1:10" x14ac:dyDescent="0.3">
      <c r="A178" s="3">
        <v>686</v>
      </c>
      <c r="B178" t="s">
        <v>181</v>
      </c>
      <c r="C178" t="s">
        <v>24</v>
      </c>
      <c r="D178" s="10">
        <v>94.2</v>
      </c>
      <c r="E178" s="1">
        <v>45765</v>
      </c>
      <c r="F178" s="6" t="s">
        <v>22</v>
      </c>
      <c r="G178" s="11">
        <v>74</v>
      </c>
      <c r="H178" s="11">
        <v>1</v>
      </c>
      <c r="I178" t="str">
        <f t="shared" si="4"/>
        <v>abril</v>
      </c>
      <c r="J178" t="str">
        <f t="shared" si="5"/>
        <v>viernes</v>
      </c>
    </row>
    <row r="179" spans="1:10" x14ac:dyDescent="0.3">
      <c r="A179" s="3">
        <v>692</v>
      </c>
      <c r="B179" t="s">
        <v>182</v>
      </c>
      <c r="C179" t="s">
        <v>24</v>
      </c>
      <c r="D179" s="10">
        <v>57.1</v>
      </c>
      <c r="E179" s="1">
        <v>45763</v>
      </c>
      <c r="F179" s="6" t="s">
        <v>16</v>
      </c>
      <c r="G179" s="11">
        <v>97</v>
      </c>
      <c r="H179" s="11">
        <v>2</v>
      </c>
      <c r="I179" t="str">
        <f t="shared" si="4"/>
        <v>abril</v>
      </c>
      <c r="J179" t="str">
        <f t="shared" si="5"/>
        <v>miércoles</v>
      </c>
    </row>
    <row r="180" spans="1:10" x14ac:dyDescent="0.3">
      <c r="A180" s="3">
        <v>695</v>
      </c>
      <c r="B180" t="s">
        <v>183</v>
      </c>
      <c r="C180" t="s">
        <v>9</v>
      </c>
      <c r="D180" s="10">
        <v>70.8</v>
      </c>
      <c r="E180" s="1">
        <v>45927</v>
      </c>
      <c r="F180" s="6" t="s">
        <v>22</v>
      </c>
      <c r="G180" s="11">
        <v>53</v>
      </c>
      <c r="H180" s="11">
        <v>1</v>
      </c>
      <c r="I180" t="str">
        <f t="shared" si="4"/>
        <v>septiembre</v>
      </c>
      <c r="J180" t="str">
        <f t="shared" si="5"/>
        <v>sábado</v>
      </c>
    </row>
    <row r="181" spans="1:10" x14ac:dyDescent="0.3">
      <c r="A181" s="3">
        <v>696</v>
      </c>
      <c r="B181" t="s">
        <v>184</v>
      </c>
      <c r="C181" t="s">
        <v>24</v>
      </c>
      <c r="D181" s="10">
        <v>52.9</v>
      </c>
      <c r="E181" s="1">
        <v>45725</v>
      </c>
      <c r="F181" s="6" t="s">
        <v>22</v>
      </c>
      <c r="G181" s="11">
        <v>72</v>
      </c>
      <c r="H181" s="11">
        <v>3</v>
      </c>
      <c r="I181" t="str">
        <f t="shared" si="4"/>
        <v>marzo</v>
      </c>
      <c r="J181" t="str">
        <f t="shared" si="5"/>
        <v>domingo</v>
      </c>
    </row>
    <row r="182" spans="1:10" x14ac:dyDescent="0.3">
      <c r="A182" s="3">
        <v>705</v>
      </c>
      <c r="B182" t="s">
        <v>185</v>
      </c>
      <c r="C182" t="s">
        <v>15</v>
      </c>
      <c r="D182" s="10">
        <v>97.5</v>
      </c>
      <c r="E182" s="1">
        <v>45903</v>
      </c>
      <c r="F182" s="6" t="s">
        <v>16</v>
      </c>
      <c r="G182" s="11">
        <v>60</v>
      </c>
      <c r="H182" s="11">
        <v>3</v>
      </c>
      <c r="I182" t="str">
        <f t="shared" si="4"/>
        <v>septiembre</v>
      </c>
      <c r="J182" t="str">
        <f t="shared" si="5"/>
        <v>miércoles</v>
      </c>
    </row>
    <row r="183" spans="1:10" x14ac:dyDescent="0.3">
      <c r="A183" s="3">
        <v>709</v>
      </c>
      <c r="B183" t="s">
        <v>186</v>
      </c>
      <c r="C183" t="s">
        <v>19</v>
      </c>
      <c r="D183" s="10">
        <v>52.5</v>
      </c>
      <c r="E183" s="1">
        <v>45717</v>
      </c>
      <c r="F183" s="6" t="s">
        <v>22</v>
      </c>
      <c r="G183" s="11">
        <v>39</v>
      </c>
      <c r="H183" s="11">
        <v>1</v>
      </c>
      <c r="I183" t="str">
        <f t="shared" si="4"/>
        <v>marzo</v>
      </c>
      <c r="J183" t="str">
        <f t="shared" si="5"/>
        <v>sábado</v>
      </c>
    </row>
    <row r="184" spans="1:10" x14ac:dyDescent="0.3">
      <c r="A184" s="3">
        <v>712</v>
      </c>
      <c r="B184" t="s">
        <v>187</v>
      </c>
      <c r="C184" t="s">
        <v>24</v>
      </c>
      <c r="D184" s="10">
        <v>87.6</v>
      </c>
      <c r="E184" s="1">
        <v>45712</v>
      </c>
      <c r="F184" s="6" t="s">
        <v>22</v>
      </c>
      <c r="G184" s="11">
        <v>97</v>
      </c>
      <c r="H184" s="11">
        <v>1</v>
      </c>
      <c r="I184" t="str">
        <f t="shared" si="4"/>
        <v>febrero</v>
      </c>
      <c r="J184" t="str">
        <f t="shared" si="5"/>
        <v>lunes</v>
      </c>
    </row>
    <row r="185" spans="1:10" x14ac:dyDescent="0.3">
      <c r="A185" s="3">
        <v>716</v>
      </c>
      <c r="B185" t="s">
        <v>188</v>
      </c>
      <c r="C185" t="s">
        <v>19</v>
      </c>
      <c r="D185" s="10">
        <v>90.1</v>
      </c>
      <c r="E185" s="1">
        <v>45979</v>
      </c>
      <c r="F185" s="6" t="s">
        <v>20</v>
      </c>
      <c r="G185" s="11">
        <v>62</v>
      </c>
      <c r="H185" s="11">
        <v>1</v>
      </c>
      <c r="I185" t="str">
        <f t="shared" si="4"/>
        <v>noviembre</v>
      </c>
      <c r="J185" t="str">
        <f t="shared" si="5"/>
        <v>martes</v>
      </c>
    </row>
    <row r="186" spans="1:10" x14ac:dyDescent="0.3">
      <c r="A186" s="3">
        <v>728</v>
      </c>
      <c r="B186" t="s">
        <v>189</v>
      </c>
      <c r="C186" t="s">
        <v>9</v>
      </c>
      <c r="D186" s="10">
        <v>96.8</v>
      </c>
      <c r="E186" s="1">
        <v>45660</v>
      </c>
      <c r="F186" s="6" t="s">
        <v>22</v>
      </c>
      <c r="G186" s="11">
        <v>76</v>
      </c>
      <c r="H186" s="11">
        <v>3</v>
      </c>
      <c r="I186" t="str">
        <f t="shared" si="4"/>
        <v>enero</v>
      </c>
      <c r="J186" t="str">
        <f t="shared" si="5"/>
        <v>viernes</v>
      </c>
    </row>
    <row r="187" spans="1:10" x14ac:dyDescent="0.3">
      <c r="A187" s="3">
        <v>729</v>
      </c>
      <c r="B187" t="s">
        <v>190</v>
      </c>
      <c r="C187" t="s">
        <v>12</v>
      </c>
      <c r="D187" s="10">
        <v>77.7</v>
      </c>
      <c r="E187" s="1">
        <v>45829</v>
      </c>
      <c r="F187" s="6" t="s">
        <v>13</v>
      </c>
      <c r="G187" s="11">
        <v>51</v>
      </c>
      <c r="H187" s="11">
        <v>1</v>
      </c>
      <c r="I187" t="str">
        <f t="shared" si="4"/>
        <v>junio</v>
      </c>
      <c r="J187" t="str">
        <f t="shared" si="5"/>
        <v>sábado</v>
      </c>
    </row>
    <row r="188" spans="1:10" x14ac:dyDescent="0.3">
      <c r="A188" s="3">
        <v>731</v>
      </c>
      <c r="B188" t="s">
        <v>191</v>
      </c>
      <c r="C188" t="s">
        <v>9</v>
      </c>
      <c r="D188" s="10">
        <v>79.7</v>
      </c>
      <c r="E188" s="1">
        <v>45718</v>
      </c>
      <c r="F188" s="6" t="s">
        <v>22</v>
      </c>
      <c r="G188" s="11">
        <v>69</v>
      </c>
      <c r="H188" s="11">
        <v>1</v>
      </c>
      <c r="I188" t="str">
        <f t="shared" si="4"/>
        <v>marzo</v>
      </c>
      <c r="J188" t="str">
        <f t="shared" si="5"/>
        <v>domingo</v>
      </c>
    </row>
    <row r="189" spans="1:10" x14ac:dyDescent="0.3">
      <c r="A189" s="3">
        <v>734</v>
      </c>
      <c r="B189" t="s">
        <v>192</v>
      </c>
      <c r="C189" t="s">
        <v>9</v>
      </c>
      <c r="D189" s="10">
        <v>71.2</v>
      </c>
      <c r="E189" s="1">
        <v>45655</v>
      </c>
      <c r="F189" s="6" t="s">
        <v>22</v>
      </c>
      <c r="G189" s="11">
        <v>34</v>
      </c>
      <c r="H189" s="11">
        <v>2</v>
      </c>
      <c r="I189" t="str">
        <f t="shared" si="4"/>
        <v>diciembre</v>
      </c>
      <c r="J189" t="str">
        <f t="shared" si="5"/>
        <v>domingo</v>
      </c>
    </row>
    <row r="190" spans="1:10" x14ac:dyDescent="0.3">
      <c r="A190" s="3">
        <v>746</v>
      </c>
      <c r="B190" t="s">
        <v>193</v>
      </c>
      <c r="C190" t="s">
        <v>12</v>
      </c>
      <c r="D190" s="10">
        <v>83.8</v>
      </c>
      <c r="E190" s="1">
        <v>45954</v>
      </c>
      <c r="F190" s="6" t="s">
        <v>20</v>
      </c>
      <c r="G190" s="11">
        <v>71</v>
      </c>
      <c r="H190" s="11">
        <v>3</v>
      </c>
      <c r="I190" t="str">
        <f t="shared" si="4"/>
        <v>octubre</v>
      </c>
      <c r="J190" t="str">
        <f t="shared" si="5"/>
        <v>viernes</v>
      </c>
    </row>
    <row r="191" spans="1:10" x14ac:dyDescent="0.3">
      <c r="A191" s="3">
        <v>750</v>
      </c>
      <c r="B191" t="s">
        <v>194</v>
      </c>
      <c r="C191" t="s">
        <v>12</v>
      </c>
      <c r="D191" s="10">
        <v>78.599999999999994</v>
      </c>
      <c r="E191" s="1">
        <v>45853</v>
      </c>
      <c r="F191" s="6" t="s">
        <v>13</v>
      </c>
      <c r="G191" s="11">
        <v>2</v>
      </c>
      <c r="H191" s="11">
        <v>3</v>
      </c>
      <c r="I191" t="str">
        <f t="shared" si="4"/>
        <v>julio</v>
      </c>
      <c r="J191" t="str">
        <f t="shared" si="5"/>
        <v>martes</v>
      </c>
    </row>
    <row r="192" spans="1:10" x14ac:dyDescent="0.3">
      <c r="A192" s="3">
        <v>754</v>
      </c>
      <c r="B192" t="s">
        <v>195</v>
      </c>
      <c r="C192" t="s">
        <v>24</v>
      </c>
      <c r="D192" s="10">
        <v>66.8</v>
      </c>
      <c r="E192" s="1">
        <v>45820</v>
      </c>
      <c r="F192" s="6" t="s">
        <v>16</v>
      </c>
      <c r="G192" s="11">
        <v>25</v>
      </c>
      <c r="H192" s="11">
        <v>1</v>
      </c>
      <c r="I192" t="str">
        <f t="shared" si="4"/>
        <v>junio</v>
      </c>
      <c r="J192" t="str">
        <f t="shared" si="5"/>
        <v>jueves</v>
      </c>
    </row>
    <row r="193" spans="1:10" x14ac:dyDescent="0.3">
      <c r="A193" s="3">
        <v>758</v>
      </c>
      <c r="B193" t="s">
        <v>196</v>
      </c>
      <c r="C193" t="s">
        <v>15</v>
      </c>
      <c r="D193" s="10">
        <v>51.5</v>
      </c>
      <c r="E193" s="1">
        <v>45673</v>
      </c>
      <c r="F193" s="6" t="s">
        <v>16</v>
      </c>
      <c r="G193" s="11">
        <v>71</v>
      </c>
      <c r="H193" s="11">
        <v>1</v>
      </c>
      <c r="I193" t="str">
        <f t="shared" si="4"/>
        <v>enero</v>
      </c>
      <c r="J193" t="str">
        <f t="shared" si="5"/>
        <v>jueves</v>
      </c>
    </row>
    <row r="194" spans="1:10" x14ac:dyDescent="0.3">
      <c r="A194" s="3">
        <v>763</v>
      </c>
      <c r="B194" t="s">
        <v>197</v>
      </c>
      <c r="C194" t="s">
        <v>15</v>
      </c>
      <c r="D194" s="10">
        <v>60.3</v>
      </c>
      <c r="E194" s="1">
        <v>45872</v>
      </c>
      <c r="F194" s="6" t="s">
        <v>16</v>
      </c>
      <c r="G194" s="11">
        <v>50</v>
      </c>
      <c r="H194" s="11">
        <v>3</v>
      </c>
      <c r="I194" t="str">
        <f t="shared" si="4"/>
        <v>agosto</v>
      </c>
      <c r="J194" t="str">
        <f t="shared" si="5"/>
        <v>domingo</v>
      </c>
    </row>
    <row r="195" spans="1:10" x14ac:dyDescent="0.3">
      <c r="A195" s="3">
        <v>768</v>
      </c>
      <c r="B195" t="s">
        <v>198</v>
      </c>
      <c r="C195" t="s">
        <v>15</v>
      </c>
      <c r="D195" s="10">
        <v>62.2</v>
      </c>
      <c r="E195" s="1">
        <v>45849</v>
      </c>
      <c r="F195" s="6" t="s">
        <v>16</v>
      </c>
      <c r="G195" s="11">
        <v>62</v>
      </c>
      <c r="H195" s="11">
        <v>1</v>
      </c>
      <c r="I195" t="str">
        <f t="shared" ref="I195:I250" si="6">TEXT(E195,"MMMM")</f>
        <v>julio</v>
      </c>
      <c r="J195" t="str">
        <f t="shared" ref="J195:J250" si="7">TEXT(E195,"DDDD")</f>
        <v>viernes</v>
      </c>
    </row>
    <row r="196" spans="1:10" x14ac:dyDescent="0.3">
      <c r="A196" s="3">
        <v>776</v>
      </c>
      <c r="B196" t="s">
        <v>199</v>
      </c>
      <c r="C196" t="s">
        <v>15</v>
      </c>
      <c r="D196" s="10">
        <v>56.5</v>
      </c>
      <c r="E196" s="1">
        <v>45748</v>
      </c>
      <c r="F196" s="6" t="s">
        <v>16</v>
      </c>
      <c r="G196" s="11">
        <v>22</v>
      </c>
      <c r="H196" s="11">
        <v>3</v>
      </c>
      <c r="I196" t="str">
        <f t="shared" si="6"/>
        <v>abril</v>
      </c>
      <c r="J196" t="str">
        <f t="shared" si="7"/>
        <v>martes</v>
      </c>
    </row>
    <row r="197" spans="1:10" x14ac:dyDescent="0.3">
      <c r="A197" s="3">
        <v>777</v>
      </c>
      <c r="B197" t="s">
        <v>200</v>
      </c>
      <c r="C197" t="s">
        <v>19</v>
      </c>
      <c r="D197" s="10">
        <v>80.8</v>
      </c>
      <c r="E197" s="1">
        <v>45746</v>
      </c>
      <c r="F197" s="6" t="s">
        <v>22</v>
      </c>
      <c r="G197" s="11">
        <v>63</v>
      </c>
      <c r="H197" s="11">
        <v>1</v>
      </c>
      <c r="I197" t="str">
        <f t="shared" si="6"/>
        <v>marzo</v>
      </c>
      <c r="J197" t="str">
        <f t="shared" si="7"/>
        <v>domingo</v>
      </c>
    </row>
    <row r="198" spans="1:10" x14ac:dyDescent="0.3">
      <c r="A198" s="3">
        <v>778</v>
      </c>
      <c r="B198" t="s">
        <v>201</v>
      </c>
      <c r="C198" t="s">
        <v>19</v>
      </c>
      <c r="D198" s="10">
        <v>54.5</v>
      </c>
      <c r="E198" s="1">
        <v>45959</v>
      </c>
      <c r="F198" s="6" t="s">
        <v>22</v>
      </c>
      <c r="G198" s="11">
        <v>100</v>
      </c>
      <c r="H198" s="11">
        <v>2</v>
      </c>
      <c r="I198" t="str">
        <f t="shared" si="6"/>
        <v>octubre</v>
      </c>
      <c r="J198" t="str">
        <f t="shared" si="7"/>
        <v>miércoles</v>
      </c>
    </row>
    <row r="199" spans="1:10" x14ac:dyDescent="0.3">
      <c r="A199" s="3">
        <v>786</v>
      </c>
      <c r="B199" t="s">
        <v>202</v>
      </c>
      <c r="C199" t="s">
        <v>12</v>
      </c>
      <c r="D199" s="10">
        <v>61.2</v>
      </c>
      <c r="E199" s="1">
        <v>45833</v>
      </c>
      <c r="F199" s="6" t="s">
        <v>20</v>
      </c>
      <c r="G199" s="11">
        <v>94</v>
      </c>
      <c r="H199" s="11">
        <v>3</v>
      </c>
      <c r="I199" t="str">
        <f t="shared" si="6"/>
        <v>junio</v>
      </c>
      <c r="J199" t="str">
        <f t="shared" si="7"/>
        <v>miércoles</v>
      </c>
    </row>
    <row r="200" spans="1:10" x14ac:dyDescent="0.3">
      <c r="A200" s="3">
        <v>792</v>
      </c>
      <c r="B200" t="s">
        <v>203</v>
      </c>
      <c r="C200" t="s">
        <v>15</v>
      </c>
      <c r="D200" s="10">
        <v>98.4</v>
      </c>
      <c r="E200" s="1">
        <v>45690</v>
      </c>
      <c r="F200" s="6" t="s">
        <v>16</v>
      </c>
      <c r="G200" s="11">
        <v>97</v>
      </c>
      <c r="H200" s="11">
        <v>2</v>
      </c>
      <c r="I200" t="str">
        <f t="shared" si="6"/>
        <v>febrero</v>
      </c>
      <c r="J200" t="str">
        <f t="shared" si="7"/>
        <v>domingo</v>
      </c>
    </row>
    <row r="201" spans="1:10" x14ac:dyDescent="0.3">
      <c r="A201" s="3">
        <v>793</v>
      </c>
      <c r="B201" t="s">
        <v>204</v>
      </c>
      <c r="C201" t="s">
        <v>9</v>
      </c>
      <c r="D201" s="10">
        <v>77.3</v>
      </c>
      <c r="E201" s="1">
        <v>45924</v>
      </c>
      <c r="F201" s="6" t="s">
        <v>22</v>
      </c>
      <c r="G201" s="11">
        <v>74</v>
      </c>
      <c r="H201" s="11">
        <v>3</v>
      </c>
      <c r="I201" t="str">
        <f t="shared" si="6"/>
        <v>septiembre</v>
      </c>
      <c r="J201" t="str">
        <f t="shared" si="7"/>
        <v>miércoles</v>
      </c>
    </row>
    <row r="202" spans="1:10" x14ac:dyDescent="0.3">
      <c r="A202" s="3">
        <v>794</v>
      </c>
      <c r="B202" t="s">
        <v>205</v>
      </c>
      <c r="C202" t="s">
        <v>12</v>
      </c>
      <c r="D202" s="10">
        <v>75.8</v>
      </c>
      <c r="E202" s="1">
        <v>45799</v>
      </c>
      <c r="F202" s="6" t="s">
        <v>20</v>
      </c>
      <c r="G202" s="11">
        <v>97</v>
      </c>
      <c r="H202" s="11">
        <v>2</v>
      </c>
      <c r="I202" t="str">
        <f t="shared" si="6"/>
        <v>mayo</v>
      </c>
      <c r="J202" t="str">
        <f t="shared" si="7"/>
        <v>jueves</v>
      </c>
    </row>
    <row r="203" spans="1:10" x14ac:dyDescent="0.3">
      <c r="A203" s="3">
        <v>797</v>
      </c>
      <c r="B203" t="s">
        <v>206</v>
      </c>
      <c r="C203" t="s">
        <v>12</v>
      </c>
      <c r="D203" s="10">
        <v>67</v>
      </c>
      <c r="E203" s="1">
        <v>45875</v>
      </c>
      <c r="F203" s="6" t="s">
        <v>20</v>
      </c>
      <c r="G203" s="11">
        <v>80</v>
      </c>
      <c r="H203" s="11">
        <v>3</v>
      </c>
      <c r="I203" t="str">
        <f t="shared" si="6"/>
        <v>agosto</v>
      </c>
      <c r="J203" t="str">
        <f t="shared" si="7"/>
        <v>miércoles</v>
      </c>
    </row>
    <row r="204" spans="1:10" x14ac:dyDescent="0.3">
      <c r="A204" s="3">
        <v>798</v>
      </c>
      <c r="B204" t="s">
        <v>207</v>
      </c>
      <c r="C204" t="s">
        <v>24</v>
      </c>
      <c r="D204" s="10">
        <v>96</v>
      </c>
      <c r="E204" s="1">
        <v>45698</v>
      </c>
      <c r="F204" s="6" t="s">
        <v>16</v>
      </c>
      <c r="G204" s="11">
        <v>22</v>
      </c>
      <c r="H204" s="11">
        <v>2</v>
      </c>
      <c r="I204" t="str">
        <f t="shared" si="6"/>
        <v>febrero</v>
      </c>
      <c r="J204" t="str">
        <f t="shared" si="7"/>
        <v>lunes</v>
      </c>
    </row>
    <row r="205" spans="1:10" x14ac:dyDescent="0.3">
      <c r="A205" s="3">
        <v>808</v>
      </c>
      <c r="B205" t="s">
        <v>208</v>
      </c>
      <c r="C205" t="s">
        <v>19</v>
      </c>
      <c r="D205" s="10">
        <v>61.8</v>
      </c>
      <c r="E205" s="1">
        <v>45874</v>
      </c>
      <c r="F205" s="6" t="s">
        <v>22</v>
      </c>
      <c r="G205" s="11">
        <v>88</v>
      </c>
      <c r="H205" s="11">
        <v>1</v>
      </c>
      <c r="I205" t="str">
        <f t="shared" si="6"/>
        <v>agosto</v>
      </c>
      <c r="J205" t="str">
        <f t="shared" si="7"/>
        <v>martes</v>
      </c>
    </row>
    <row r="206" spans="1:10" x14ac:dyDescent="0.3">
      <c r="A206" s="3">
        <v>815</v>
      </c>
      <c r="B206" t="s">
        <v>209</v>
      </c>
      <c r="C206" t="s">
        <v>12</v>
      </c>
      <c r="D206" s="10">
        <v>52.3</v>
      </c>
      <c r="E206" s="1">
        <v>45718</v>
      </c>
      <c r="F206" s="6" t="s">
        <v>13</v>
      </c>
      <c r="G206" s="11">
        <v>55</v>
      </c>
      <c r="H206" s="11">
        <v>2</v>
      </c>
      <c r="I206" t="str">
        <f t="shared" si="6"/>
        <v>marzo</v>
      </c>
      <c r="J206" t="str">
        <f t="shared" si="7"/>
        <v>domingo</v>
      </c>
    </row>
    <row r="207" spans="1:10" x14ac:dyDescent="0.3">
      <c r="A207" s="3">
        <v>820</v>
      </c>
      <c r="B207" t="s">
        <v>210</v>
      </c>
      <c r="C207" t="s">
        <v>24</v>
      </c>
      <c r="D207" s="10">
        <v>98.4</v>
      </c>
      <c r="E207" s="1">
        <v>45796</v>
      </c>
      <c r="F207" s="6" t="s">
        <v>16</v>
      </c>
      <c r="G207" s="11">
        <v>97</v>
      </c>
      <c r="H207" s="11">
        <v>2</v>
      </c>
      <c r="I207" t="str">
        <f t="shared" si="6"/>
        <v>mayo</v>
      </c>
      <c r="J207" t="str">
        <f t="shared" si="7"/>
        <v>lunes</v>
      </c>
    </row>
    <row r="208" spans="1:10" x14ac:dyDescent="0.3">
      <c r="A208" s="3">
        <v>824</v>
      </c>
      <c r="B208" t="s">
        <v>211</v>
      </c>
      <c r="C208" t="s">
        <v>19</v>
      </c>
      <c r="D208" s="10">
        <v>90.2</v>
      </c>
      <c r="E208" s="1">
        <v>45817</v>
      </c>
      <c r="F208" s="6" t="s">
        <v>22</v>
      </c>
      <c r="G208" s="11">
        <v>2</v>
      </c>
      <c r="H208" s="11">
        <v>3</v>
      </c>
      <c r="I208" t="str">
        <f t="shared" si="6"/>
        <v>junio</v>
      </c>
      <c r="J208" t="str">
        <f t="shared" si="7"/>
        <v>lunes</v>
      </c>
    </row>
    <row r="209" spans="1:10" x14ac:dyDescent="0.3">
      <c r="A209" s="3">
        <v>826</v>
      </c>
      <c r="B209" t="s">
        <v>212</v>
      </c>
      <c r="C209" t="s">
        <v>15</v>
      </c>
      <c r="D209" s="10">
        <v>94.4</v>
      </c>
      <c r="E209" s="1">
        <v>45842</v>
      </c>
      <c r="F209" s="6" t="s">
        <v>16</v>
      </c>
      <c r="G209" s="11">
        <v>32</v>
      </c>
      <c r="H209" s="11">
        <v>2</v>
      </c>
      <c r="I209" t="str">
        <f t="shared" si="6"/>
        <v>julio</v>
      </c>
      <c r="J209" t="str">
        <f t="shared" si="7"/>
        <v>viernes</v>
      </c>
    </row>
    <row r="210" spans="1:10" x14ac:dyDescent="0.3">
      <c r="A210" s="3">
        <v>830</v>
      </c>
      <c r="B210" t="s">
        <v>213</v>
      </c>
      <c r="C210" t="s">
        <v>9</v>
      </c>
      <c r="D210" s="10">
        <v>72.2</v>
      </c>
      <c r="E210" s="1">
        <v>45821</v>
      </c>
      <c r="F210" s="6" t="s">
        <v>10</v>
      </c>
      <c r="G210" s="11">
        <v>52</v>
      </c>
      <c r="H210" s="11">
        <v>2</v>
      </c>
      <c r="I210" t="str">
        <f t="shared" si="6"/>
        <v>junio</v>
      </c>
      <c r="J210" t="str">
        <f t="shared" si="7"/>
        <v>viernes</v>
      </c>
    </row>
    <row r="211" spans="1:10" x14ac:dyDescent="0.3">
      <c r="A211" s="3">
        <v>843</v>
      </c>
      <c r="B211" t="s">
        <v>214</v>
      </c>
      <c r="C211" t="s">
        <v>15</v>
      </c>
      <c r="D211" s="10">
        <v>81.599999999999994</v>
      </c>
      <c r="E211" s="1">
        <v>45673</v>
      </c>
      <c r="F211" s="6" t="s">
        <v>16</v>
      </c>
      <c r="G211" s="11">
        <v>64</v>
      </c>
      <c r="H211" s="11">
        <v>3</v>
      </c>
      <c r="I211" t="str">
        <f t="shared" si="6"/>
        <v>enero</v>
      </c>
      <c r="J211" t="str">
        <f t="shared" si="7"/>
        <v>jueves</v>
      </c>
    </row>
    <row r="212" spans="1:10" x14ac:dyDescent="0.3">
      <c r="A212" s="3">
        <v>847</v>
      </c>
      <c r="B212" t="s">
        <v>215</v>
      </c>
      <c r="C212" t="s">
        <v>9</v>
      </c>
      <c r="D212" s="10">
        <v>59.3</v>
      </c>
      <c r="E212" s="1">
        <v>45662</v>
      </c>
      <c r="F212" s="6" t="s">
        <v>22</v>
      </c>
      <c r="G212" s="11">
        <v>3</v>
      </c>
      <c r="H212" s="11">
        <v>3</v>
      </c>
      <c r="I212" t="str">
        <f t="shared" si="6"/>
        <v>enero</v>
      </c>
      <c r="J212" t="str">
        <f t="shared" si="7"/>
        <v>domingo</v>
      </c>
    </row>
    <row r="213" spans="1:10" x14ac:dyDescent="0.3">
      <c r="A213" s="3">
        <v>848</v>
      </c>
      <c r="B213" t="s">
        <v>216</v>
      </c>
      <c r="C213" t="s">
        <v>24</v>
      </c>
      <c r="D213" s="10">
        <v>82.1</v>
      </c>
      <c r="E213" s="1">
        <v>45952</v>
      </c>
      <c r="F213" s="6" t="s">
        <v>16</v>
      </c>
      <c r="G213" s="11">
        <v>48</v>
      </c>
      <c r="H213" s="11">
        <v>1</v>
      </c>
      <c r="I213" t="str">
        <f t="shared" si="6"/>
        <v>octubre</v>
      </c>
      <c r="J213" t="str">
        <f t="shared" si="7"/>
        <v>miércoles</v>
      </c>
    </row>
    <row r="214" spans="1:10" x14ac:dyDescent="0.3">
      <c r="A214" s="3">
        <v>849</v>
      </c>
      <c r="B214" t="s">
        <v>217</v>
      </c>
      <c r="C214" t="s">
        <v>9</v>
      </c>
      <c r="D214" s="10">
        <v>73.8</v>
      </c>
      <c r="E214" s="1">
        <v>45726</v>
      </c>
      <c r="F214" s="6" t="s">
        <v>22</v>
      </c>
      <c r="G214" s="11">
        <v>19</v>
      </c>
      <c r="H214" s="11">
        <v>3</v>
      </c>
      <c r="I214" t="str">
        <f t="shared" si="6"/>
        <v>marzo</v>
      </c>
      <c r="J214" t="str">
        <f t="shared" si="7"/>
        <v>lunes</v>
      </c>
    </row>
    <row r="215" spans="1:10" x14ac:dyDescent="0.3">
      <c r="A215" s="3">
        <v>851</v>
      </c>
      <c r="B215" t="s">
        <v>218</v>
      </c>
      <c r="C215" t="s">
        <v>9</v>
      </c>
      <c r="D215" s="10">
        <v>99</v>
      </c>
      <c r="E215" s="1">
        <v>45965</v>
      </c>
      <c r="F215" s="6" t="s">
        <v>22</v>
      </c>
      <c r="G215" s="11">
        <v>49</v>
      </c>
      <c r="H215" s="11">
        <v>1</v>
      </c>
      <c r="I215" t="str">
        <f t="shared" si="6"/>
        <v>noviembre</v>
      </c>
      <c r="J215" t="str">
        <f t="shared" si="7"/>
        <v>martes</v>
      </c>
    </row>
    <row r="216" spans="1:10" x14ac:dyDescent="0.3">
      <c r="A216" s="3">
        <v>859</v>
      </c>
      <c r="B216" t="s">
        <v>219</v>
      </c>
      <c r="C216" t="s">
        <v>9</v>
      </c>
      <c r="D216" s="10">
        <v>76.8</v>
      </c>
      <c r="E216" s="1">
        <v>45857</v>
      </c>
      <c r="F216" s="6" t="s">
        <v>10</v>
      </c>
      <c r="G216" s="11">
        <v>71</v>
      </c>
      <c r="H216" s="11">
        <v>2</v>
      </c>
      <c r="I216" t="str">
        <f t="shared" si="6"/>
        <v>julio</v>
      </c>
      <c r="J216" t="str">
        <f t="shared" si="7"/>
        <v>sábado</v>
      </c>
    </row>
    <row r="217" spans="1:10" x14ac:dyDescent="0.3">
      <c r="A217" s="3">
        <v>861</v>
      </c>
      <c r="B217" t="s">
        <v>220</v>
      </c>
      <c r="C217" t="s">
        <v>19</v>
      </c>
      <c r="D217" s="10">
        <v>56.4</v>
      </c>
      <c r="E217" s="1">
        <v>45664</v>
      </c>
      <c r="F217" s="6" t="s">
        <v>22</v>
      </c>
      <c r="G217" s="11">
        <v>97</v>
      </c>
      <c r="H217" s="11">
        <v>2</v>
      </c>
      <c r="I217" t="str">
        <f t="shared" si="6"/>
        <v>enero</v>
      </c>
      <c r="J217" t="str">
        <f t="shared" si="7"/>
        <v>martes</v>
      </c>
    </row>
    <row r="218" spans="1:10" x14ac:dyDescent="0.3">
      <c r="A218" s="3">
        <v>862</v>
      </c>
      <c r="B218" t="s">
        <v>221</v>
      </c>
      <c r="C218" t="s">
        <v>15</v>
      </c>
      <c r="D218" s="10">
        <v>88.1</v>
      </c>
      <c r="E218" s="1">
        <v>45643</v>
      </c>
      <c r="F218" s="6" t="s">
        <v>16</v>
      </c>
      <c r="G218" s="11">
        <v>45</v>
      </c>
      <c r="H218" s="11">
        <v>1</v>
      </c>
      <c r="I218" t="str">
        <f t="shared" si="6"/>
        <v>diciembre</v>
      </c>
      <c r="J218" t="str">
        <f t="shared" si="7"/>
        <v>martes</v>
      </c>
    </row>
    <row r="219" spans="1:10" x14ac:dyDescent="0.3">
      <c r="A219" s="3">
        <v>868</v>
      </c>
      <c r="B219" t="s">
        <v>222</v>
      </c>
      <c r="C219" t="s">
        <v>19</v>
      </c>
      <c r="D219" s="10">
        <v>50.8</v>
      </c>
      <c r="E219" s="1">
        <v>45780</v>
      </c>
      <c r="F219" s="6" t="s">
        <v>20</v>
      </c>
      <c r="G219" s="11">
        <v>81</v>
      </c>
      <c r="H219" s="11">
        <v>2</v>
      </c>
      <c r="I219" t="str">
        <f t="shared" si="6"/>
        <v>mayo</v>
      </c>
      <c r="J219" t="str">
        <f t="shared" si="7"/>
        <v>sábado</v>
      </c>
    </row>
    <row r="220" spans="1:10" x14ac:dyDescent="0.3">
      <c r="A220" s="3">
        <v>870</v>
      </c>
      <c r="B220" t="s">
        <v>223</v>
      </c>
      <c r="C220" t="s">
        <v>19</v>
      </c>
      <c r="D220" s="10">
        <v>56.1</v>
      </c>
      <c r="E220" s="1">
        <v>45675</v>
      </c>
      <c r="F220" s="6" t="s">
        <v>20</v>
      </c>
      <c r="G220" s="11">
        <v>55</v>
      </c>
      <c r="H220" s="11">
        <v>3</v>
      </c>
      <c r="I220" t="str">
        <f t="shared" si="6"/>
        <v>enero</v>
      </c>
      <c r="J220" t="str">
        <f t="shared" si="7"/>
        <v>sábado</v>
      </c>
    </row>
    <row r="221" spans="1:10" x14ac:dyDescent="0.3">
      <c r="A221" s="3">
        <v>877</v>
      </c>
      <c r="B221" t="s">
        <v>224</v>
      </c>
      <c r="C221" t="s">
        <v>15</v>
      </c>
      <c r="D221" s="10">
        <v>54.6</v>
      </c>
      <c r="E221" s="1">
        <v>45912</v>
      </c>
      <c r="F221" s="6" t="s">
        <v>16</v>
      </c>
      <c r="G221" s="11">
        <v>48</v>
      </c>
      <c r="H221" s="11">
        <v>2</v>
      </c>
      <c r="I221" t="str">
        <f t="shared" si="6"/>
        <v>septiembre</v>
      </c>
      <c r="J221" t="str">
        <f t="shared" si="7"/>
        <v>viernes</v>
      </c>
    </row>
    <row r="222" spans="1:10" x14ac:dyDescent="0.3">
      <c r="A222" s="3">
        <v>881</v>
      </c>
      <c r="B222" t="s">
        <v>225</v>
      </c>
      <c r="C222" t="s">
        <v>19</v>
      </c>
      <c r="D222" s="10">
        <v>88</v>
      </c>
      <c r="E222" s="1">
        <v>45856</v>
      </c>
      <c r="F222" s="6" t="s">
        <v>22</v>
      </c>
      <c r="G222" s="11">
        <v>51</v>
      </c>
      <c r="H222" s="11">
        <v>1</v>
      </c>
      <c r="I222" t="str">
        <f t="shared" si="6"/>
        <v>julio</v>
      </c>
      <c r="J222" t="str">
        <f t="shared" si="7"/>
        <v>viernes</v>
      </c>
    </row>
    <row r="223" spans="1:10" x14ac:dyDescent="0.3">
      <c r="A223" s="3">
        <v>882</v>
      </c>
      <c r="B223" t="s">
        <v>226</v>
      </c>
      <c r="C223" t="s">
        <v>24</v>
      </c>
      <c r="D223" s="10">
        <v>76.2</v>
      </c>
      <c r="E223" s="1">
        <v>45924</v>
      </c>
      <c r="F223" s="6" t="s">
        <v>16</v>
      </c>
      <c r="G223" s="11">
        <v>100</v>
      </c>
      <c r="H223" s="11">
        <v>1</v>
      </c>
      <c r="I223" t="str">
        <f t="shared" si="6"/>
        <v>septiembre</v>
      </c>
      <c r="J223" t="str">
        <f t="shared" si="7"/>
        <v>miércoles</v>
      </c>
    </row>
    <row r="224" spans="1:10" x14ac:dyDescent="0.3">
      <c r="A224" s="3">
        <v>884</v>
      </c>
      <c r="B224" t="s">
        <v>227</v>
      </c>
      <c r="C224" t="s">
        <v>24</v>
      </c>
      <c r="D224" s="10">
        <v>70.3</v>
      </c>
      <c r="E224" s="1">
        <v>45703</v>
      </c>
      <c r="F224" s="6" t="s">
        <v>16</v>
      </c>
      <c r="G224" s="11">
        <v>100</v>
      </c>
      <c r="H224" s="11">
        <v>1</v>
      </c>
      <c r="I224" t="str">
        <f t="shared" si="6"/>
        <v>febrero</v>
      </c>
      <c r="J224" t="str">
        <f t="shared" si="7"/>
        <v>sábado</v>
      </c>
    </row>
    <row r="225" spans="1:10" x14ac:dyDescent="0.3">
      <c r="A225" s="3">
        <v>886</v>
      </c>
      <c r="B225" t="s">
        <v>228</v>
      </c>
      <c r="C225" t="s">
        <v>24</v>
      </c>
      <c r="D225" s="10">
        <v>99.1</v>
      </c>
      <c r="E225" s="1">
        <v>45968</v>
      </c>
      <c r="F225" s="6" t="s">
        <v>22</v>
      </c>
      <c r="G225" s="11">
        <v>59</v>
      </c>
      <c r="H225" s="11">
        <v>1</v>
      </c>
      <c r="I225" t="str">
        <f t="shared" si="6"/>
        <v>noviembre</v>
      </c>
      <c r="J225" t="str">
        <f t="shared" si="7"/>
        <v>viernes</v>
      </c>
    </row>
    <row r="226" spans="1:10" x14ac:dyDescent="0.3">
      <c r="A226" s="3">
        <v>887</v>
      </c>
      <c r="B226" t="s">
        <v>229</v>
      </c>
      <c r="C226" t="s">
        <v>9</v>
      </c>
      <c r="D226" s="10">
        <v>56.4</v>
      </c>
      <c r="E226" s="1">
        <v>45914</v>
      </c>
      <c r="F226" s="6" t="s">
        <v>22</v>
      </c>
      <c r="G226" s="11">
        <v>100</v>
      </c>
      <c r="H226" s="11">
        <v>1</v>
      </c>
      <c r="I226" t="str">
        <f t="shared" si="6"/>
        <v>septiembre</v>
      </c>
      <c r="J226" t="str">
        <f t="shared" si="7"/>
        <v>domingo</v>
      </c>
    </row>
    <row r="227" spans="1:10" x14ac:dyDescent="0.3">
      <c r="A227" s="3">
        <v>890</v>
      </c>
      <c r="B227" t="s">
        <v>230</v>
      </c>
      <c r="C227" t="s">
        <v>9</v>
      </c>
      <c r="D227" s="10">
        <v>81.7</v>
      </c>
      <c r="E227" s="1">
        <v>45870</v>
      </c>
      <c r="F227" s="6" t="s">
        <v>22</v>
      </c>
      <c r="G227" s="11">
        <v>97</v>
      </c>
      <c r="H227" s="11">
        <v>2</v>
      </c>
      <c r="I227" t="str">
        <f t="shared" si="6"/>
        <v>agosto</v>
      </c>
      <c r="J227" t="str">
        <f t="shared" si="7"/>
        <v>viernes</v>
      </c>
    </row>
    <row r="228" spans="1:10" x14ac:dyDescent="0.3">
      <c r="A228" s="3">
        <v>891</v>
      </c>
      <c r="B228" t="s">
        <v>231</v>
      </c>
      <c r="C228" t="s">
        <v>15</v>
      </c>
      <c r="D228" s="10">
        <v>79.900000000000006</v>
      </c>
      <c r="E228" s="1">
        <v>45657</v>
      </c>
      <c r="F228" s="6" t="s">
        <v>16</v>
      </c>
      <c r="G228" s="11">
        <v>76</v>
      </c>
      <c r="H228" s="11">
        <v>3</v>
      </c>
      <c r="I228" t="str">
        <f t="shared" si="6"/>
        <v>diciembre</v>
      </c>
      <c r="J228" t="str">
        <f t="shared" si="7"/>
        <v>martes</v>
      </c>
    </row>
    <row r="229" spans="1:10" x14ac:dyDescent="0.3">
      <c r="A229" s="3">
        <v>894</v>
      </c>
      <c r="B229" t="s">
        <v>232</v>
      </c>
      <c r="C229" t="s">
        <v>9</v>
      </c>
      <c r="D229" s="10">
        <v>62.9</v>
      </c>
      <c r="E229" s="1">
        <v>45746</v>
      </c>
      <c r="F229" s="6" t="s">
        <v>22</v>
      </c>
      <c r="G229" s="11">
        <v>53</v>
      </c>
      <c r="H229" s="11">
        <v>2</v>
      </c>
      <c r="I229" t="str">
        <f t="shared" si="6"/>
        <v>marzo</v>
      </c>
      <c r="J229" t="str">
        <f t="shared" si="7"/>
        <v>domingo</v>
      </c>
    </row>
    <row r="230" spans="1:10" x14ac:dyDescent="0.3">
      <c r="A230" s="3">
        <v>894</v>
      </c>
      <c r="B230" t="s">
        <v>232</v>
      </c>
      <c r="C230" t="s">
        <v>15</v>
      </c>
      <c r="D230" s="10">
        <v>76.5</v>
      </c>
      <c r="E230" s="1">
        <v>45966</v>
      </c>
      <c r="F230" s="6" t="s">
        <v>16</v>
      </c>
      <c r="G230" s="11">
        <v>97</v>
      </c>
      <c r="H230" s="11">
        <v>2</v>
      </c>
      <c r="I230" t="str">
        <f t="shared" si="6"/>
        <v>noviembre</v>
      </c>
      <c r="J230" t="str">
        <f t="shared" si="7"/>
        <v>miércoles</v>
      </c>
    </row>
    <row r="231" spans="1:10" x14ac:dyDescent="0.3">
      <c r="A231" s="3">
        <v>899</v>
      </c>
      <c r="B231" t="s">
        <v>233</v>
      </c>
      <c r="C231" t="s">
        <v>24</v>
      </c>
      <c r="D231" s="10">
        <v>75.5</v>
      </c>
      <c r="E231" s="1">
        <v>45860</v>
      </c>
      <c r="F231" s="6" t="s">
        <v>16</v>
      </c>
      <c r="G231" s="11">
        <v>57</v>
      </c>
      <c r="H231" s="11">
        <v>2</v>
      </c>
      <c r="I231" t="str">
        <f t="shared" si="6"/>
        <v>julio</v>
      </c>
      <c r="J231" t="str">
        <f t="shared" si="7"/>
        <v>martes</v>
      </c>
    </row>
    <row r="232" spans="1:10" x14ac:dyDescent="0.3">
      <c r="A232" s="3">
        <v>903</v>
      </c>
      <c r="B232" t="s">
        <v>234</v>
      </c>
      <c r="C232" t="s">
        <v>12</v>
      </c>
      <c r="D232" s="10">
        <v>89.8</v>
      </c>
      <c r="E232" s="1">
        <v>45962</v>
      </c>
      <c r="F232" s="6" t="s">
        <v>13</v>
      </c>
      <c r="G232" s="11">
        <v>71</v>
      </c>
      <c r="H232" s="11">
        <v>1</v>
      </c>
      <c r="I232" t="str">
        <f t="shared" si="6"/>
        <v>noviembre</v>
      </c>
      <c r="J232" t="str">
        <f t="shared" si="7"/>
        <v>sábado</v>
      </c>
    </row>
    <row r="233" spans="1:10" x14ac:dyDescent="0.3">
      <c r="A233" s="3">
        <v>904</v>
      </c>
      <c r="B233" t="s">
        <v>235</v>
      </c>
      <c r="C233" t="s">
        <v>12</v>
      </c>
      <c r="D233" s="10">
        <v>79.7</v>
      </c>
      <c r="E233" s="1">
        <v>45679</v>
      </c>
      <c r="F233" s="6" t="s">
        <v>20</v>
      </c>
      <c r="G233" s="11">
        <v>61</v>
      </c>
      <c r="H233" s="11">
        <v>1</v>
      </c>
      <c r="I233" t="str">
        <f t="shared" si="6"/>
        <v>enero</v>
      </c>
      <c r="J233" t="str">
        <f t="shared" si="7"/>
        <v>miércoles</v>
      </c>
    </row>
    <row r="234" spans="1:10" x14ac:dyDescent="0.3">
      <c r="A234" s="3">
        <v>908</v>
      </c>
      <c r="B234" t="s">
        <v>236</v>
      </c>
      <c r="C234" t="s">
        <v>19</v>
      </c>
      <c r="D234" s="10">
        <v>76.5</v>
      </c>
      <c r="E234" s="1">
        <v>45648</v>
      </c>
      <c r="F234" s="6" t="s">
        <v>20</v>
      </c>
      <c r="G234" s="11">
        <v>100</v>
      </c>
      <c r="H234" s="11">
        <v>1</v>
      </c>
      <c r="I234" t="str">
        <f t="shared" si="6"/>
        <v>diciembre</v>
      </c>
      <c r="J234" t="str">
        <f t="shared" si="7"/>
        <v>domingo</v>
      </c>
    </row>
    <row r="235" spans="1:10" x14ac:dyDescent="0.3">
      <c r="A235" s="3">
        <v>909</v>
      </c>
      <c r="B235" t="s">
        <v>237</v>
      </c>
      <c r="C235" t="s">
        <v>19</v>
      </c>
      <c r="D235" s="10">
        <v>73.099999999999994</v>
      </c>
      <c r="E235" s="1">
        <v>45944</v>
      </c>
      <c r="F235" s="6" t="s">
        <v>20</v>
      </c>
      <c r="G235" s="11">
        <v>100</v>
      </c>
      <c r="H235" s="11">
        <v>1</v>
      </c>
      <c r="I235" t="str">
        <f t="shared" si="6"/>
        <v>octubre</v>
      </c>
      <c r="J235" t="str">
        <f t="shared" si="7"/>
        <v>martes</v>
      </c>
    </row>
    <row r="236" spans="1:10" x14ac:dyDescent="0.3">
      <c r="A236" s="3">
        <v>916</v>
      </c>
      <c r="B236" t="s">
        <v>238</v>
      </c>
      <c r="C236" t="s">
        <v>19</v>
      </c>
      <c r="D236" s="10">
        <v>58.9</v>
      </c>
      <c r="E236" s="1">
        <v>45921</v>
      </c>
      <c r="F236" s="6" t="s">
        <v>22</v>
      </c>
      <c r="G236" s="11">
        <v>89</v>
      </c>
      <c r="H236" s="11">
        <v>2</v>
      </c>
      <c r="I236" t="str">
        <f t="shared" si="6"/>
        <v>septiembre</v>
      </c>
      <c r="J236" t="str">
        <f t="shared" si="7"/>
        <v>domingo</v>
      </c>
    </row>
    <row r="237" spans="1:10" x14ac:dyDescent="0.3">
      <c r="A237" s="3">
        <v>920</v>
      </c>
      <c r="B237" t="s">
        <v>239</v>
      </c>
      <c r="C237" t="s">
        <v>12</v>
      </c>
      <c r="D237" s="10">
        <v>97.4</v>
      </c>
      <c r="E237" s="1">
        <v>45689</v>
      </c>
      <c r="F237" s="6" t="s">
        <v>13</v>
      </c>
      <c r="G237" s="11">
        <v>63</v>
      </c>
      <c r="H237" s="11">
        <v>1</v>
      </c>
      <c r="I237" t="str">
        <f t="shared" si="6"/>
        <v>febrero</v>
      </c>
      <c r="J237" t="str">
        <f t="shared" si="7"/>
        <v>sábado</v>
      </c>
    </row>
    <row r="238" spans="1:10" x14ac:dyDescent="0.3">
      <c r="A238" s="3">
        <v>925</v>
      </c>
      <c r="B238" t="s">
        <v>240</v>
      </c>
      <c r="C238" t="s">
        <v>12</v>
      </c>
      <c r="D238" s="10">
        <v>75</v>
      </c>
      <c r="E238" s="1">
        <v>45698</v>
      </c>
      <c r="F238" s="6" t="s">
        <v>20</v>
      </c>
      <c r="G238" s="11">
        <v>38</v>
      </c>
      <c r="H238" s="11">
        <v>2</v>
      </c>
      <c r="I238" t="str">
        <f t="shared" si="6"/>
        <v>febrero</v>
      </c>
      <c r="J238" t="str">
        <f t="shared" si="7"/>
        <v>lunes</v>
      </c>
    </row>
    <row r="239" spans="1:10" x14ac:dyDescent="0.3">
      <c r="A239" s="3">
        <v>927</v>
      </c>
      <c r="B239" t="s">
        <v>241</v>
      </c>
      <c r="C239" t="s">
        <v>19</v>
      </c>
      <c r="D239" s="10">
        <v>76.099999999999994</v>
      </c>
      <c r="E239" s="1">
        <v>45960</v>
      </c>
      <c r="F239" s="6" t="s">
        <v>22</v>
      </c>
      <c r="G239" s="11">
        <v>31</v>
      </c>
      <c r="H239" s="11">
        <v>1</v>
      </c>
      <c r="I239" t="str">
        <f t="shared" si="6"/>
        <v>octubre</v>
      </c>
      <c r="J239" t="str">
        <f t="shared" si="7"/>
        <v>jueves</v>
      </c>
    </row>
    <row r="240" spans="1:10" x14ac:dyDescent="0.3">
      <c r="A240" s="3">
        <v>929</v>
      </c>
      <c r="B240" t="s">
        <v>242</v>
      </c>
      <c r="C240" t="s">
        <v>9</v>
      </c>
      <c r="D240" s="10">
        <v>83.2</v>
      </c>
      <c r="E240" s="1">
        <v>45973</v>
      </c>
      <c r="F240" s="6" t="s">
        <v>10</v>
      </c>
      <c r="G240" s="11">
        <v>74</v>
      </c>
      <c r="H240" s="11">
        <v>3</v>
      </c>
      <c r="I240" t="str">
        <f t="shared" si="6"/>
        <v>noviembre</v>
      </c>
      <c r="J240" t="str">
        <f t="shared" si="7"/>
        <v>miércoles</v>
      </c>
    </row>
    <row r="241" spans="1:10" x14ac:dyDescent="0.3">
      <c r="A241" s="3">
        <v>930</v>
      </c>
      <c r="B241" t="s">
        <v>243</v>
      </c>
      <c r="C241" t="s">
        <v>9</v>
      </c>
      <c r="D241" s="10">
        <v>80.900000000000006</v>
      </c>
      <c r="E241" s="1">
        <v>45969</v>
      </c>
      <c r="F241" s="6" t="s">
        <v>22</v>
      </c>
      <c r="G241" s="11">
        <v>53</v>
      </c>
      <c r="H241" s="11">
        <v>3</v>
      </c>
      <c r="I241" t="str">
        <f t="shared" si="6"/>
        <v>noviembre</v>
      </c>
      <c r="J241" t="str">
        <f t="shared" si="7"/>
        <v>sábado</v>
      </c>
    </row>
    <row r="242" spans="1:10" x14ac:dyDescent="0.3">
      <c r="A242" s="3">
        <v>933</v>
      </c>
      <c r="B242" t="s">
        <v>244</v>
      </c>
      <c r="C242" t="s">
        <v>12</v>
      </c>
      <c r="D242" s="10">
        <v>84.3</v>
      </c>
      <c r="E242" s="1">
        <v>45897</v>
      </c>
      <c r="F242" s="6" t="s">
        <v>13</v>
      </c>
      <c r="G242" s="11">
        <v>85</v>
      </c>
      <c r="H242" s="11">
        <v>2</v>
      </c>
      <c r="I242" t="str">
        <f t="shared" si="6"/>
        <v>agosto</v>
      </c>
      <c r="J242" t="str">
        <f t="shared" si="7"/>
        <v>jueves</v>
      </c>
    </row>
    <row r="243" spans="1:10" x14ac:dyDescent="0.3">
      <c r="A243" s="3">
        <v>940</v>
      </c>
      <c r="B243" t="s">
        <v>245</v>
      </c>
      <c r="C243" t="s">
        <v>9</v>
      </c>
      <c r="D243" s="10">
        <v>65.099999999999994</v>
      </c>
      <c r="E243" s="1">
        <v>45985</v>
      </c>
      <c r="F243" s="6" t="s">
        <v>10</v>
      </c>
      <c r="G243" s="11">
        <v>41</v>
      </c>
      <c r="H243" s="11">
        <v>3</v>
      </c>
      <c r="I243" t="str">
        <f t="shared" si="6"/>
        <v>noviembre</v>
      </c>
      <c r="J243" t="str">
        <f t="shared" si="7"/>
        <v>lunes</v>
      </c>
    </row>
    <row r="244" spans="1:10" x14ac:dyDescent="0.3">
      <c r="A244" s="3">
        <v>945</v>
      </c>
      <c r="B244" t="s">
        <v>246</v>
      </c>
      <c r="C244" t="s">
        <v>15</v>
      </c>
      <c r="D244" s="10">
        <v>76.099999999999994</v>
      </c>
      <c r="E244" s="1">
        <v>45701</v>
      </c>
      <c r="F244" s="6" t="s">
        <v>16</v>
      </c>
      <c r="G244" s="11">
        <v>61</v>
      </c>
      <c r="H244" s="11">
        <v>3</v>
      </c>
      <c r="I244" t="str">
        <f t="shared" si="6"/>
        <v>febrero</v>
      </c>
      <c r="J244" t="str">
        <f t="shared" si="7"/>
        <v>jueves</v>
      </c>
    </row>
    <row r="245" spans="1:10" x14ac:dyDescent="0.3">
      <c r="A245" s="3">
        <v>954</v>
      </c>
      <c r="B245" t="s">
        <v>247</v>
      </c>
      <c r="C245" t="s">
        <v>12</v>
      </c>
      <c r="D245" s="10">
        <v>62.4</v>
      </c>
      <c r="E245" s="1">
        <v>45835</v>
      </c>
      <c r="F245" s="6" t="s">
        <v>13</v>
      </c>
      <c r="G245" s="11">
        <v>70</v>
      </c>
      <c r="H245" s="11">
        <v>1</v>
      </c>
      <c r="I245" t="str">
        <f t="shared" si="6"/>
        <v>junio</v>
      </c>
      <c r="J245" t="str">
        <f t="shared" si="7"/>
        <v>viernes</v>
      </c>
    </row>
    <row r="246" spans="1:10" x14ac:dyDescent="0.3">
      <c r="A246" s="3">
        <v>960</v>
      </c>
      <c r="B246" t="s">
        <v>248</v>
      </c>
      <c r="C246" t="s">
        <v>19</v>
      </c>
      <c r="D246" s="10">
        <v>95.3</v>
      </c>
      <c r="E246" s="1">
        <v>45768</v>
      </c>
      <c r="F246" s="6" t="s">
        <v>22</v>
      </c>
      <c r="G246" s="11">
        <v>84</v>
      </c>
      <c r="H246" s="11">
        <v>1</v>
      </c>
      <c r="I246" t="str">
        <f t="shared" si="6"/>
        <v>abril</v>
      </c>
      <c r="J246" t="str">
        <f t="shared" si="7"/>
        <v>lunes</v>
      </c>
    </row>
    <row r="247" spans="1:10" x14ac:dyDescent="0.3">
      <c r="A247" s="3">
        <v>971</v>
      </c>
      <c r="B247" t="s">
        <v>249</v>
      </c>
      <c r="C247" t="s">
        <v>19</v>
      </c>
      <c r="D247" s="10">
        <v>90.5</v>
      </c>
      <c r="E247" s="1">
        <v>45794</v>
      </c>
      <c r="F247" s="6" t="s">
        <v>22</v>
      </c>
      <c r="G247" s="11">
        <v>100</v>
      </c>
      <c r="H247" s="11">
        <v>1</v>
      </c>
      <c r="I247" t="str">
        <f t="shared" si="6"/>
        <v>mayo</v>
      </c>
      <c r="J247" t="str">
        <f t="shared" si="7"/>
        <v>sábado</v>
      </c>
    </row>
    <row r="248" spans="1:10" x14ac:dyDescent="0.3">
      <c r="A248" s="3">
        <v>983</v>
      </c>
      <c r="B248" t="s">
        <v>250</v>
      </c>
      <c r="C248" t="s">
        <v>12</v>
      </c>
      <c r="D248" s="10">
        <v>65.900000000000006</v>
      </c>
      <c r="E248" s="1">
        <v>45788</v>
      </c>
      <c r="F248" s="6" t="s">
        <v>13</v>
      </c>
      <c r="G248" s="11">
        <v>27</v>
      </c>
      <c r="H248" s="11">
        <v>2</v>
      </c>
      <c r="I248" t="str">
        <f t="shared" si="6"/>
        <v>mayo</v>
      </c>
      <c r="J248" t="str">
        <f t="shared" si="7"/>
        <v>domingo</v>
      </c>
    </row>
    <row r="249" spans="1:10" x14ac:dyDescent="0.3">
      <c r="A249" s="3">
        <v>988</v>
      </c>
      <c r="B249" t="s">
        <v>251</v>
      </c>
      <c r="C249" t="s">
        <v>24</v>
      </c>
      <c r="D249" s="10">
        <v>86</v>
      </c>
      <c r="E249" s="1">
        <v>45718</v>
      </c>
      <c r="F249" s="6" t="s">
        <v>22</v>
      </c>
      <c r="G249" s="11">
        <v>51</v>
      </c>
      <c r="H249" s="11">
        <v>2</v>
      </c>
      <c r="I249" t="str">
        <f t="shared" si="6"/>
        <v>marzo</v>
      </c>
      <c r="J249" t="str">
        <f t="shared" si="7"/>
        <v>domingo</v>
      </c>
    </row>
    <row r="250" spans="1:10" x14ac:dyDescent="0.3">
      <c r="A250" s="3">
        <v>997</v>
      </c>
      <c r="B250" t="s">
        <v>252</v>
      </c>
      <c r="C250" t="s">
        <v>15</v>
      </c>
      <c r="D250" s="10">
        <v>88.3</v>
      </c>
      <c r="E250" s="1">
        <v>45899</v>
      </c>
      <c r="F250" s="6" t="s">
        <v>16</v>
      </c>
      <c r="G250" s="11">
        <v>12</v>
      </c>
      <c r="H250" s="11">
        <v>3</v>
      </c>
      <c r="I250" t="str">
        <f t="shared" si="6"/>
        <v>agosto</v>
      </c>
      <c r="J250" t="str">
        <f t="shared" si="7"/>
        <v>sábado</v>
      </c>
    </row>
  </sheetData>
  <autoFilter ref="A1:H250" xr:uid="{27E7644A-7543-47C6-8A34-486DD1AC74BB}"/>
  <conditionalFormatting sqref="D2:D250">
    <cfRule type="cellIs" dxfId="2" priority="2" operator="greaterThan">
      <formula>80</formula>
    </cfRule>
    <cfRule type="cellIs" dxfId="1" priority="3" operator="between">
      <formula>60</formula>
      <formula>80</formula>
    </cfRule>
    <cfRule type="cellIs" dxfId="0" priority="6" operator="lessThan">
      <formula>60</formula>
    </cfRule>
  </conditionalFormatting>
  <conditionalFormatting sqref="G2:G250">
    <cfRule type="iconSet" priority="1">
      <iconSet iconSet="3Arrows">
        <cfvo type="percent" val="0"/>
        <cfvo type="num" val="60"/>
        <cfvo type="num" val="80" gte="0"/>
      </iconSet>
    </cfRule>
  </conditionalFormatting>
  <conditionalFormatting sqref="H2:H25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{1A866FB4-9B23-4812-A0F1-735248543F97}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866FB4-9B23-4812-A0F1-735248543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H2:H250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B24-4542-48A6-AEFF-35ACF05AC819}">
  <sheetPr filterMode="1">
    <tabColor rgb="FFFFFF00"/>
  </sheetPr>
  <dimension ref="A1:J258"/>
  <sheetViews>
    <sheetView topLeftCell="A189" zoomScaleNormal="100" workbookViewId="0">
      <selection activeCell="I254" sqref="I254"/>
    </sheetView>
  </sheetViews>
  <sheetFormatPr baseColWidth="10" defaultColWidth="11.44140625" defaultRowHeight="14.4" x14ac:dyDescent="0.3"/>
  <cols>
    <col min="1" max="1" width="18.6640625" customWidth="1"/>
    <col min="2" max="2" width="23.33203125" bestFit="1" customWidth="1"/>
    <col min="3" max="3" width="13.21875" customWidth="1"/>
    <col min="4" max="4" width="13.109375" style="9" customWidth="1"/>
    <col min="5" max="5" width="17.6640625" style="1" customWidth="1"/>
    <col min="6" max="6" width="19.6640625" style="6" customWidth="1"/>
    <col min="7" max="7" width="14.44140625" style="11" customWidth="1"/>
    <col min="8" max="8" width="16.5546875" style="11" customWidth="1"/>
  </cols>
  <sheetData>
    <row r="1" spans="1:10" ht="58.2" customHeight="1" x14ac:dyDescent="0.3">
      <c r="A1" s="31" t="s">
        <v>279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">
      <c r="A2" s="22" t="s">
        <v>0</v>
      </c>
      <c r="B2" s="22" t="s">
        <v>1</v>
      </c>
      <c r="C2" s="22" t="s">
        <v>2</v>
      </c>
      <c r="D2" s="23" t="s">
        <v>3</v>
      </c>
      <c r="E2" s="24" t="s">
        <v>4</v>
      </c>
      <c r="F2" s="25" t="s">
        <v>5</v>
      </c>
      <c r="G2" s="26" t="s">
        <v>6</v>
      </c>
      <c r="H2" s="26" t="s">
        <v>7</v>
      </c>
      <c r="I2" s="27" t="s">
        <v>253</v>
      </c>
      <c r="J2" s="27" t="s">
        <v>254</v>
      </c>
    </row>
    <row r="3" spans="1:10" x14ac:dyDescent="0.3">
      <c r="A3" s="16">
        <v>2</v>
      </c>
      <c r="B3" s="17" t="s">
        <v>8</v>
      </c>
      <c r="C3" s="17" t="s">
        <v>9</v>
      </c>
      <c r="D3" s="18">
        <v>92.7</v>
      </c>
      <c r="E3" s="19">
        <v>45735</v>
      </c>
      <c r="F3" s="20" t="s">
        <v>10</v>
      </c>
      <c r="G3" s="21">
        <v>49</v>
      </c>
      <c r="H3" s="21">
        <v>1</v>
      </c>
      <c r="I3" s="17" t="str">
        <f>TEXT(E3,"MMMM")</f>
        <v>marzo</v>
      </c>
      <c r="J3" s="17" t="str">
        <f>TEXT(E3,"DDDD")</f>
        <v>miércoles</v>
      </c>
    </row>
    <row r="4" spans="1:10" hidden="1" x14ac:dyDescent="0.3">
      <c r="A4" s="16">
        <v>6</v>
      </c>
      <c r="B4" s="17" t="s">
        <v>11</v>
      </c>
      <c r="C4" s="17" t="s">
        <v>12</v>
      </c>
      <c r="D4" s="18">
        <v>87.6</v>
      </c>
      <c r="E4" s="19">
        <v>45803</v>
      </c>
      <c r="F4" s="20" t="s">
        <v>13</v>
      </c>
      <c r="G4" s="21">
        <v>73</v>
      </c>
      <c r="H4" s="21">
        <v>1</v>
      </c>
      <c r="I4" s="17" t="str">
        <f t="shared" ref="I4:I67" si="0">TEXT(E4,"MMMM")</f>
        <v>mayo</v>
      </c>
      <c r="J4" s="17" t="str">
        <f t="shared" ref="J4:J67" si="1">TEXT(E4,"DDDD")</f>
        <v>lunes</v>
      </c>
    </row>
    <row r="5" spans="1:10" hidden="1" x14ac:dyDescent="0.3">
      <c r="A5" s="16">
        <v>9</v>
      </c>
      <c r="B5" s="17" t="s">
        <v>14</v>
      </c>
      <c r="C5" s="17" t="s">
        <v>15</v>
      </c>
      <c r="D5" s="18">
        <v>69.400000000000006</v>
      </c>
      <c r="E5" s="19">
        <v>45642</v>
      </c>
      <c r="F5" s="20" t="s">
        <v>16</v>
      </c>
      <c r="G5" s="21">
        <v>30</v>
      </c>
      <c r="H5" s="21">
        <v>1</v>
      </c>
      <c r="I5" s="17" t="str">
        <f t="shared" si="0"/>
        <v>diciembre</v>
      </c>
      <c r="J5" s="17" t="str">
        <f t="shared" si="1"/>
        <v>lunes</v>
      </c>
    </row>
    <row r="6" spans="1:10" x14ac:dyDescent="0.3">
      <c r="A6" s="16">
        <v>23</v>
      </c>
      <c r="B6" s="17" t="s">
        <v>17</v>
      </c>
      <c r="C6" s="17" t="s">
        <v>12</v>
      </c>
      <c r="D6" s="18">
        <v>85.3</v>
      </c>
      <c r="E6" s="19">
        <v>45739</v>
      </c>
      <c r="F6" s="20" t="s">
        <v>13</v>
      </c>
      <c r="G6" s="21">
        <v>100</v>
      </c>
      <c r="H6" s="21">
        <v>1</v>
      </c>
      <c r="I6" s="17" t="str">
        <f t="shared" si="0"/>
        <v>marzo</v>
      </c>
      <c r="J6" s="17" t="str">
        <f t="shared" si="1"/>
        <v>domingo</v>
      </c>
    </row>
    <row r="7" spans="1:10" hidden="1" x14ac:dyDescent="0.3">
      <c r="A7" s="16">
        <v>25</v>
      </c>
      <c r="B7" s="17" t="s">
        <v>18</v>
      </c>
      <c r="C7" s="17" t="s">
        <v>9</v>
      </c>
      <c r="D7" s="18">
        <v>57.3</v>
      </c>
      <c r="E7" s="19">
        <v>45957</v>
      </c>
      <c r="F7" s="20" t="s">
        <v>10</v>
      </c>
      <c r="G7" s="21">
        <v>41</v>
      </c>
      <c r="H7" s="21">
        <v>2</v>
      </c>
      <c r="I7" s="17" t="str">
        <f t="shared" si="0"/>
        <v>octubre</v>
      </c>
      <c r="J7" s="17" t="str">
        <f t="shared" si="1"/>
        <v>lunes</v>
      </c>
    </row>
    <row r="8" spans="1:10" hidden="1" x14ac:dyDescent="0.3">
      <c r="A8" s="16">
        <v>25</v>
      </c>
      <c r="B8" s="17" t="s">
        <v>18</v>
      </c>
      <c r="C8" s="17" t="s">
        <v>12</v>
      </c>
      <c r="D8" s="18">
        <v>83.5</v>
      </c>
      <c r="E8" s="19">
        <v>45963</v>
      </c>
      <c r="F8" s="20" t="s">
        <v>13</v>
      </c>
      <c r="G8" s="21">
        <v>26</v>
      </c>
      <c r="H8" s="21">
        <v>3</v>
      </c>
      <c r="I8" s="17" t="str">
        <f t="shared" si="0"/>
        <v>noviembre</v>
      </c>
      <c r="J8" s="17" t="str">
        <f t="shared" si="1"/>
        <v>domingo</v>
      </c>
    </row>
    <row r="9" spans="1:10" hidden="1" x14ac:dyDescent="0.3">
      <c r="A9" s="16">
        <v>25</v>
      </c>
      <c r="B9" s="17" t="s">
        <v>18</v>
      </c>
      <c r="C9" s="17" t="s">
        <v>19</v>
      </c>
      <c r="D9" s="18">
        <v>69.3</v>
      </c>
      <c r="E9" s="19">
        <v>45970</v>
      </c>
      <c r="F9" s="20" t="s">
        <v>20</v>
      </c>
      <c r="G9" s="21">
        <v>41</v>
      </c>
      <c r="H9" s="21">
        <v>2</v>
      </c>
      <c r="I9" s="17" t="str">
        <f t="shared" si="0"/>
        <v>noviembre</v>
      </c>
      <c r="J9" s="17" t="str">
        <f t="shared" si="1"/>
        <v>domingo</v>
      </c>
    </row>
    <row r="10" spans="1:10" hidden="1" x14ac:dyDescent="0.3">
      <c r="A10" s="16">
        <v>29</v>
      </c>
      <c r="B10" s="17" t="s">
        <v>21</v>
      </c>
      <c r="C10" s="17" t="s">
        <v>9</v>
      </c>
      <c r="D10" s="18">
        <v>51.5</v>
      </c>
      <c r="E10" s="19">
        <v>45788</v>
      </c>
      <c r="F10" s="20" t="s">
        <v>22</v>
      </c>
      <c r="G10" s="21">
        <v>72</v>
      </c>
      <c r="H10" s="21">
        <v>1</v>
      </c>
      <c r="I10" s="17" t="str">
        <f t="shared" si="0"/>
        <v>mayo</v>
      </c>
      <c r="J10" s="17" t="str">
        <f t="shared" si="1"/>
        <v>domingo</v>
      </c>
    </row>
    <row r="11" spans="1:10" hidden="1" x14ac:dyDescent="0.3">
      <c r="A11" s="16">
        <v>34</v>
      </c>
      <c r="B11" s="17" t="s">
        <v>23</v>
      </c>
      <c r="C11" s="17" t="s">
        <v>24</v>
      </c>
      <c r="D11" s="18">
        <v>58</v>
      </c>
      <c r="E11" s="19">
        <v>45910</v>
      </c>
      <c r="F11" s="20" t="s">
        <v>16</v>
      </c>
      <c r="G11" s="21">
        <v>78</v>
      </c>
      <c r="H11" s="21">
        <v>1</v>
      </c>
      <c r="I11" s="17" t="str">
        <f t="shared" si="0"/>
        <v>septiembre</v>
      </c>
      <c r="J11" s="17" t="str">
        <f t="shared" si="1"/>
        <v>miércoles</v>
      </c>
    </row>
    <row r="12" spans="1:10" hidden="1" x14ac:dyDescent="0.3">
      <c r="A12" s="16">
        <v>35</v>
      </c>
      <c r="B12" s="17" t="s">
        <v>25</v>
      </c>
      <c r="C12" s="17" t="s">
        <v>15</v>
      </c>
      <c r="D12" s="18">
        <v>59.3</v>
      </c>
      <c r="E12" s="19">
        <v>45665</v>
      </c>
      <c r="F12" s="20" t="s">
        <v>16</v>
      </c>
      <c r="G12" s="21">
        <v>80</v>
      </c>
      <c r="H12" s="21">
        <v>2</v>
      </c>
      <c r="I12" s="17" t="str">
        <f t="shared" si="0"/>
        <v>enero</v>
      </c>
      <c r="J12" s="17" t="str">
        <f t="shared" si="1"/>
        <v>miércoles</v>
      </c>
    </row>
    <row r="13" spans="1:10" hidden="1" x14ac:dyDescent="0.3">
      <c r="A13" s="16">
        <v>36</v>
      </c>
      <c r="B13" s="17" t="s">
        <v>26</v>
      </c>
      <c r="C13" s="17" t="s">
        <v>15</v>
      </c>
      <c r="D13" s="18">
        <v>66.3</v>
      </c>
      <c r="E13" s="19">
        <v>45908</v>
      </c>
      <c r="F13" s="20" t="s">
        <v>16</v>
      </c>
      <c r="G13" s="21">
        <v>98</v>
      </c>
      <c r="H13" s="21">
        <v>1</v>
      </c>
      <c r="I13" s="17" t="str">
        <f t="shared" si="0"/>
        <v>septiembre</v>
      </c>
      <c r="J13" s="17" t="str">
        <f t="shared" si="1"/>
        <v>lunes</v>
      </c>
    </row>
    <row r="14" spans="1:10" hidden="1" x14ac:dyDescent="0.3">
      <c r="A14" s="16">
        <v>44</v>
      </c>
      <c r="B14" s="17" t="s">
        <v>27</v>
      </c>
      <c r="C14" s="17" t="s">
        <v>24</v>
      </c>
      <c r="D14" s="18">
        <v>64</v>
      </c>
      <c r="E14" s="19">
        <v>45754</v>
      </c>
      <c r="F14" s="20" t="s">
        <v>16</v>
      </c>
      <c r="G14" s="21">
        <v>18</v>
      </c>
      <c r="H14" s="21">
        <v>3</v>
      </c>
      <c r="I14" s="17" t="str">
        <f t="shared" si="0"/>
        <v>abril</v>
      </c>
      <c r="J14" s="17" t="str">
        <f t="shared" si="1"/>
        <v>lunes</v>
      </c>
    </row>
    <row r="15" spans="1:10" hidden="1" x14ac:dyDescent="0.3">
      <c r="A15" s="16">
        <v>46</v>
      </c>
      <c r="B15" s="17" t="s">
        <v>28</v>
      </c>
      <c r="C15" s="17" t="s">
        <v>12</v>
      </c>
      <c r="D15" s="18">
        <v>98.8</v>
      </c>
      <c r="E15" s="19">
        <v>45770</v>
      </c>
      <c r="F15" s="20" t="s">
        <v>20</v>
      </c>
      <c r="G15" s="21">
        <v>59</v>
      </c>
      <c r="H15" s="21">
        <v>1</v>
      </c>
      <c r="I15" s="17" t="str">
        <f t="shared" si="0"/>
        <v>abril</v>
      </c>
      <c r="J15" s="17" t="str">
        <f t="shared" si="1"/>
        <v>miércoles</v>
      </c>
    </row>
    <row r="16" spans="1:10" x14ac:dyDescent="0.3">
      <c r="A16" s="16">
        <v>51</v>
      </c>
      <c r="B16" s="17" t="s">
        <v>29</v>
      </c>
      <c r="C16" s="17" t="s">
        <v>12</v>
      </c>
      <c r="D16" s="18">
        <v>82.6</v>
      </c>
      <c r="E16" s="19">
        <v>45685</v>
      </c>
      <c r="F16" s="20" t="s">
        <v>20</v>
      </c>
      <c r="G16" s="21">
        <v>100</v>
      </c>
      <c r="H16" s="21">
        <v>3</v>
      </c>
      <c r="I16" s="17" t="str">
        <f t="shared" si="0"/>
        <v>enero</v>
      </c>
      <c r="J16" s="17" t="str">
        <f t="shared" si="1"/>
        <v>martes</v>
      </c>
    </row>
    <row r="17" spans="1:10" hidden="1" x14ac:dyDescent="0.3">
      <c r="A17" s="16">
        <v>56</v>
      </c>
      <c r="B17" s="17" t="s">
        <v>30</v>
      </c>
      <c r="C17" s="17" t="s">
        <v>19</v>
      </c>
      <c r="D17" s="18">
        <v>60.6</v>
      </c>
      <c r="E17" s="19">
        <v>45840</v>
      </c>
      <c r="F17" s="20" t="s">
        <v>16</v>
      </c>
      <c r="G17" s="21">
        <v>54</v>
      </c>
      <c r="H17" s="21">
        <v>3</v>
      </c>
      <c r="I17" s="17" t="str">
        <f t="shared" si="0"/>
        <v>julio</v>
      </c>
      <c r="J17" s="17" t="str">
        <f t="shared" si="1"/>
        <v>miércoles</v>
      </c>
    </row>
    <row r="18" spans="1:10" hidden="1" x14ac:dyDescent="0.3">
      <c r="A18" s="16">
        <v>62</v>
      </c>
      <c r="B18" s="17" t="s">
        <v>31</v>
      </c>
      <c r="C18" s="17" t="s">
        <v>9</v>
      </c>
      <c r="D18" s="18">
        <v>81.3</v>
      </c>
      <c r="E18" s="19">
        <v>45647</v>
      </c>
      <c r="F18" s="20" t="s">
        <v>22</v>
      </c>
      <c r="G18" s="21">
        <v>26</v>
      </c>
      <c r="H18" s="21">
        <v>2</v>
      </c>
      <c r="I18" s="17" t="str">
        <f t="shared" si="0"/>
        <v>diciembre</v>
      </c>
      <c r="J18" s="17" t="str">
        <f t="shared" si="1"/>
        <v>sábado</v>
      </c>
    </row>
    <row r="19" spans="1:10" hidden="1" x14ac:dyDescent="0.3">
      <c r="A19" s="16">
        <v>63</v>
      </c>
      <c r="B19" s="17" t="s">
        <v>32</v>
      </c>
      <c r="C19" s="17" t="s">
        <v>12</v>
      </c>
      <c r="D19" s="18">
        <v>93.4</v>
      </c>
      <c r="E19" s="19">
        <v>45631</v>
      </c>
      <c r="F19" s="20" t="s">
        <v>13</v>
      </c>
      <c r="G19" s="21">
        <v>38</v>
      </c>
      <c r="H19" s="21">
        <v>2</v>
      </c>
      <c r="I19" s="17" t="str">
        <f t="shared" si="0"/>
        <v>diciembre</v>
      </c>
      <c r="J19" s="17" t="str">
        <f t="shared" si="1"/>
        <v>jueves</v>
      </c>
    </row>
    <row r="20" spans="1:10" hidden="1" x14ac:dyDescent="0.3">
      <c r="A20" s="16">
        <v>63</v>
      </c>
      <c r="B20" s="17" t="s">
        <v>32</v>
      </c>
      <c r="C20" s="17" t="s">
        <v>15</v>
      </c>
      <c r="D20" s="18">
        <v>78.900000000000006</v>
      </c>
      <c r="E20" s="19">
        <v>45849</v>
      </c>
      <c r="F20" s="20" t="s">
        <v>16</v>
      </c>
      <c r="G20" s="21">
        <v>38</v>
      </c>
      <c r="H20" s="21">
        <v>3</v>
      </c>
      <c r="I20" s="17" t="str">
        <f t="shared" si="0"/>
        <v>julio</v>
      </c>
      <c r="J20" s="17" t="str">
        <f t="shared" si="1"/>
        <v>viernes</v>
      </c>
    </row>
    <row r="21" spans="1:10" hidden="1" x14ac:dyDescent="0.3">
      <c r="A21" s="16">
        <v>63</v>
      </c>
      <c r="B21" s="17" t="s">
        <v>32</v>
      </c>
      <c r="C21" s="17" t="s">
        <v>24</v>
      </c>
      <c r="D21" s="18">
        <v>59.2</v>
      </c>
      <c r="E21" s="19">
        <v>45922</v>
      </c>
      <c r="F21" s="20" t="s">
        <v>22</v>
      </c>
      <c r="G21" s="21">
        <v>42</v>
      </c>
      <c r="H21" s="21">
        <v>1</v>
      </c>
      <c r="I21" s="17" t="str">
        <f t="shared" si="0"/>
        <v>septiembre</v>
      </c>
      <c r="J21" s="17" t="str">
        <f t="shared" si="1"/>
        <v>lunes</v>
      </c>
    </row>
    <row r="22" spans="1:10" hidden="1" x14ac:dyDescent="0.3">
      <c r="A22" s="16">
        <v>70</v>
      </c>
      <c r="B22" s="17" t="s">
        <v>33</v>
      </c>
      <c r="C22" s="17" t="s">
        <v>19</v>
      </c>
      <c r="D22" s="18">
        <v>52.7</v>
      </c>
      <c r="E22" s="19">
        <v>45766</v>
      </c>
      <c r="F22" s="20" t="s">
        <v>20</v>
      </c>
      <c r="G22" s="21">
        <v>34</v>
      </c>
      <c r="H22" s="21">
        <v>3</v>
      </c>
      <c r="I22" s="17" t="str">
        <f t="shared" si="0"/>
        <v>abril</v>
      </c>
      <c r="J22" s="17" t="str">
        <f t="shared" si="1"/>
        <v>sábado</v>
      </c>
    </row>
    <row r="23" spans="1:10" hidden="1" x14ac:dyDescent="0.3">
      <c r="A23" s="16">
        <v>73</v>
      </c>
      <c r="B23" s="17" t="s">
        <v>34</v>
      </c>
      <c r="C23" s="17" t="s">
        <v>19</v>
      </c>
      <c r="D23" s="18">
        <v>97.8</v>
      </c>
      <c r="E23" s="19">
        <v>45942</v>
      </c>
      <c r="F23" s="20" t="s">
        <v>16</v>
      </c>
      <c r="G23" s="21">
        <v>87</v>
      </c>
      <c r="H23" s="21">
        <v>1</v>
      </c>
      <c r="I23" s="17" t="str">
        <f t="shared" si="0"/>
        <v>octubre</v>
      </c>
      <c r="J23" s="17" t="str">
        <f t="shared" si="1"/>
        <v>domingo</v>
      </c>
    </row>
    <row r="24" spans="1:10" hidden="1" x14ac:dyDescent="0.3">
      <c r="A24" s="16">
        <v>81</v>
      </c>
      <c r="B24" s="17" t="s">
        <v>35</v>
      </c>
      <c r="C24" s="17" t="s">
        <v>19</v>
      </c>
      <c r="D24" s="18">
        <v>69.099999999999994</v>
      </c>
      <c r="E24" s="19">
        <v>45810</v>
      </c>
      <c r="F24" s="20" t="s">
        <v>16</v>
      </c>
      <c r="G24" s="21">
        <v>87</v>
      </c>
      <c r="H24" s="21">
        <v>2</v>
      </c>
      <c r="I24" s="17" t="str">
        <f t="shared" si="0"/>
        <v>junio</v>
      </c>
      <c r="J24" s="17" t="str">
        <f t="shared" si="1"/>
        <v>lunes</v>
      </c>
    </row>
    <row r="25" spans="1:10" hidden="1" x14ac:dyDescent="0.3">
      <c r="A25" s="16">
        <v>86</v>
      </c>
      <c r="B25" s="17" t="s">
        <v>36</v>
      </c>
      <c r="C25" s="17" t="s">
        <v>12</v>
      </c>
      <c r="D25" s="18">
        <v>52.4</v>
      </c>
      <c r="E25" s="19">
        <v>45955</v>
      </c>
      <c r="F25" s="20" t="s">
        <v>13</v>
      </c>
      <c r="G25" s="21">
        <v>68</v>
      </c>
      <c r="H25" s="21">
        <v>3</v>
      </c>
      <c r="I25" s="17" t="str">
        <f t="shared" si="0"/>
        <v>octubre</v>
      </c>
      <c r="J25" s="17" t="str">
        <f t="shared" si="1"/>
        <v>sábado</v>
      </c>
    </row>
    <row r="26" spans="1:10" hidden="1" x14ac:dyDescent="0.3">
      <c r="A26" s="16">
        <v>87</v>
      </c>
      <c r="B26" s="17" t="s">
        <v>37</v>
      </c>
      <c r="C26" s="17" t="s">
        <v>15</v>
      </c>
      <c r="D26" s="18">
        <v>60.6</v>
      </c>
      <c r="E26" s="19">
        <v>45936</v>
      </c>
      <c r="F26" s="20" t="s">
        <v>16</v>
      </c>
      <c r="G26" s="21">
        <v>80</v>
      </c>
      <c r="H26" s="21">
        <v>2</v>
      </c>
      <c r="I26" s="17" t="str">
        <f t="shared" si="0"/>
        <v>octubre</v>
      </c>
      <c r="J26" s="17" t="str">
        <f t="shared" si="1"/>
        <v>lunes</v>
      </c>
    </row>
    <row r="27" spans="1:10" x14ac:dyDescent="0.3">
      <c r="A27" s="16">
        <v>89</v>
      </c>
      <c r="B27" s="17" t="s">
        <v>38</v>
      </c>
      <c r="C27" s="17" t="s">
        <v>12</v>
      </c>
      <c r="D27" s="18">
        <v>81.7</v>
      </c>
      <c r="E27" s="19">
        <v>45660</v>
      </c>
      <c r="F27" s="20" t="s">
        <v>20</v>
      </c>
      <c r="G27" s="21">
        <v>90</v>
      </c>
      <c r="H27" s="21">
        <v>2</v>
      </c>
      <c r="I27" s="17" t="str">
        <f t="shared" si="0"/>
        <v>enero</v>
      </c>
      <c r="J27" s="17" t="str">
        <f t="shared" si="1"/>
        <v>viernes</v>
      </c>
    </row>
    <row r="28" spans="1:10" hidden="1" x14ac:dyDescent="0.3">
      <c r="A28" s="16">
        <v>94</v>
      </c>
      <c r="B28" s="17" t="s">
        <v>39</v>
      </c>
      <c r="C28" s="17" t="s">
        <v>24</v>
      </c>
      <c r="D28" s="18">
        <v>88</v>
      </c>
      <c r="E28" s="19">
        <v>45763</v>
      </c>
      <c r="F28" s="20" t="s">
        <v>16</v>
      </c>
      <c r="G28" s="21">
        <v>63</v>
      </c>
      <c r="H28" s="21">
        <v>3</v>
      </c>
      <c r="I28" s="17" t="str">
        <f t="shared" si="0"/>
        <v>abril</v>
      </c>
      <c r="J28" s="17" t="str">
        <f t="shared" si="1"/>
        <v>miércoles</v>
      </c>
    </row>
    <row r="29" spans="1:10" hidden="1" x14ac:dyDescent="0.3">
      <c r="A29" s="16">
        <v>97</v>
      </c>
      <c r="B29" s="17" t="s">
        <v>40</v>
      </c>
      <c r="C29" s="17" t="s">
        <v>24</v>
      </c>
      <c r="D29" s="18">
        <v>92.3</v>
      </c>
      <c r="E29" s="19">
        <v>45824</v>
      </c>
      <c r="F29" s="20" t="s">
        <v>16</v>
      </c>
      <c r="G29" s="21">
        <v>95</v>
      </c>
      <c r="H29" s="21">
        <v>1</v>
      </c>
      <c r="I29" s="17" t="str">
        <f t="shared" si="0"/>
        <v>junio</v>
      </c>
      <c r="J29" s="17" t="str">
        <f t="shared" si="1"/>
        <v>lunes</v>
      </c>
    </row>
    <row r="30" spans="1:10" hidden="1" x14ac:dyDescent="0.3">
      <c r="A30" s="16">
        <v>100</v>
      </c>
      <c r="B30" s="17" t="s">
        <v>41</v>
      </c>
      <c r="C30" s="17" t="s">
        <v>12</v>
      </c>
      <c r="D30" s="18">
        <v>70.3</v>
      </c>
      <c r="E30" s="19">
        <v>45835</v>
      </c>
      <c r="F30" s="20" t="s">
        <v>20</v>
      </c>
      <c r="G30" s="21">
        <v>55</v>
      </c>
      <c r="H30" s="21">
        <v>1</v>
      </c>
      <c r="I30" s="17" t="str">
        <f t="shared" si="0"/>
        <v>junio</v>
      </c>
      <c r="J30" s="17" t="str">
        <f t="shared" si="1"/>
        <v>viernes</v>
      </c>
    </row>
    <row r="31" spans="1:10" hidden="1" x14ac:dyDescent="0.3">
      <c r="A31" s="16">
        <v>106</v>
      </c>
      <c r="B31" s="17" t="s">
        <v>42</v>
      </c>
      <c r="C31" s="17" t="s">
        <v>9</v>
      </c>
      <c r="D31" s="18">
        <v>53.3</v>
      </c>
      <c r="E31" s="19">
        <v>45646</v>
      </c>
      <c r="F31" s="20" t="s">
        <v>22</v>
      </c>
      <c r="G31" s="21">
        <v>65</v>
      </c>
      <c r="H31" s="21">
        <v>1</v>
      </c>
      <c r="I31" s="17" t="str">
        <f t="shared" si="0"/>
        <v>diciembre</v>
      </c>
      <c r="J31" s="17" t="str">
        <f t="shared" si="1"/>
        <v>viernes</v>
      </c>
    </row>
    <row r="32" spans="1:10" hidden="1" x14ac:dyDescent="0.3">
      <c r="A32" s="16">
        <v>113</v>
      </c>
      <c r="B32" s="17" t="s">
        <v>43</v>
      </c>
      <c r="C32" s="17" t="s">
        <v>9</v>
      </c>
      <c r="D32" s="18">
        <v>79.5</v>
      </c>
      <c r="E32" s="19">
        <v>45846</v>
      </c>
      <c r="F32" s="20" t="s">
        <v>22</v>
      </c>
      <c r="G32" s="21">
        <v>78</v>
      </c>
      <c r="H32" s="21">
        <v>3</v>
      </c>
      <c r="I32" s="17" t="str">
        <f t="shared" si="0"/>
        <v>julio</v>
      </c>
      <c r="J32" s="17" t="str">
        <f t="shared" si="1"/>
        <v>martes</v>
      </c>
    </row>
    <row r="33" spans="1:10" hidden="1" x14ac:dyDescent="0.3">
      <c r="A33" s="16">
        <v>115</v>
      </c>
      <c r="B33" s="17" t="s">
        <v>44</v>
      </c>
      <c r="C33" s="17" t="s">
        <v>19</v>
      </c>
      <c r="D33" s="18">
        <v>82.6</v>
      </c>
      <c r="E33" s="19">
        <v>45987</v>
      </c>
      <c r="F33" s="20" t="s">
        <v>20</v>
      </c>
      <c r="G33" s="21">
        <v>42</v>
      </c>
      <c r="H33" s="21">
        <v>3</v>
      </c>
      <c r="I33" s="17" t="str">
        <f t="shared" si="0"/>
        <v>noviembre</v>
      </c>
      <c r="J33" s="17" t="str">
        <f t="shared" si="1"/>
        <v>miércoles</v>
      </c>
    </row>
    <row r="34" spans="1:10" hidden="1" x14ac:dyDescent="0.3">
      <c r="A34" s="16">
        <v>120</v>
      </c>
      <c r="B34" s="17" t="s">
        <v>45</v>
      </c>
      <c r="C34" s="17" t="s">
        <v>24</v>
      </c>
      <c r="D34" s="18">
        <v>61.3</v>
      </c>
      <c r="E34" s="19">
        <v>45895</v>
      </c>
      <c r="F34" s="20" t="s">
        <v>16</v>
      </c>
      <c r="G34" s="21">
        <v>19</v>
      </c>
      <c r="H34" s="21">
        <v>3</v>
      </c>
      <c r="I34" s="17" t="str">
        <f t="shared" si="0"/>
        <v>agosto</v>
      </c>
      <c r="J34" s="17" t="str">
        <f t="shared" si="1"/>
        <v>martes</v>
      </c>
    </row>
    <row r="35" spans="1:10" hidden="1" x14ac:dyDescent="0.3">
      <c r="A35" s="16">
        <v>121</v>
      </c>
      <c r="B35" s="17" t="s">
        <v>46</v>
      </c>
      <c r="C35" s="17" t="s">
        <v>15</v>
      </c>
      <c r="D35" s="18">
        <v>97.9</v>
      </c>
      <c r="E35" s="19">
        <v>45939</v>
      </c>
      <c r="F35" s="20" t="s">
        <v>16</v>
      </c>
      <c r="G35" s="21">
        <v>24</v>
      </c>
      <c r="H35" s="21">
        <v>3</v>
      </c>
      <c r="I35" s="17" t="str">
        <f t="shared" si="0"/>
        <v>octubre</v>
      </c>
      <c r="J35" s="17" t="str">
        <f t="shared" si="1"/>
        <v>jueves</v>
      </c>
    </row>
    <row r="36" spans="1:10" hidden="1" x14ac:dyDescent="0.3">
      <c r="A36" s="16">
        <v>128</v>
      </c>
      <c r="B36" s="17" t="s">
        <v>47</v>
      </c>
      <c r="C36" s="17" t="s">
        <v>24</v>
      </c>
      <c r="D36" s="18">
        <v>97.9</v>
      </c>
      <c r="E36" s="19">
        <v>45901</v>
      </c>
      <c r="F36" s="20" t="s">
        <v>16</v>
      </c>
      <c r="G36" s="21">
        <v>76</v>
      </c>
      <c r="H36" s="21">
        <v>3</v>
      </c>
      <c r="I36" s="17" t="str">
        <f t="shared" si="0"/>
        <v>septiembre</v>
      </c>
      <c r="J36" s="17" t="str">
        <f t="shared" si="1"/>
        <v>lunes</v>
      </c>
    </row>
    <row r="37" spans="1:10" x14ac:dyDescent="0.3">
      <c r="A37" s="16">
        <v>131</v>
      </c>
      <c r="B37" s="17" t="s">
        <v>48</v>
      </c>
      <c r="C37" s="17" t="s">
        <v>24</v>
      </c>
      <c r="D37" s="18">
        <v>87.4</v>
      </c>
      <c r="E37" s="19">
        <v>45721</v>
      </c>
      <c r="F37" s="20" t="s">
        <v>16</v>
      </c>
      <c r="G37" s="21">
        <v>77</v>
      </c>
      <c r="H37" s="21">
        <v>1</v>
      </c>
      <c r="I37" s="17" t="str">
        <f t="shared" si="0"/>
        <v>marzo</v>
      </c>
      <c r="J37" s="17" t="str">
        <f t="shared" si="1"/>
        <v>miércoles</v>
      </c>
    </row>
    <row r="38" spans="1:10" hidden="1" x14ac:dyDescent="0.3">
      <c r="A38" s="16">
        <v>134</v>
      </c>
      <c r="B38" s="17" t="s">
        <v>49</v>
      </c>
      <c r="C38" s="17" t="s">
        <v>12</v>
      </c>
      <c r="D38" s="18">
        <v>50.9</v>
      </c>
      <c r="E38" s="19">
        <v>45873</v>
      </c>
      <c r="F38" s="20" t="s">
        <v>20</v>
      </c>
      <c r="G38" s="21">
        <v>72</v>
      </c>
      <c r="H38" s="21">
        <v>2</v>
      </c>
      <c r="I38" s="17" t="str">
        <f t="shared" si="0"/>
        <v>agosto</v>
      </c>
      <c r="J38" s="17" t="str">
        <f t="shared" si="1"/>
        <v>lunes</v>
      </c>
    </row>
    <row r="39" spans="1:10" hidden="1" x14ac:dyDescent="0.3">
      <c r="A39" s="16">
        <v>139</v>
      </c>
      <c r="B39" s="17" t="s">
        <v>50</v>
      </c>
      <c r="C39" s="17" t="s">
        <v>24</v>
      </c>
      <c r="D39" s="18">
        <v>53.9</v>
      </c>
      <c r="E39" s="19">
        <v>45924</v>
      </c>
      <c r="F39" s="20" t="s">
        <v>22</v>
      </c>
      <c r="G39" s="21">
        <v>87</v>
      </c>
      <c r="H39" s="21">
        <v>1</v>
      </c>
      <c r="I39" s="17" t="str">
        <f t="shared" si="0"/>
        <v>septiembre</v>
      </c>
      <c r="J39" s="17" t="str">
        <f t="shared" si="1"/>
        <v>miércoles</v>
      </c>
    </row>
    <row r="40" spans="1:10" hidden="1" x14ac:dyDescent="0.3">
      <c r="A40" s="16">
        <v>143</v>
      </c>
      <c r="B40" s="17" t="s">
        <v>51</v>
      </c>
      <c r="C40" s="17" t="s">
        <v>24</v>
      </c>
      <c r="D40" s="18">
        <v>87.2</v>
      </c>
      <c r="E40" s="19">
        <v>45640</v>
      </c>
      <c r="F40" s="20" t="s">
        <v>22</v>
      </c>
      <c r="G40" s="21">
        <v>18</v>
      </c>
      <c r="H40" s="21">
        <v>3</v>
      </c>
      <c r="I40" s="17" t="str">
        <f t="shared" si="0"/>
        <v>diciembre</v>
      </c>
      <c r="J40" s="17" t="str">
        <f t="shared" si="1"/>
        <v>sábado</v>
      </c>
    </row>
    <row r="41" spans="1:10" hidden="1" x14ac:dyDescent="0.3">
      <c r="A41" s="16">
        <v>145</v>
      </c>
      <c r="B41" s="17" t="s">
        <v>52</v>
      </c>
      <c r="C41" s="17" t="s">
        <v>9</v>
      </c>
      <c r="D41" s="18">
        <v>87.3</v>
      </c>
      <c r="E41" s="19">
        <v>45878</v>
      </c>
      <c r="F41" s="20" t="s">
        <v>22</v>
      </c>
      <c r="G41" s="21">
        <v>95</v>
      </c>
      <c r="H41" s="21">
        <v>2</v>
      </c>
      <c r="I41" s="17" t="str">
        <f t="shared" si="0"/>
        <v>agosto</v>
      </c>
      <c r="J41" s="17" t="str">
        <f t="shared" si="1"/>
        <v>sábado</v>
      </c>
    </row>
    <row r="42" spans="1:10" hidden="1" x14ac:dyDescent="0.3">
      <c r="A42" s="16">
        <v>146</v>
      </c>
      <c r="B42" s="17" t="s">
        <v>53</v>
      </c>
      <c r="C42" s="17" t="s">
        <v>9</v>
      </c>
      <c r="D42" s="18">
        <v>83.1</v>
      </c>
      <c r="E42" s="19">
        <v>45799</v>
      </c>
      <c r="F42" s="20" t="s">
        <v>22</v>
      </c>
      <c r="G42" s="21">
        <v>22</v>
      </c>
      <c r="H42" s="21">
        <v>2</v>
      </c>
      <c r="I42" s="17" t="str">
        <f t="shared" si="0"/>
        <v>mayo</v>
      </c>
      <c r="J42" s="17" t="str">
        <f t="shared" si="1"/>
        <v>jueves</v>
      </c>
    </row>
    <row r="43" spans="1:10" x14ac:dyDescent="0.3">
      <c r="A43" s="16">
        <v>153</v>
      </c>
      <c r="B43" s="17" t="s">
        <v>54</v>
      </c>
      <c r="C43" s="17" t="s">
        <v>12</v>
      </c>
      <c r="D43" s="18">
        <v>86.7</v>
      </c>
      <c r="E43" s="19">
        <v>45664</v>
      </c>
      <c r="F43" s="20" t="s">
        <v>13</v>
      </c>
      <c r="G43" s="21">
        <v>89</v>
      </c>
      <c r="H43" s="21">
        <v>2</v>
      </c>
      <c r="I43" s="17" t="str">
        <f t="shared" si="0"/>
        <v>enero</v>
      </c>
      <c r="J43" s="17" t="str">
        <f t="shared" si="1"/>
        <v>martes</v>
      </c>
    </row>
    <row r="44" spans="1:10" hidden="1" x14ac:dyDescent="0.3">
      <c r="A44" s="16">
        <v>157</v>
      </c>
      <c r="B44" s="17" t="s">
        <v>55</v>
      </c>
      <c r="C44" s="17" t="s">
        <v>24</v>
      </c>
      <c r="D44" s="18">
        <v>70.2</v>
      </c>
      <c r="E44" s="19">
        <v>45780</v>
      </c>
      <c r="F44" s="20" t="s">
        <v>22</v>
      </c>
      <c r="G44" s="21">
        <v>100</v>
      </c>
      <c r="H44" s="21">
        <v>1</v>
      </c>
      <c r="I44" s="17" t="str">
        <f t="shared" si="0"/>
        <v>mayo</v>
      </c>
      <c r="J44" s="17" t="str">
        <f t="shared" si="1"/>
        <v>sábado</v>
      </c>
    </row>
    <row r="45" spans="1:10" hidden="1" x14ac:dyDescent="0.3">
      <c r="A45" s="16">
        <v>160</v>
      </c>
      <c r="B45" s="17" t="s">
        <v>56</v>
      </c>
      <c r="C45" s="17" t="s">
        <v>15</v>
      </c>
      <c r="D45" s="18">
        <v>68.8</v>
      </c>
      <c r="E45" s="19">
        <v>45765</v>
      </c>
      <c r="F45" s="20" t="s">
        <v>16</v>
      </c>
      <c r="G45" s="21">
        <v>51</v>
      </c>
      <c r="H45" s="21">
        <v>1</v>
      </c>
      <c r="I45" s="17" t="str">
        <f t="shared" si="0"/>
        <v>abril</v>
      </c>
      <c r="J45" s="17" t="str">
        <f t="shared" si="1"/>
        <v>viernes</v>
      </c>
    </row>
    <row r="46" spans="1:10" hidden="1" x14ac:dyDescent="0.3">
      <c r="A46" s="16">
        <v>164</v>
      </c>
      <c r="B46" s="17" t="s">
        <v>57</v>
      </c>
      <c r="C46" s="17" t="s">
        <v>19</v>
      </c>
      <c r="D46" s="18">
        <v>99.1</v>
      </c>
      <c r="E46" s="19">
        <v>45708</v>
      </c>
      <c r="F46" s="20" t="s">
        <v>22</v>
      </c>
      <c r="G46" s="21">
        <v>92</v>
      </c>
      <c r="H46" s="21">
        <v>2</v>
      </c>
      <c r="I46" s="17" t="str">
        <f t="shared" si="0"/>
        <v>febrero</v>
      </c>
      <c r="J46" s="17" t="str">
        <f t="shared" si="1"/>
        <v>jueves</v>
      </c>
    </row>
    <row r="47" spans="1:10" x14ac:dyDescent="0.3">
      <c r="A47" s="16">
        <v>165</v>
      </c>
      <c r="B47" s="17" t="s">
        <v>58</v>
      </c>
      <c r="C47" s="17" t="s">
        <v>19</v>
      </c>
      <c r="D47" s="18">
        <v>93.4</v>
      </c>
      <c r="E47" s="19">
        <v>45718</v>
      </c>
      <c r="F47" s="20" t="s">
        <v>22</v>
      </c>
      <c r="G47" s="21">
        <v>85</v>
      </c>
      <c r="H47" s="21">
        <v>3</v>
      </c>
      <c r="I47" s="17" t="str">
        <f t="shared" si="0"/>
        <v>marzo</v>
      </c>
      <c r="J47" s="17" t="str">
        <f t="shared" si="1"/>
        <v>domingo</v>
      </c>
    </row>
    <row r="48" spans="1:10" hidden="1" x14ac:dyDescent="0.3">
      <c r="A48" s="16">
        <v>174</v>
      </c>
      <c r="B48" s="17" t="s">
        <v>59</v>
      </c>
      <c r="C48" s="17" t="s">
        <v>9</v>
      </c>
      <c r="D48" s="18">
        <v>83.4</v>
      </c>
      <c r="E48" s="19">
        <v>45963</v>
      </c>
      <c r="F48" s="20" t="s">
        <v>10</v>
      </c>
      <c r="G48" s="21">
        <v>14</v>
      </c>
      <c r="H48" s="21">
        <v>3</v>
      </c>
      <c r="I48" s="17" t="str">
        <f t="shared" si="0"/>
        <v>noviembre</v>
      </c>
      <c r="J48" s="17" t="str">
        <f t="shared" si="1"/>
        <v>domingo</v>
      </c>
    </row>
    <row r="49" spans="1:10" x14ac:dyDescent="0.3">
      <c r="A49" s="16">
        <v>177</v>
      </c>
      <c r="B49" s="17" t="s">
        <v>60</v>
      </c>
      <c r="C49" s="17" t="s">
        <v>12</v>
      </c>
      <c r="D49" s="18">
        <v>94.2</v>
      </c>
      <c r="E49" s="19">
        <v>45673</v>
      </c>
      <c r="F49" s="20" t="s">
        <v>20</v>
      </c>
      <c r="G49" s="21">
        <v>100</v>
      </c>
      <c r="H49" s="21">
        <v>3</v>
      </c>
      <c r="I49" s="17" t="str">
        <f t="shared" si="0"/>
        <v>enero</v>
      </c>
      <c r="J49" s="17" t="str">
        <f t="shared" si="1"/>
        <v>jueves</v>
      </c>
    </row>
    <row r="50" spans="1:10" x14ac:dyDescent="0.3">
      <c r="A50" s="16">
        <v>178</v>
      </c>
      <c r="B50" s="17" t="s">
        <v>61</v>
      </c>
      <c r="C50" s="17" t="s">
        <v>24</v>
      </c>
      <c r="D50" s="18">
        <v>95.5</v>
      </c>
      <c r="E50" s="19">
        <v>45746</v>
      </c>
      <c r="F50" s="20" t="s">
        <v>22</v>
      </c>
      <c r="G50" s="21">
        <v>62</v>
      </c>
      <c r="H50" s="21">
        <v>1</v>
      </c>
      <c r="I50" s="17" t="str">
        <f t="shared" si="0"/>
        <v>marzo</v>
      </c>
      <c r="J50" s="17" t="str">
        <f t="shared" si="1"/>
        <v>domingo</v>
      </c>
    </row>
    <row r="51" spans="1:10" hidden="1" x14ac:dyDescent="0.3">
      <c r="A51" s="16">
        <v>179</v>
      </c>
      <c r="B51" s="17" t="s">
        <v>62</v>
      </c>
      <c r="C51" s="17" t="s">
        <v>24</v>
      </c>
      <c r="D51" s="18">
        <v>51.7</v>
      </c>
      <c r="E51" s="19">
        <v>45809</v>
      </c>
      <c r="F51" s="20" t="s">
        <v>16</v>
      </c>
      <c r="G51" s="21">
        <v>42</v>
      </c>
      <c r="H51" s="21">
        <v>1</v>
      </c>
      <c r="I51" s="17" t="str">
        <f t="shared" si="0"/>
        <v>junio</v>
      </c>
      <c r="J51" s="17" t="str">
        <f t="shared" si="1"/>
        <v>domingo</v>
      </c>
    </row>
    <row r="52" spans="1:10" hidden="1" x14ac:dyDescent="0.3">
      <c r="A52" s="16">
        <v>179</v>
      </c>
      <c r="B52" s="17" t="s">
        <v>62</v>
      </c>
      <c r="C52" s="17" t="s">
        <v>9</v>
      </c>
      <c r="D52" s="18">
        <v>63.4</v>
      </c>
      <c r="E52" s="19">
        <v>45888</v>
      </c>
      <c r="F52" s="20" t="s">
        <v>22</v>
      </c>
      <c r="G52" s="21">
        <v>35</v>
      </c>
      <c r="H52" s="21">
        <v>1</v>
      </c>
      <c r="I52" s="17" t="str">
        <f t="shared" si="0"/>
        <v>agosto</v>
      </c>
      <c r="J52" s="17" t="str">
        <f t="shared" si="1"/>
        <v>martes</v>
      </c>
    </row>
    <row r="53" spans="1:10" x14ac:dyDescent="0.3">
      <c r="A53" s="16">
        <v>179</v>
      </c>
      <c r="B53" s="17" t="s">
        <v>62</v>
      </c>
      <c r="C53" s="17" t="s">
        <v>19</v>
      </c>
      <c r="D53" s="18">
        <v>71.400000000000006</v>
      </c>
      <c r="E53" s="19">
        <v>45667</v>
      </c>
      <c r="F53" s="20" t="s">
        <v>20</v>
      </c>
      <c r="G53" s="21">
        <v>45</v>
      </c>
      <c r="H53" s="21">
        <v>1</v>
      </c>
      <c r="I53" s="17" t="str">
        <f t="shared" si="0"/>
        <v>enero</v>
      </c>
      <c r="J53" s="17" t="str">
        <f t="shared" si="1"/>
        <v>viernes</v>
      </c>
    </row>
    <row r="54" spans="1:10" hidden="1" x14ac:dyDescent="0.3">
      <c r="A54" s="16">
        <v>196</v>
      </c>
      <c r="B54" s="17" t="s">
        <v>63</v>
      </c>
      <c r="C54" s="17" t="s">
        <v>19</v>
      </c>
      <c r="D54" s="18">
        <v>90.6</v>
      </c>
      <c r="E54" s="19">
        <v>45958</v>
      </c>
      <c r="F54" s="20" t="s">
        <v>16</v>
      </c>
      <c r="G54" s="21">
        <v>10</v>
      </c>
      <c r="H54" s="21">
        <v>3</v>
      </c>
      <c r="I54" s="17" t="str">
        <f t="shared" si="0"/>
        <v>octubre</v>
      </c>
      <c r="J54" s="17" t="str">
        <f t="shared" si="1"/>
        <v>martes</v>
      </c>
    </row>
    <row r="55" spans="1:10" hidden="1" x14ac:dyDescent="0.3">
      <c r="A55" s="16">
        <v>203</v>
      </c>
      <c r="B55" s="17" t="s">
        <v>64</v>
      </c>
      <c r="C55" s="17" t="s">
        <v>24</v>
      </c>
      <c r="D55" s="18">
        <v>63.9</v>
      </c>
      <c r="E55" s="19">
        <v>45928</v>
      </c>
      <c r="F55" s="20" t="s">
        <v>16</v>
      </c>
      <c r="G55" s="21">
        <v>90</v>
      </c>
      <c r="H55" s="21">
        <v>2</v>
      </c>
      <c r="I55" s="17" t="str">
        <f t="shared" si="0"/>
        <v>septiembre</v>
      </c>
      <c r="J55" s="17" t="str">
        <f t="shared" si="1"/>
        <v>domingo</v>
      </c>
    </row>
    <row r="56" spans="1:10" hidden="1" x14ac:dyDescent="0.3">
      <c r="A56" s="16">
        <v>208</v>
      </c>
      <c r="B56" s="17" t="s">
        <v>65</v>
      </c>
      <c r="C56" s="17" t="s">
        <v>12</v>
      </c>
      <c r="D56" s="18">
        <v>89.9</v>
      </c>
      <c r="E56" s="19">
        <v>45983</v>
      </c>
      <c r="F56" s="20" t="s">
        <v>13</v>
      </c>
      <c r="G56" s="21">
        <v>22</v>
      </c>
      <c r="H56" s="21">
        <v>3</v>
      </c>
      <c r="I56" s="17" t="str">
        <f t="shared" si="0"/>
        <v>noviembre</v>
      </c>
      <c r="J56" s="17" t="str">
        <f t="shared" si="1"/>
        <v>sábado</v>
      </c>
    </row>
    <row r="57" spans="1:10" hidden="1" x14ac:dyDescent="0.3">
      <c r="A57" s="16">
        <v>213</v>
      </c>
      <c r="B57" s="17" t="s">
        <v>66</v>
      </c>
      <c r="C57" s="17" t="s">
        <v>12</v>
      </c>
      <c r="D57" s="18">
        <v>91.4</v>
      </c>
      <c r="E57" s="19">
        <v>45702</v>
      </c>
      <c r="F57" s="20" t="s">
        <v>20</v>
      </c>
      <c r="G57" s="21">
        <v>60</v>
      </c>
      <c r="H57" s="21">
        <v>3</v>
      </c>
      <c r="I57" s="17" t="str">
        <f t="shared" si="0"/>
        <v>febrero</v>
      </c>
      <c r="J57" s="17" t="str">
        <f t="shared" si="1"/>
        <v>viernes</v>
      </c>
    </row>
    <row r="58" spans="1:10" x14ac:dyDescent="0.3">
      <c r="A58" s="16">
        <v>216</v>
      </c>
      <c r="B58" s="17" t="s">
        <v>67</v>
      </c>
      <c r="C58" s="17" t="s">
        <v>19</v>
      </c>
      <c r="D58" s="18">
        <v>65.099999999999994</v>
      </c>
      <c r="E58" s="19">
        <v>45678</v>
      </c>
      <c r="F58" s="20" t="s">
        <v>20</v>
      </c>
      <c r="G58" s="21">
        <v>88</v>
      </c>
      <c r="H58" s="21">
        <v>1</v>
      </c>
      <c r="I58" s="17" t="str">
        <f t="shared" si="0"/>
        <v>enero</v>
      </c>
      <c r="J58" s="17" t="str">
        <f t="shared" si="1"/>
        <v>martes</v>
      </c>
    </row>
    <row r="59" spans="1:10" hidden="1" x14ac:dyDescent="0.3">
      <c r="A59" s="16">
        <v>222</v>
      </c>
      <c r="B59" s="17" t="s">
        <v>68</v>
      </c>
      <c r="C59" s="17" t="s">
        <v>15</v>
      </c>
      <c r="D59" s="18">
        <v>85.7</v>
      </c>
      <c r="E59" s="19">
        <v>45947</v>
      </c>
      <c r="F59" s="20" t="s">
        <v>16</v>
      </c>
      <c r="G59" s="21">
        <v>58</v>
      </c>
      <c r="H59" s="21">
        <v>3</v>
      </c>
      <c r="I59" s="17" t="str">
        <f t="shared" si="0"/>
        <v>octubre</v>
      </c>
      <c r="J59" s="17" t="str">
        <f t="shared" si="1"/>
        <v>viernes</v>
      </c>
    </row>
    <row r="60" spans="1:10" hidden="1" x14ac:dyDescent="0.3">
      <c r="A60" s="16">
        <v>226</v>
      </c>
      <c r="B60" s="17" t="s">
        <v>69</v>
      </c>
      <c r="C60" s="17" t="s">
        <v>24</v>
      </c>
      <c r="D60" s="18">
        <v>78.3</v>
      </c>
      <c r="E60" s="19">
        <v>45913</v>
      </c>
      <c r="F60" s="20" t="s">
        <v>16</v>
      </c>
      <c r="G60" s="21">
        <v>36</v>
      </c>
      <c r="H60" s="21">
        <v>2</v>
      </c>
      <c r="I60" s="17" t="str">
        <f t="shared" si="0"/>
        <v>septiembre</v>
      </c>
      <c r="J60" s="17" t="str">
        <f t="shared" si="1"/>
        <v>sábado</v>
      </c>
    </row>
    <row r="61" spans="1:10" x14ac:dyDescent="0.3">
      <c r="A61" s="16">
        <v>227</v>
      </c>
      <c r="B61" s="17" t="s">
        <v>70</v>
      </c>
      <c r="C61" s="17" t="s">
        <v>24</v>
      </c>
      <c r="D61" s="18">
        <v>78.3</v>
      </c>
      <c r="E61" s="19">
        <v>45669</v>
      </c>
      <c r="F61" s="20" t="s">
        <v>16</v>
      </c>
      <c r="G61" s="21">
        <v>65</v>
      </c>
      <c r="H61" s="21">
        <v>2</v>
      </c>
      <c r="I61" s="17" t="str">
        <f t="shared" si="0"/>
        <v>enero</v>
      </c>
      <c r="J61" s="17" t="str">
        <f t="shared" si="1"/>
        <v>domingo</v>
      </c>
    </row>
    <row r="62" spans="1:10" hidden="1" x14ac:dyDescent="0.3">
      <c r="A62" s="16">
        <v>235</v>
      </c>
      <c r="B62" s="17" t="s">
        <v>71</v>
      </c>
      <c r="C62" s="17" t="s">
        <v>9</v>
      </c>
      <c r="D62" s="18">
        <v>63.7</v>
      </c>
      <c r="E62" s="19">
        <v>45779</v>
      </c>
      <c r="F62" s="20" t="s">
        <v>22</v>
      </c>
      <c r="G62" s="21">
        <v>51</v>
      </c>
      <c r="H62" s="21">
        <v>3</v>
      </c>
      <c r="I62" s="17" t="str">
        <f t="shared" si="0"/>
        <v>mayo</v>
      </c>
      <c r="J62" s="17" t="str">
        <f t="shared" si="1"/>
        <v>viernes</v>
      </c>
    </row>
    <row r="63" spans="1:10" x14ac:dyDescent="0.3">
      <c r="A63" s="16">
        <v>242</v>
      </c>
      <c r="B63" s="17" t="s">
        <v>72</v>
      </c>
      <c r="C63" s="17" t="s">
        <v>9</v>
      </c>
      <c r="D63" s="18">
        <v>94.7</v>
      </c>
      <c r="E63" s="19">
        <v>45681</v>
      </c>
      <c r="F63" s="20" t="s">
        <v>22</v>
      </c>
      <c r="G63" s="21">
        <v>58</v>
      </c>
      <c r="H63" s="21">
        <v>3</v>
      </c>
      <c r="I63" s="17" t="str">
        <f t="shared" si="0"/>
        <v>enero</v>
      </c>
      <c r="J63" s="17" t="str">
        <f t="shared" si="1"/>
        <v>viernes</v>
      </c>
    </row>
    <row r="64" spans="1:10" hidden="1" x14ac:dyDescent="0.3">
      <c r="A64" s="16">
        <v>242</v>
      </c>
      <c r="B64" s="17" t="s">
        <v>72</v>
      </c>
      <c r="C64" s="17" t="s">
        <v>12</v>
      </c>
      <c r="D64" s="18">
        <v>73</v>
      </c>
      <c r="E64" s="19">
        <v>45656</v>
      </c>
      <c r="F64" s="20" t="s">
        <v>20</v>
      </c>
      <c r="G64" s="21">
        <v>90</v>
      </c>
      <c r="H64" s="21">
        <v>2</v>
      </c>
      <c r="I64" s="17" t="str">
        <f t="shared" si="0"/>
        <v>diciembre</v>
      </c>
      <c r="J64" s="17" t="str">
        <f t="shared" si="1"/>
        <v>lunes</v>
      </c>
    </row>
    <row r="65" spans="1:10" hidden="1" x14ac:dyDescent="0.3">
      <c r="A65" s="16">
        <v>242</v>
      </c>
      <c r="B65" s="17" t="s">
        <v>72</v>
      </c>
      <c r="C65" s="17" t="s">
        <v>15</v>
      </c>
      <c r="D65" s="18">
        <v>93.9</v>
      </c>
      <c r="E65" s="19">
        <v>45894</v>
      </c>
      <c r="F65" s="20" t="s">
        <v>16</v>
      </c>
      <c r="G65" s="21">
        <v>78</v>
      </c>
      <c r="H65" s="21">
        <v>1</v>
      </c>
      <c r="I65" s="17" t="str">
        <f t="shared" si="0"/>
        <v>agosto</v>
      </c>
      <c r="J65" s="17" t="str">
        <f t="shared" si="1"/>
        <v>lunes</v>
      </c>
    </row>
    <row r="66" spans="1:10" hidden="1" x14ac:dyDescent="0.3">
      <c r="A66" s="16">
        <v>243</v>
      </c>
      <c r="B66" s="17" t="s">
        <v>73</v>
      </c>
      <c r="C66" s="17" t="s">
        <v>24</v>
      </c>
      <c r="D66" s="18">
        <v>73.7</v>
      </c>
      <c r="E66" s="19">
        <v>45864</v>
      </c>
      <c r="F66" s="20" t="s">
        <v>16</v>
      </c>
      <c r="G66" s="21">
        <v>100</v>
      </c>
      <c r="H66" s="21">
        <v>1</v>
      </c>
      <c r="I66" s="17" t="str">
        <f t="shared" si="0"/>
        <v>julio</v>
      </c>
      <c r="J66" s="17" t="str">
        <f t="shared" si="1"/>
        <v>sábado</v>
      </c>
    </row>
    <row r="67" spans="1:10" x14ac:dyDescent="0.3">
      <c r="A67" s="16">
        <v>244</v>
      </c>
      <c r="B67" s="17" t="s">
        <v>74</v>
      </c>
      <c r="C67" s="17" t="s">
        <v>12</v>
      </c>
      <c r="D67" s="18">
        <v>66.8</v>
      </c>
      <c r="E67" s="19">
        <v>45682</v>
      </c>
      <c r="F67" s="20" t="s">
        <v>13</v>
      </c>
      <c r="G67" s="21">
        <v>75</v>
      </c>
      <c r="H67" s="21">
        <v>3</v>
      </c>
      <c r="I67" s="17" t="str">
        <f t="shared" si="0"/>
        <v>enero</v>
      </c>
      <c r="J67" s="17" t="str">
        <f t="shared" si="1"/>
        <v>sábado</v>
      </c>
    </row>
    <row r="68" spans="1:10" hidden="1" x14ac:dyDescent="0.3">
      <c r="A68" s="16">
        <v>244</v>
      </c>
      <c r="B68" s="17" t="s">
        <v>74</v>
      </c>
      <c r="C68" s="17" t="s">
        <v>19</v>
      </c>
      <c r="D68" s="18">
        <v>99.3</v>
      </c>
      <c r="E68" s="19">
        <v>45808</v>
      </c>
      <c r="F68" s="20" t="s">
        <v>22</v>
      </c>
      <c r="G68" s="21">
        <v>83</v>
      </c>
      <c r="H68" s="21">
        <v>3</v>
      </c>
      <c r="I68" s="17" t="str">
        <f t="shared" ref="I68:I131" si="2">TEXT(E68,"MMMM")</f>
        <v>mayo</v>
      </c>
      <c r="J68" s="17" t="str">
        <f t="shared" ref="J68:J131" si="3">TEXT(E68,"DDDD")</f>
        <v>sábado</v>
      </c>
    </row>
    <row r="69" spans="1:10" hidden="1" x14ac:dyDescent="0.3">
      <c r="A69" s="16">
        <v>244</v>
      </c>
      <c r="B69" s="17" t="s">
        <v>74</v>
      </c>
      <c r="C69" s="17" t="s">
        <v>9</v>
      </c>
      <c r="D69" s="18">
        <v>95.4</v>
      </c>
      <c r="E69" s="19">
        <v>45889</v>
      </c>
      <c r="F69" s="20" t="s">
        <v>22</v>
      </c>
      <c r="G69" s="21">
        <v>61</v>
      </c>
      <c r="H69" s="21">
        <v>2</v>
      </c>
      <c r="I69" s="17" t="str">
        <f t="shared" si="2"/>
        <v>agosto</v>
      </c>
      <c r="J69" s="17" t="str">
        <f t="shared" si="3"/>
        <v>miércoles</v>
      </c>
    </row>
    <row r="70" spans="1:10" hidden="1" x14ac:dyDescent="0.3">
      <c r="A70" s="16">
        <v>245</v>
      </c>
      <c r="B70" s="17" t="s">
        <v>75</v>
      </c>
      <c r="C70" s="17" t="s">
        <v>19</v>
      </c>
      <c r="D70" s="18">
        <v>59.6</v>
      </c>
      <c r="E70" s="19">
        <v>45849</v>
      </c>
      <c r="F70" s="20" t="s">
        <v>22</v>
      </c>
      <c r="G70" s="21">
        <v>52</v>
      </c>
      <c r="H70" s="21">
        <v>1</v>
      </c>
      <c r="I70" s="17" t="str">
        <f t="shared" si="2"/>
        <v>julio</v>
      </c>
      <c r="J70" s="17" t="str">
        <f t="shared" si="3"/>
        <v>viernes</v>
      </c>
    </row>
    <row r="71" spans="1:10" hidden="1" x14ac:dyDescent="0.3">
      <c r="A71" s="16">
        <v>253</v>
      </c>
      <c r="B71" s="17" t="s">
        <v>76</v>
      </c>
      <c r="C71" s="17" t="s">
        <v>9</v>
      </c>
      <c r="D71" s="18">
        <v>62.3</v>
      </c>
      <c r="E71" s="19">
        <v>45692</v>
      </c>
      <c r="F71" s="20" t="s">
        <v>22</v>
      </c>
      <c r="G71" s="21">
        <v>35</v>
      </c>
      <c r="H71" s="21">
        <v>2</v>
      </c>
      <c r="I71" s="17" t="str">
        <f t="shared" si="2"/>
        <v>febrero</v>
      </c>
      <c r="J71" s="17" t="str">
        <f t="shared" si="3"/>
        <v>martes</v>
      </c>
    </row>
    <row r="72" spans="1:10" hidden="1" x14ac:dyDescent="0.3">
      <c r="A72" s="16">
        <v>254</v>
      </c>
      <c r="B72" s="17" t="s">
        <v>77</v>
      </c>
      <c r="C72" s="17" t="s">
        <v>24</v>
      </c>
      <c r="D72" s="18">
        <v>93.1</v>
      </c>
      <c r="E72" s="19">
        <v>45993</v>
      </c>
      <c r="F72" s="20" t="s">
        <v>16</v>
      </c>
      <c r="G72" s="21">
        <v>86</v>
      </c>
      <c r="H72" s="21">
        <v>1</v>
      </c>
      <c r="I72" s="17" t="str">
        <f t="shared" si="2"/>
        <v>diciembre</v>
      </c>
      <c r="J72" s="17" t="str">
        <f t="shared" si="3"/>
        <v>martes</v>
      </c>
    </row>
    <row r="73" spans="1:10" hidden="1" x14ac:dyDescent="0.3">
      <c r="A73" s="16">
        <v>256</v>
      </c>
      <c r="B73" s="17" t="s">
        <v>78</v>
      </c>
      <c r="C73" s="17" t="s">
        <v>19</v>
      </c>
      <c r="D73" s="18">
        <v>50.3</v>
      </c>
      <c r="E73" s="19">
        <v>45907</v>
      </c>
      <c r="F73" s="20" t="s">
        <v>16</v>
      </c>
      <c r="G73" s="21">
        <v>75</v>
      </c>
      <c r="H73" s="21">
        <v>2</v>
      </c>
      <c r="I73" s="17" t="str">
        <f t="shared" si="2"/>
        <v>septiembre</v>
      </c>
      <c r="J73" s="17" t="str">
        <f t="shared" si="3"/>
        <v>domingo</v>
      </c>
    </row>
    <row r="74" spans="1:10" hidden="1" x14ac:dyDescent="0.3">
      <c r="A74" s="16">
        <v>258</v>
      </c>
      <c r="B74" s="17" t="s">
        <v>79</v>
      </c>
      <c r="C74" s="17" t="s">
        <v>9</v>
      </c>
      <c r="D74" s="18">
        <v>93.3</v>
      </c>
      <c r="E74" s="19">
        <v>45960</v>
      </c>
      <c r="F74" s="20" t="s">
        <v>22</v>
      </c>
      <c r="G74" s="21">
        <v>30</v>
      </c>
      <c r="H74" s="21">
        <v>3</v>
      </c>
      <c r="I74" s="17" t="str">
        <f t="shared" si="2"/>
        <v>octubre</v>
      </c>
      <c r="J74" s="17" t="str">
        <f t="shared" si="3"/>
        <v>jueves</v>
      </c>
    </row>
    <row r="75" spans="1:10" hidden="1" x14ac:dyDescent="0.3">
      <c r="A75" s="16">
        <v>261</v>
      </c>
      <c r="B75" s="17" t="s">
        <v>80</v>
      </c>
      <c r="C75" s="17" t="s">
        <v>15</v>
      </c>
      <c r="D75" s="18">
        <v>66.599999999999994</v>
      </c>
      <c r="E75" s="19">
        <v>45905</v>
      </c>
      <c r="F75" s="20" t="s">
        <v>16</v>
      </c>
      <c r="G75" s="21">
        <v>79</v>
      </c>
      <c r="H75" s="21">
        <v>1</v>
      </c>
      <c r="I75" s="17" t="str">
        <f t="shared" si="2"/>
        <v>septiembre</v>
      </c>
      <c r="J75" s="17" t="str">
        <f t="shared" si="3"/>
        <v>viernes</v>
      </c>
    </row>
    <row r="76" spans="1:10" hidden="1" x14ac:dyDescent="0.3">
      <c r="A76" s="16">
        <v>268</v>
      </c>
      <c r="B76" s="17" t="s">
        <v>81</v>
      </c>
      <c r="C76" s="17" t="s">
        <v>9</v>
      </c>
      <c r="D76" s="18">
        <v>68.599999999999994</v>
      </c>
      <c r="E76" s="19">
        <v>45628</v>
      </c>
      <c r="F76" s="20" t="s">
        <v>22</v>
      </c>
      <c r="G76" s="21">
        <v>54</v>
      </c>
      <c r="H76" s="21">
        <v>2</v>
      </c>
      <c r="I76" s="17" t="str">
        <f t="shared" si="2"/>
        <v>diciembre</v>
      </c>
      <c r="J76" s="17" t="str">
        <f t="shared" si="3"/>
        <v>lunes</v>
      </c>
    </row>
    <row r="77" spans="1:10" hidden="1" x14ac:dyDescent="0.3">
      <c r="A77" s="16">
        <v>271</v>
      </c>
      <c r="B77" s="17" t="s">
        <v>82</v>
      </c>
      <c r="C77" s="17" t="s">
        <v>19</v>
      </c>
      <c r="D77" s="18">
        <v>93.8</v>
      </c>
      <c r="E77" s="19">
        <v>45858</v>
      </c>
      <c r="F77" s="20" t="s">
        <v>16</v>
      </c>
      <c r="G77" s="21">
        <v>88</v>
      </c>
      <c r="H77" s="21">
        <v>3</v>
      </c>
      <c r="I77" s="17" t="str">
        <f t="shared" si="2"/>
        <v>julio</v>
      </c>
      <c r="J77" s="17" t="str">
        <f t="shared" si="3"/>
        <v>domingo</v>
      </c>
    </row>
    <row r="78" spans="1:10" hidden="1" x14ac:dyDescent="0.3">
      <c r="A78" s="16">
        <v>280</v>
      </c>
      <c r="B78" s="17" t="s">
        <v>83</v>
      </c>
      <c r="C78" s="17" t="s">
        <v>24</v>
      </c>
      <c r="D78" s="18">
        <v>95.3</v>
      </c>
      <c r="E78" s="19">
        <v>45918</v>
      </c>
      <c r="F78" s="20" t="s">
        <v>16</v>
      </c>
      <c r="G78" s="21">
        <v>54</v>
      </c>
      <c r="H78" s="21">
        <v>3</v>
      </c>
      <c r="I78" s="17" t="str">
        <f t="shared" si="2"/>
        <v>septiembre</v>
      </c>
      <c r="J78" s="17" t="str">
        <f t="shared" si="3"/>
        <v>jueves</v>
      </c>
    </row>
    <row r="79" spans="1:10" hidden="1" x14ac:dyDescent="0.3">
      <c r="A79" s="16">
        <v>285</v>
      </c>
      <c r="B79" s="17" t="s">
        <v>84</v>
      </c>
      <c r="C79" s="17" t="s">
        <v>24</v>
      </c>
      <c r="D79" s="18">
        <v>77</v>
      </c>
      <c r="E79" s="19">
        <v>45957</v>
      </c>
      <c r="F79" s="20" t="s">
        <v>22</v>
      </c>
      <c r="G79" s="21">
        <v>89</v>
      </c>
      <c r="H79" s="21">
        <v>2</v>
      </c>
      <c r="I79" s="17" t="str">
        <f t="shared" si="2"/>
        <v>octubre</v>
      </c>
      <c r="J79" s="17" t="str">
        <f t="shared" si="3"/>
        <v>lunes</v>
      </c>
    </row>
    <row r="80" spans="1:10" x14ac:dyDescent="0.3">
      <c r="A80" s="16">
        <v>287</v>
      </c>
      <c r="B80" s="17" t="s">
        <v>85</v>
      </c>
      <c r="C80" s="17" t="s">
        <v>15</v>
      </c>
      <c r="D80" s="18">
        <v>62</v>
      </c>
      <c r="E80" s="19">
        <v>45744</v>
      </c>
      <c r="F80" s="20" t="s">
        <v>16</v>
      </c>
      <c r="G80" s="21">
        <v>100</v>
      </c>
      <c r="H80" s="21">
        <v>1</v>
      </c>
      <c r="I80" s="17" t="str">
        <f t="shared" si="2"/>
        <v>marzo</v>
      </c>
      <c r="J80" s="17" t="str">
        <f t="shared" si="3"/>
        <v>viernes</v>
      </c>
    </row>
    <row r="81" spans="1:10" hidden="1" x14ac:dyDescent="0.3">
      <c r="A81" s="16">
        <v>289</v>
      </c>
      <c r="B81" s="17" t="s">
        <v>86</v>
      </c>
      <c r="C81" s="17" t="s">
        <v>9</v>
      </c>
      <c r="D81" s="18">
        <v>95.3</v>
      </c>
      <c r="E81" s="19">
        <v>45936</v>
      </c>
      <c r="F81" s="20" t="s">
        <v>10</v>
      </c>
      <c r="G81" s="21">
        <v>47</v>
      </c>
      <c r="H81" s="21">
        <v>1</v>
      </c>
      <c r="I81" s="17" t="str">
        <f t="shared" si="2"/>
        <v>octubre</v>
      </c>
      <c r="J81" s="17" t="str">
        <f t="shared" si="3"/>
        <v>lunes</v>
      </c>
    </row>
    <row r="82" spans="1:10" hidden="1" x14ac:dyDescent="0.3">
      <c r="A82" s="16">
        <v>291</v>
      </c>
      <c r="B82" s="17" t="s">
        <v>87</v>
      </c>
      <c r="C82" s="17" t="s">
        <v>19</v>
      </c>
      <c r="D82" s="18">
        <v>70.599999999999994</v>
      </c>
      <c r="E82" s="19">
        <v>45806</v>
      </c>
      <c r="F82" s="20" t="s">
        <v>16</v>
      </c>
      <c r="G82" s="21">
        <v>12</v>
      </c>
      <c r="H82" s="21">
        <v>3</v>
      </c>
      <c r="I82" s="17" t="str">
        <f t="shared" si="2"/>
        <v>mayo</v>
      </c>
      <c r="J82" s="17" t="str">
        <f t="shared" si="3"/>
        <v>jueves</v>
      </c>
    </row>
    <row r="83" spans="1:10" hidden="1" x14ac:dyDescent="0.3">
      <c r="A83" s="16">
        <v>292</v>
      </c>
      <c r="B83" s="17" t="s">
        <v>88</v>
      </c>
      <c r="C83" s="17" t="s">
        <v>19</v>
      </c>
      <c r="D83" s="18">
        <v>54.7</v>
      </c>
      <c r="E83" s="19">
        <v>45659</v>
      </c>
      <c r="F83" s="20" t="s">
        <v>20</v>
      </c>
      <c r="G83" s="21">
        <v>70</v>
      </c>
      <c r="H83" s="21">
        <v>3</v>
      </c>
      <c r="I83" s="17" t="str">
        <f t="shared" si="2"/>
        <v>enero</v>
      </c>
      <c r="J83" s="17" t="str">
        <f t="shared" si="3"/>
        <v>jueves</v>
      </c>
    </row>
    <row r="84" spans="1:10" hidden="1" x14ac:dyDescent="0.3">
      <c r="A84" s="16">
        <v>295</v>
      </c>
      <c r="B84" s="17" t="s">
        <v>89</v>
      </c>
      <c r="C84" s="17" t="s">
        <v>9</v>
      </c>
      <c r="D84" s="18">
        <v>98.1</v>
      </c>
      <c r="E84" s="19">
        <v>45846</v>
      </c>
      <c r="F84" s="20" t="s">
        <v>22</v>
      </c>
      <c r="G84" s="21">
        <v>24</v>
      </c>
      <c r="H84" s="21">
        <v>3</v>
      </c>
      <c r="I84" s="17" t="str">
        <f t="shared" si="2"/>
        <v>julio</v>
      </c>
      <c r="J84" s="17" t="str">
        <f t="shared" si="3"/>
        <v>martes</v>
      </c>
    </row>
    <row r="85" spans="1:10" hidden="1" x14ac:dyDescent="0.3">
      <c r="A85" s="16">
        <v>296</v>
      </c>
      <c r="B85" s="17" t="s">
        <v>90</v>
      </c>
      <c r="C85" s="17" t="s">
        <v>24</v>
      </c>
      <c r="D85" s="18">
        <v>86.6</v>
      </c>
      <c r="E85" s="19">
        <v>45803</v>
      </c>
      <c r="F85" s="20" t="s">
        <v>22</v>
      </c>
      <c r="G85" s="21">
        <v>65</v>
      </c>
      <c r="H85" s="21">
        <v>3</v>
      </c>
      <c r="I85" s="17" t="str">
        <f t="shared" si="2"/>
        <v>mayo</v>
      </c>
      <c r="J85" s="17" t="str">
        <f t="shared" si="3"/>
        <v>lunes</v>
      </c>
    </row>
    <row r="86" spans="1:10" x14ac:dyDescent="0.3">
      <c r="A86" s="16">
        <v>300</v>
      </c>
      <c r="B86" s="17" t="s">
        <v>91</v>
      </c>
      <c r="C86" s="17" t="s">
        <v>19</v>
      </c>
      <c r="D86" s="18">
        <v>63.2</v>
      </c>
      <c r="E86" s="19">
        <v>45666</v>
      </c>
      <c r="F86" s="20" t="s">
        <v>16</v>
      </c>
      <c r="G86" s="21">
        <v>28</v>
      </c>
      <c r="H86" s="21">
        <v>1</v>
      </c>
      <c r="I86" s="17" t="str">
        <f t="shared" si="2"/>
        <v>enero</v>
      </c>
      <c r="J86" s="17" t="str">
        <f t="shared" si="3"/>
        <v>jueves</v>
      </c>
    </row>
    <row r="87" spans="1:10" hidden="1" x14ac:dyDescent="0.3">
      <c r="A87" s="16">
        <v>306</v>
      </c>
      <c r="B87" s="17" t="s">
        <v>92</v>
      </c>
      <c r="C87" s="17" t="s">
        <v>24</v>
      </c>
      <c r="D87" s="18">
        <v>72.8</v>
      </c>
      <c r="E87" s="19">
        <v>45779</v>
      </c>
      <c r="F87" s="20" t="s">
        <v>16</v>
      </c>
      <c r="G87" s="21">
        <v>90</v>
      </c>
      <c r="H87" s="21">
        <v>2</v>
      </c>
      <c r="I87" s="17" t="str">
        <f t="shared" si="2"/>
        <v>mayo</v>
      </c>
      <c r="J87" s="17" t="str">
        <f t="shared" si="3"/>
        <v>viernes</v>
      </c>
    </row>
    <row r="88" spans="1:10" hidden="1" x14ac:dyDescent="0.3">
      <c r="A88" s="16">
        <v>309</v>
      </c>
      <c r="B88" s="17" t="s">
        <v>93</v>
      </c>
      <c r="C88" s="17" t="s">
        <v>15</v>
      </c>
      <c r="D88" s="18">
        <v>75</v>
      </c>
      <c r="E88" s="19">
        <v>45785</v>
      </c>
      <c r="F88" s="20" t="s">
        <v>16</v>
      </c>
      <c r="G88" s="21">
        <v>63</v>
      </c>
      <c r="H88" s="21">
        <v>3</v>
      </c>
      <c r="I88" s="17" t="str">
        <f t="shared" si="2"/>
        <v>mayo</v>
      </c>
      <c r="J88" s="17" t="str">
        <f t="shared" si="3"/>
        <v>jueves</v>
      </c>
    </row>
    <row r="89" spans="1:10" hidden="1" x14ac:dyDescent="0.3">
      <c r="A89" s="16">
        <v>310</v>
      </c>
      <c r="B89" s="17" t="s">
        <v>94</v>
      </c>
      <c r="C89" s="17" t="s">
        <v>19</v>
      </c>
      <c r="D89" s="18">
        <v>57.7</v>
      </c>
      <c r="E89" s="19">
        <v>45970</v>
      </c>
      <c r="F89" s="20" t="s">
        <v>16</v>
      </c>
      <c r="G89" s="21">
        <v>100</v>
      </c>
      <c r="H89" s="21">
        <v>1</v>
      </c>
      <c r="I89" s="17" t="str">
        <f t="shared" si="2"/>
        <v>noviembre</v>
      </c>
      <c r="J89" s="17" t="str">
        <f t="shared" si="3"/>
        <v>domingo</v>
      </c>
    </row>
    <row r="90" spans="1:10" hidden="1" x14ac:dyDescent="0.3">
      <c r="A90" s="16">
        <v>311</v>
      </c>
      <c r="B90" s="17" t="s">
        <v>95</v>
      </c>
      <c r="C90" s="17" t="s">
        <v>12</v>
      </c>
      <c r="D90" s="18">
        <v>98.8</v>
      </c>
      <c r="E90" s="19">
        <v>45767</v>
      </c>
      <c r="F90" s="20" t="s">
        <v>13</v>
      </c>
      <c r="G90" s="21">
        <v>96</v>
      </c>
      <c r="H90" s="21">
        <v>3</v>
      </c>
      <c r="I90" s="17" t="str">
        <f t="shared" si="2"/>
        <v>abril</v>
      </c>
      <c r="J90" s="17" t="str">
        <f t="shared" si="3"/>
        <v>domingo</v>
      </c>
    </row>
    <row r="91" spans="1:10" hidden="1" x14ac:dyDescent="0.3">
      <c r="A91" s="16">
        <v>316</v>
      </c>
      <c r="B91" s="17" t="s">
        <v>96</v>
      </c>
      <c r="C91" s="17" t="s">
        <v>19</v>
      </c>
      <c r="D91" s="18">
        <v>72.599999999999994</v>
      </c>
      <c r="E91" s="19">
        <v>45866</v>
      </c>
      <c r="F91" s="20" t="s">
        <v>20</v>
      </c>
      <c r="G91" s="21">
        <v>34</v>
      </c>
      <c r="H91" s="21">
        <v>1</v>
      </c>
      <c r="I91" s="17" t="str">
        <f t="shared" si="2"/>
        <v>julio</v>
      </c>
      <c r="J91" s="17" t="str">
        <f t="shared" si="3"/>
        <v>lunes</v>
      </c>
    </row>
    <row r="92" spans="1:10" hidden="1" x14ac:dyDescent="0.3">
      <c r="A92" s="16">
        <v>318</v>
      </c>
      <c r="B92" s="17" t="s">
        <v>97</v>
      </c>
      <c r="C92" s="17" t="s">
        <v>9</v>
      </c>
      <c r="D92" s="18">
        <v>69.900000000000006</v>
      </c>
      <c r="E92" s="19">
        <v>45854</v>
      </c>
      <c r="F92" s="20" t="s">
        <v>22</v>
      </c>
      <c r="G92" s="21">
        <v>87</v>
      </c>
      <c r="H92" s="21">
        <v>1</v>
      </c>
      <c r="I92" s="17" t="str">
        <f t="shared" si="2"/>
        <v>julio</v>
      </c>
      <c r="J92" s="17" t="str">
        <f t="shared" si="3"/>
        <v>miércoles</v>
      </c>
    </row>
    <row r="93" spans="1:10" hidden="1" x14ac:dyDescent="0.3">
      <c r="A93" s="16">
        <v>320</v>
      </c>
      <c r="B93" s="17" t="s">
        <v>98</v>
      </c>
      <c r="C93" s="17" t="s">
        <v>24</v>
      </c>
      <c r="D93" s="18">
        <v>83</v>
      </c>
      <c r="E93" s="19">
        <v>45841</v>
      </c>
      <c r="F93" s="20" t="s">
        <v>16</v>
      </c>
      <c r="G93" s="21">
        <v>93</v>
      </c>
      <c r="H93" s="21">
        <v>2</v>
      </c>
      <c r="I93" s="17" t="str">
        <f t="shared" si="2"/>
        <v>julio</v>
      </c>
      <c r="J93" s="17" t="str">
        <f t="shared" si="3"/>
        <v>jueves</v>
      </c>
    </row>
    <row r="94" spans="1:10" x14ac:dyDescent="0.3">
      <c r="A94" s="16">
        <v>324</v>
      </c>
      <c r="B94" s="17" t="s">
        <v>99</v>
      </c>
      <c r="C94" s="17" t="s">
        <v>12</v>
      </c>
      <c r="D94" s="18">
        <v>75.900000000000006</v>
      </c>
      <c r="E94" s="19">
        <v>45683</v>
      </c>
      <c r="F94" s="20" t="s">
        <v>20</v>
      </c>
      <c r="G94" s="21">
        <v>90</v>
      </c>
      <c r="H94" s="21">
        <v>2</v>
      </c>
      <c r="I94" s="17" t="str">
        <f t="shared" si="2"/>
        <v>enero</v>
      </c>
      <c r="J94" s="17" t="str">
        <f t="shared" si="3"/>
        <v>domingo</v>
      </c>
    </row>
    <row r="95" spans="1:10" x14ac:dyDescent="0.3">
      <c r="A95" s="16">
        <v>327</v>
      </c>
      <c r="B95" s="17" t="s">
        <v>100</v>
      </c>
      <c r="C95" s="17" t="s">
        <v>15</v>
      </c>
      <c r="D95" s="18">
        <v>78.8</v>
      </c>
      <c r="E95" s="19">
        <v>45679</v>
      </c>
      <c r="F95" s="20" t="s">
        <v>16</v>
      </c>
      <c r="G95" s="21">
        <v>100</v>
      </c>
      <c r="H95" s="21">
        <v>1</v>
      </c>
      <c r="I95" s="17" t="str">
        <f t="shared" si="2"/>
        <v>enero</v>
      </c>
      <c r="J95" s="17" t="str">
        <f t="shared" si="3"/>
        <v>miércoles</v>
      </c>
    </row>
    <row r="96" spans="1:10" hidden="1" x14ac:dyDescent="0.3">
      <c r="A96" s="16">
        <v>330</v>
      </c>
      <c r="B96" s="17" t="s">
        <v>101</v>
      </c>
      <c r="C96" s="17" t="s">
        <v>12</v>
      </c>
      <c r="D96" s="18">
        <v>65.099999999999994</v>
      </c>
      <c r="E96" s="19">
        <v>45872</v>
      </c>
      <c r="F96" s="20" t="s">
        <v>13</v>
      </c>
      <c r="G96" s="21">
        <v>100</v>
      </c>
      <c r="H96" s="21">
        <v>1</v>
      </c>
      <c r="I96" s="17" t="str">
        <f t="shared" si="2"/>
        <v>agosto</v>
      </c>
      <c r="J96" s="17" t="str">
        <f t="shared" si="3"/>
        <v>domingo</v>
      </c>
    </row>
    <row r="97" spans="1:10" hidden="1" x14ac:dyDescent="0.3">
      <c r="A97" s="16">
        <v>335</v>
      </c>
      <c r="B97" s="17" t="s">
        <v>102</v>
      </c>
      <c r="C97" s="17" t="s">
        <v>24</v>
      </c>
      <c r="D97" s="18">
        <v>75.900000000000006</v>
      </c>
      <c r="E97" s="19">
        <v>45930</v>
      </c>
      <c r="F97" s="20" t="s">
        <v>16</v>
      </c>
      <c r="G97" s="21">
        <v>87</v>
      </c>
      <c r="H97" s="21">
        <v>2</v>
      </c>
      <c r="I97" s="17" t="str">
        <f t="shared" si="2"/>
        <v>septiembre</v>
      </c>
      <c r="J97" s="17" t="str">
        <f t="shared" si="3"/>
        <v>martes</v>
      </c>
    </row>
    <row r="98" spans="1:10" x14ac:dyDescent="0.3">
      <c r="A98" s="16">
        <v>336</v>
      </c>
      <c r="B98" s="17" t="s">
        <v>103</v>
      </c>
      <c r="C98" s="17" t="s">
        <v>24</v>
      </c>
      <c r="D98" s="18">
        <v>81.599999999999994</v>
      </c>
      <c r="E98" s="19">
        <v>45685</v>
      </c>
      <c r="F98" s="20" t="s">
        <v>16</v>
      </c>
      <c r="G98" s="21">
        <v>90</v>
      </c>
      <c r="H98" s="21">
        <v>2</v>
      </c>
      <c r="I98" s="17" t="str">
        <f t="shared" si="2"/>
        <v>enero</v>
      </c>
      <c r="J98" s="17" t="str">
        <f t="shared" si="3"/>
        <v>martes</v>
      </c>
    </row>
    <row r="99" spans="1:10" hidden="1" x14ac:dyDescent="0.3">
      <c r="A99" s="16">
        <v>342</v>
      </c>
      <c r="B99" s="17" t="s">
        <v>104</v>
      </c>
      <c r="C99" s="17" t="s">
        <v>15</v>
      </c>
      <c r="D99" s="18">
        <v>76.7</v>
      </c>
      <c r="E99" s="19">
        <v>45762</v>
      </c>
      <c r="F99" s="20" t="s">
        <v>16</v>
      </c>
      <c r="G99" s="21">
        <v>37</v>
      </c>
      <c r="H99" s="21">
        <v>3</v>
      </c>
      <c r="I99" s="17" t="str">
        <f t="shared" si="2"/>
        <v>abril</v>
      </c>
      <c r="J99" s="17" t="str">
        <f t="shared" si="3"/>
        <v>martes</v>
      </c>
    </row>
    <row r="100" spans="1:10" hidden="1" x14ac:dyDescent="0.3">
      <c r="A100" s="16">
        <v>344</v>
      </c>
      <c r="B100" s="17" t="s">
        <v>105</v>
      </c>
      <c r="C100" s="17" t="s">
        <v>24</v>
      </c>
      <c r="D100" s="18">
        <v>98.3</v>
      </c>
      <c r="E100" s="19">
        <v>45749</v>
      </c>
      <c r="F100" s="20" t="s">
        <v>16</v>
      </c>
      <c r="G100" s="21">
        <v>86</v>
      </c>
      <c r="H100" s="21">
        <v>1</v>
      </c>
      <c r="I100" s="17" t="str">
        <f t="shared" si="2"/>
        <v>abril</v>
      </c>
      <c r="J100" s="17" t="str">
        <f t="shared" si="3"/>
        <v>miércoles</v>
      </c>
    </row>
    <row r="101" spans="1:10" hidden="1" x14ac:dyDescent="0.3">
      <c r="A101" s="16">
        <v>354</v>
      </c>
      <c r="B101" s="17" t="s">
        <v>106</v>
      </c>
      <c r="C101" s="17" t="s">
        <v>12</v>
      </c>
      <c r="D101" s="18">
        <v>69.7</v>
      </c>
      <c r="E101" s="19">
        <v>45706</v>
      </c>
      <c r="F101" s="20" t="s">
        <v>13</v>
      </c>
      <c r="G101" s="21">
        <v>70</v>
      </c>
      <c r="H101" s="21">
        <v>3</v>
      </c>
      <c r="I101" s="17" t="str">
        <f t="shared" si="2"/>
        <v>febrero</v>
      </c>
      <c r="J101" s="17" t="str">
        <f t="shared" si="3"/>
        <v>martes</v>
      </c>
    </row>
    <row r="102" spans="1:10" hidden="1" x14ac:dyDescent="0.3">
      <c r="A102" s="16">
        <v>367</v>
      </c>
      <c r="B102" s="17" t="s">
        <v>107</v>
      </c>
      <c r="C102" s="17" t="s">
        <v>12</v>
      </c>
      <c r="D102" s="18">
        <v>54.6</v>
      </c>
      <c r="E102" s="19">
        <v>45770</v>
      </c>
      <c r="F102" s="20" t="s">
        <v>13</v>
      </c>
      <c r="G102" s="21">
        <v>47</v>
      </c>
      <c r="H102" s="21">
        <v>2</v>
      </c>
      <c r="I102" s="17" t="str">
        <f t="shared" si="2"/>
        <v>abril</v>
      </c>
      <c r="J102" s="17" t="str">
        <f t="shared" si="3"/>
        <v>miércoles</v>
      </c>
    </row>
    <row r="103" spans="1:10" hidden="1" x14ac:dyDescent="0.3">
      <c r="A103" s="16">
        <v>372</v>
      </c>
      <c r="B103" s="17" t="s">
        <v>108</v>
      </c>
      <c r="C103" s="17" t="s">
        <v>12</v>
      </c>
      <c r="D103" s="18">
        <v>97.2</v>
      </c>
      <c r="E103" s="19">
        <v>45843</v>
      </c>
      <c r="F103" s="20" t="s">
        <v>20</v>
      </c>
      <c r="G103" s="21">
        <v>100</v>
      </c>
      <c r="H103" s="21">
        <v>1</v>
      </c>
      <c r="I103" s="17" t="str">
        <f t="shared" si="2"/>
        <v>julio</v>
      </c>
      <c r="J103" s="17" t="str">
        <f t="shared" si="3"/>
        <v>sábado</v>
      </c>
    </row>
    <row r="104" spans="1:10" hidden="1" x14ac:dyDescent="0.3">
      <c r="A104" s="16">
        <v>373</v>
      </c>
      <c r="B104" s="17" t="s">
        <v>109</v>
      </c>
      <c r="C104" s="17" t="s">
        <v>15</v>
      </c>
      <c r="D104" s="18">
        <v>62.8</v>
      </c>
      <c r="E104" s="19">
        <v>45696</v>
      </c>
      <c r="F104" s="20" t="s">
        <v>16</v>
      </c>
      <c r="G104" s="21">
        <v>0</v>
      </c>
      <c r="H104" s="21">
        <v>1</v>
      </c>
      <c r="I104" s="17" t="str">
        <f t="shared" si="2"/>
        <v>febrero</v>
      </c>
      <c r="J104" s="17" t="str">
        <f t="shared" si="3"/>
        <v>sábado</v>
      </c>
    </row>
    <row r="105" spans="1:10" hidden="1" x14ac:dyDescent="0.3">
      <c r="A105" s="16">
        <v>376</v>
      </c>
      <c r="B105" s="17" t="s">
        <v>110</v>
      </c>
      <c r="C105" s="17" t="s">
        <v>12</v>
      </c>
      <c r="D105" s="18">
        <v>56.4</v>
      </c>
      <c r="E105" s="19">
        <v>45748</v>
      </c>
      <c r="F105" s="20" t="s">
        <v>13</v>
      </c>
      <c r="G105" s="21">
        <v>65</v>
      </c>
      <c r="H105" s="21">
        <v>2</v>
      </c>
      <c r="I105" s="17" t="str">
        <f t="shared" si="2"/>
        <v>abril</v>
      </c>
      <c r="J105" s="17" t="str">
        <f t="shared" si="3"/>
        <v>martes</v>
      </c>
    </row>
    <row r="106" spans="1:10" x14ac:dyDescent="0.3">
      <c r="A106" s="16">
        <v>379</v>
      </c>
      <c r="B106" s="17" t="s">
        <v>111</v>
      </c>
      <c r="C106" s="17" t="s">
        <v>9</v>
      </c>
      <c r="D106" s="18">
        <v>91.7</v>
      </c>
      <c r="E106" s="19">
        <v>45739</v>
      </c>
      <c r="F106" s="20" t="s">
        <v>22</v>
      </c>
      <c r="G106" s="21">
        <v>46</v>
      </c>
      <c r="H106" s="21">
        <v>3</v>
      </c>
      <c r="I106" s="17" t="str">
        <f t="shared" si="2"/>
        <v>marzo</v>
      </c>
      <c r="J106" s="17" t="str">
        <f t="shared" si="3"/>
        <v>domingo</v>
      </c>
    </row>
    <row r="107" spans="1:10" hidden="1" x14ac:dyDescent="0.3">
      <c r="A107" s="16">
        <v>383</v>
      </c>
      <c r="B107" s="17" t="s">
        <v>112</v>
      </c>
      <c r="C107" s="17" t="s">
        <v>24</v>
      </c>
      <c r="D107" s="18">
        <v>85.4</v>
      </c>
      <c r="E107" s="19">
        <v>45750</v>
      </c>
      <c r="F107" s="20" t="s">
        <v>16</v>
      </c>
      <c r="G107" s="21">
        <v>62</v>
      </c>
      <c r="H107" s="21">
        <v>3</v>
      </c>
      <c r="I107" s="17" t="str">
        <f t="shared" si="2"/>
        <v>abril</v>
      </c>
      <c r="J107" s="17" t="str">
        <f t="shared" si="3"/>
        <v>jueves</v>
      </c>
    </row>
    <row r="108" spans="1:10" hidden="1" x14ac:dyDescent="0.3">
      <c r="A108" s="16">
        <v>389</v>
      </c>
      <c r="B108" s="17" t="s">
        <v>113</v>
      </c>
      <c r="C108" s="17" t="s">
        <v>15</v>
      </c>
      <c r="D108" s="18">
        <v>70.5</v>
      </c>
      <c r="E108" s="19">
        <v>45629</v>
      </c>
      <c r="F108" s="20" t="s">
        <v>16</v>
      </c>
      <c r="G108" s="21">
        <v>53</v>
      </c>
      <c r="H108" s="21">
        <v>1</v>
      </c>
      <c r="I108" s="17" t="str">
        <f t="shared" si="2"/>
        <v>diciembre</v>
      </c>
      <c r="J108" s="17" t="str">
        <f t="shared" si="3"/>
        <v>martes</v>
      </c>
    </row>
    <row r="109" spans="1:10" hidden="1" x14ac:dyDescent="0.3">
      <c r="A109" s="16">
        <v>390</v>
      </c>
      <c r="B109" s="17" t="s">
        <v>114</v>
      </c>
      <c r="C109" s="17" t="s">
        <v>9</v>
      </c>
      <c r="D109" s="18">
        <v>86.2</v>
      </c>
      <c r="E109" s="19">
        <v>45846</v>
      </c>
      <c r="F109" s="20" t="s">
        <v>10</v>
      </c>
      <c r="G109" s="21">
        <v>39</v>
      </c>
      <c r="H109" s="21">
        <v>3</v>
      </c>
      <c r="I109" s="17" t="str">
        <f t="shared" si="2"/>
        <v>julio</v>
      </c>
      <c r="J109" s="17" t="str">
        <f t="shared" si="3"/>
        <v>martes</v>
      </c>
    </row>
    <row r="110" spans="1:10" hidden="1" x14ac:dyDescent="0.3">
      <c r="A110" s="16">
        <v>400</v>
      </c>
      <c r="B110" s="17" t="s">
        <v>115</v>
      </c>
      <c r="C110" s="17" t="s">
        <v>19</v>
      </c>
      <c r="D110" s="18">
        <v>69.8</v>
      </c>
      <c r="E110" s="19">
        <v>45633</v>
      </c>
      <c r="F110" s="20" t="s">
        <v>20</v>
      </c>
      <c r="G110" s="21">
        <v>39</v>
      </c>
      <c r="H110" s="21">
        <v>3</v>
      </c>
      <c r="I110" s="17" t="str">
        <f t="shared" si="2"/>
        <v>diciembre</v>
      </c>
      <c r="J110" s="17" t="str">
        <f t="shared" si="3"/>
        <v>sábado</v>
      </c>
    </row>
    <row r="111" spans="1:10" hidden="1" x14ac:dyDescent="0.3">
      <c r="A111" s="16">
        <v>403</v>
      </c>
      <c r="B111" s="17" t="s">
        <v>116</v>
      </c>
      <c r="C111" s="17" t="s">
        <v>9</v>
      </c>
      <c r="D111" s="18">
        <v>71.400000000000006</v>
      </c>
      <c r="E111" s="19">
        <v>45864</v>
      </c>
      <c r="F111" s="20" t="s">
        <v>10</v>
      </c>
      <c r="G111" s="21">
        <v>90</v>
      </c>
      <c r="H111" s="21">
        <v>2</v>
      </c>
      <c r="I111" s="17" t="str">
        <f t="shared" si="2"/>
        <v>julio</v>
      </c>
      <c r="J111" s="17" t="str">
        <f t="shared" si="3"/>
        <v>sábado</v>
      </c>
    </row>
    <row r="112" spans="1:10" hidden="1" x14ac:dyDescent="0.3">
      <c r="A112" s="16">
        <v>404</v>
      </c>
      <c r="B112" s="17" t="s">
        <v>117</v>
      </c>
      <c r="C112" s="17" t="s">
        <v>9</v>
      </c>
      <c r="D112" s="18">
        <v>86.9</v>
      </c>
      <c r="E112" s="19">
        <v>45857</v>
      </c>
      <c r="F112" s="20" t="s">
        <v>10</v>
      </c>
      <c r="G112" s="21">
        <v>44</v>
      </c>
      <c r="H112" s="21">
        <v>1</v>
      </c>
      <c r="I112" s="17" t="str">
        <f t="shared" si="2"/>
        <v>julio</v>
      </c>
      <c r="J112" s="17" t="str">
        <f t="shared" si="3"/>
        <v>sábado</v>
      </c>
    </row>
    <row r="113" spans="1:10" hidden="1" x14ac:dyDescent="0.3">
      <c r="A113" s="16">
        <v>411</v>
      </c>
      <c r="B113" s="17" t="s">
        <v>118</v>
      </c>
      <c r="C113" s="17" t="s">
        <v>15</v>
      </c>
      <c r="D113" s="18">
        <v>80.400000000000006</v>
      </c>
      <c r="E113" s="19">
        <v>45886</v>
      </c>
      <c r="F113" s="20" t="s">
        <v>16</v>
      </c>
      <c r="G113" s="21">
        <v>33</v>
      </c>
      <c r="H113" s="21">
        <v>1</v>
      </c>
      <c r="I113" s="17" t="str">
        <f t="shared" si="2"/>
        <v>agosto</v>
      </c>
      <c r="J113" s="17" t="str">
        <f t="shared" si="3"/>
        <v>domingo</v>
      </c>
    </row>
    <row r="114" spans="1:10" hidden="1" x14ac:dyDescent="0.3">
      <c r="A114" s="16">
        <v>413</v>
      </c>
      <c r="B114" s="17" t="s">
        <v>119</v>
      </c>
      <c r="C114" s="17" t="s">
        <v>19</v>
      </c>
      <c r="D114" s="18">
        <v>75.8</v>
      </c>
      <c r="E114" s="19">
        <v>45784</v>
      </c>
      <c r="F114" s="20" t="s">
        <v>16</v>
      </c>
      <c r="G114" s="21">
        <v>65</v>
      </c>
      <c r="H114" s="21">
        <v>2</v>
      </c>
      <c r="I114" s="17" t="str">
        <f t="shared" si="2"/>
        <v>mayo</v>
      </c>
      <c r="J114" s="17" t="str">
        <f t="shared" si="3"/>
        <v>miércoles</v>
      </c>
    </row>
    <row r="115" spans="1:10" hidden="1" x14ac:dyDescent="0.3">
      <c r="A115" s="16">
        <v>414</v>
      </c>
      <c r="B115" s="17" t="s">
        <v>120</v>
      </c>
      <c r="C115" s="17" t="s">
        <v>19</v>
      </c>
      <c r="D115" s="18">
        <v>65.599999999999994</v>
      </c>
      <c r="E115" s="19">
        <v>45830</v>
      </c>
      <c r="F115" s="20" t="s">
        <v>20</v>
      </c>
      <c r="G115" s="21">
        <v>100</v>
      </c>
      <c r="H115" s="21">
        <v>1</v>
      </c>
      <c r="I115" s="17" t="str">
        <f t="shared" si="2"/>
        <v>junio</v>
      </c>
      <c r="J115" s="17" t="str">
        <f t="shared" si="3"/>
        <v>domingo</v>
      </c>
    </row>
    <row r="116" spans="1:10" hidden="1" x14ac:dyDescent="0.3">
      <c r="A116" s="16">
        <v>420</v>
      </c>
      <c r="B116" s="17" t="s">
        <v>121</v>
      </c>
      <c r="C116" s="17" t="s">
        <v>12</v>
      </c>
      <c r="D116" s="18">
        <v>52.4</v>
      </c>
      <c r="E116" s="19">
        <v>45951</v>
      </c>
      <c r="F116" s="20" t="s">
        <v>20</v>
      </c>
      <c r="G116" s="21">
        <v>24</v>
      </c>
      <c r="H116" s="21">
        <v>3</v>
      </c>
      <c r="I116" s="17" t="str">
        <f t="shared" si="2"/>
        <v>octubre</v>
      </c>
      <c r="J116" s="17" t="str">
        <f t="shared" si="3"/>
        <v>martes</v>
      </c>
    </row>
    <row r="117" spans="1:10" hidden="1" x14ac:dyDescent="0.3">
      <c r="A117" s="16">
        <v>424</v>
      </c>
      <c r="B117" s="17" t="s">
        <v>122</v>
      </c>
      <c r="C117" s="17" t="s">
        <v>19</v>
      </c>
      <c r="D117" s="18">
        <v>97.6</v>
      </c>
      <c r="E117" s="19">
        <v>45756</v>
      </c>
      <c r="F117" s="20" t="s">
        <v>22</v>
      </c>
      <c r="G117" s="21">
        <v>14</v>
      </c>
      <c r="H117" s="21">
        <v>3</v>
      </c>
      <c r="I117" s="17" t="str">
        <f t="shared" si="2"/>
        <v>abril</v>
      </c>
      <c r="J117" s="17" t="str">
        <f t="shared" si="3"/>
        <v>miércoles</v>
      </c>
    </row>
    <row r="118" spans="1:10" hidden="1" x14ac:dyDescent="0.3">
      <c r="A118" s="16">
        <v>429</v>
      </c>
      <c r="B118" s="17" t="s">
        <v>123</v>
      </c>
      <c r="C118" s="17" t="s">
        <v>24</v>
      </c>
      <c r="D118" s="18">
        <v>89.3</v>
      </c>
      <c r="E118" s="19">
        <v>45763</v>
      </c>
      <c r="F118" s="20" t="s">
        <v>22</v>
      </c>
      <c r="G118" s="21">
        <v>87</v>
      </c>
      <c r="H118" s="21">
        <v>1</v>
      </c>
      <c r="I118" s="17" t="str">
        <f t="shared" si="2"/>
        <v>abril</v>
      </c>
      <c r="J118" s="17" t="str">
        <f t="shared" si="3"/>
        <v>miércoles</v>
      </c>
    </row>
    <row r="119" spans="1:10" hidden="1" x14ac:dyDescent="0.3">
      <c r="A119" s="16">
        <v>434</v>
      </c>
      <c r="B119" s="17" t="s">
        <v>124</v>
      </c>
      <c r="C119" s="17" t="s">
        <v>12</v>
      </c>
      <c r="D119" s="18">
        <v>70.400000000000006</v>
      </c>
      <c r="E119" s="19">
        <v>45805</v>
      </c>
      <c r="F119" s="20" t="s">
        <v>20</v>
      </c>
      <c r="G119" s="21">
        <v>72</v>
      </c>
      <c r="H119" s="21">
        <v>3</v>
      </c>
      <c r="I119" s="17" t="str">
        <f t="shared" si="2"/>
        <v>mayo</v>
      </c>
      <c r="J119" s="17" t="str">
        <f t="shared" si="3"/>
        <v>miércoles</v>
      </c>
    </row>
    <row r="120" spans="1:10" hidden="1" x14ac:dyDescent="0.3">
      <c r="A120" s="16">
        <v>435</v>
      </c>
      <c r="B120" s="17" t="s">
        <v>125</v>
      </c>
      <c r="C120" s="17" t="s">
        <v>15</v>
      </c>
      <c r="D120" s="18">
        <v>74.099999999999994</v>
      </c>
      <c r="E120" s="19">
        <v>45716</v>
      </c>
      <c r="F120" s="20" t="s">
        <v>16</v>
      </c>
      <c r="G120" s="21">
        <v>90</v>
      </c>
      <c r="H120" s="21">
        <v>2</v>
      </c>
      <c r="I120" s="17" t="str">
        <f t="shared" si="2"/>
        <v>febrero</v>
      </c>
      <c r="J120" s="17" t="str">
        <f t="shared" si="3"/>
        <v>viernes</v>
      </c>
    </row>
    <row r="121" spans="1:10" hidden="1" x14ac:dyDescent="0.3">
      <c r="A121" s="16">
        <v>438</v>
      </c>
      <c r="B121" s="17" t="s">
        <v>126</v>
      </c>
      <c r="C121" s="17" t="s">
        <v>24</v>
      </c>
      <c r="D121" s="18">
        <v>99.1</v>
      </c>
      <c r="E121" s="19">
        <v>45843</v>
      </c>
      <c r="F121" s="20" t="s">
        <v>16</v>
      </c>
      <c r="G121" s="21">
        <v>20</v>
      </c>
      <c r="H121" s="21">
        <v>3</v>
      </c>
      <c r="I121" s="17" t="str">
        <f t="shared" si="2"/>
        <v>julio</v>
      </c>
      <c r="J121" s="17" t="str">
        <f t="shared" si="3"/>
        <v>sábado</v>
      </c>
    </row>
    <row r="122" spans="1:10" hidden="1" x14ac:dyDescent="0.3">
      <c r="A122" s="16">
        <v>439</v>
      </c>
      <c r="B122" s="17" t="s">
        <v>127</v>
      </c>
      <c r="C122" s="17" t="s">
        <v>9</v>
      </c>
      <c r="D122" s="18">
        <v>97.3</v>
      </c>
      <c r="E122" s="19">
        <v>45843</v>
      </c>
      <c r="F122" s="20" t="s">
        <v>22</v>
      </c>
      <c r="G122" s="21">
        <v>42</v>
      </c>
      <c r="H122" s="21">
        <v>3</v>
      </c>
      <c r="I122" s="17" t="str">
        <f t="shared" si="2"/>
        <v>julio</v>
      </c>
      <c r="J122" s="17" t="str">
        <f t="shared" si="3"/>
        <v>sábado</v>
      </c>
    </row>
    <row r="123" spans="1:10" hidden="1" x14ac:dyDescent="0.3">
      <c r="A123" s="16">
        <v>440</v>
      </c>
      <c r="B123" s="17" t="s">
        <v>128</v>
      </c>
      <c r="C123" s="17" t="s">
        <v>24</v>
      </c>
      <c r="D123" s="18">
        <v>74.599999999999994</v>
      </c>
      <c r="E123" s="19">
        <v>45941</v>
      </c>
      <c r="F123" s="20" t="s">
        <v>16</v>
      </c>
      <c r="G123" s="21">
        <v>41</v>
      </c>
      <c r="H123" s="21">
        <v>3</v>
      </c>
      <c r="I123" s="17" t="str">
        <f t="shared" si="2"/>
        <v>octubre</v>
      </c>
      <c r="J123" s="17" t="str">
        <f t="shared" si="3"/>
        <v>sábado</v>
      </c>
    </row>
    <row r="124" spans="1:10" hidden="1" x14ac:dyDescent="0.3">
      <c r="A124" s="16">
        <v>444</v>
      </c>
      <c r="B124" s="17" t="s">
        <v>129</v>
      </c>
      <c r="C124" s="17" t="s">
        <v>9</v>
      </c>
      <c r="D124" s="18">
        <v>60.6</v>
      </c>
      <c r="E124" s="19">
        <v>45922</v>
      </c>
      <c r="F124" s="20" t="s">
        <v>22</v>
      </c>
      <c r="G124" s="21">
        <v>11</v>
      </c>
      <c r="H124" s="21">
        <v>3</v>
      </c>
      <c r="I124" s="17" t="str">
        <f t="shared" si="2"/>
        <v>septiembre</v>
      </c>
      <c r="J124" s="17" t="str">
        <f t="shared" si="3"/>
        <v>lunes</v>
      </c>
    </row>
    <row r="125" spans="1:10" x14ac:dyDescent="0.3">
      <c r="A125" s="16">
        <v>446</v>
      </c>
      <c r="B125" s="17" t="s">
        <v>130</v>
      </c>
      <c r="C125" s="17" t="s">
        <v>9</v>
      </c>
      <c r="D125" s="18">
        <v>64.599999999999994</v>
      </c>
      <c r="E125" s="19">
        <v>45672</v>
      </c>
      <c r="F125" s="20" t="s">
        <v>10</v>
      </c>
      <c r="G125" s="21">
        <v>90</v>
      </c>
      <c r="H125" s="21">
        <v>2</v>
      </c>
      <c r="I125" s="17" t="str">
        <f t="shared" si="2"/>
        <v>enero</v>
      </c>
      <c r="J125" s="17" t="str">
        <f t="shared" si="3"/>
        <v>miércoles</v>
      </c>
    </row>
    <row r="126" spans="1:10" hidden="1" x14ac:dyDescent="0.3">
      <c r="A126" s="16">
        <v>458</v>
      </c>
      <c r="B126" s="17" t="s">
        <v>131</v>
      </c>
      <c r="C126" s="17" t="s">
        <v>15</v>
      </c>
      <c r="D126" s="18">
        <v>57.4</v>
      </c>
      <c r="E126" s="19">
        <v>45743</v>
      </c>
      <c r="F126" s="20" t="s">
        <v>16</v>
      </c>
      <c r="G126" s="21">
        <v>91</v>
      </c>
      <c r="H126" s="21">
        <v>1</v>
      </c>
      <c r="I126" s="17" t="str">
        <f t="shared" si="2"/>
        <v>marzo</v>
      </c>
      <c r="J126" s="17" t="str">
        <f t="shared" si="3"/>
        <v>jueves</v>
      </c>
    </row>
    <row r="127" spans="1:10" hidden="1" x14ac:dyDescent="0.3">
      <c r="A127" s="16">
        <v>466</v>
      </c>
      <c r="B127" s="17" t="s">
        <v>132</v>
      </c>
      <c r="C127" s="17" t="s">
        <v>12</v>
      </c>
      <c r="D127" s="18">
        <v>53.7</v>
      </c>
      <c r="E127" s="19">
        <v>45712</v>
      </c>
      <c r="F127" s="20" t="s">
        <v>13</v>
      </c>
      <c r="G127" s="21">
        <v>96</v>
      </c>
      <c r="H127" s="21">
        <v>1</v>
      </c>
      <c r="I127" s="17" t="str">
        <f t="shared" si="2"/>
        <v>febrero</v>
      </c>
      <c r="J127" s="17" t="str">
        <f t="shared" si="3"/>
        <v>lunes</v>
      </c>
    </row>
    <row r="128" spans="1:10" hidden="1" x14ac:dyDescent="0.3">
      <c r="A128" s="16">
        <v>469</v>
      </c>
      <c r="B128" s="17" t="s">
        <v>133</v>
      </c>
      <c r="C128" s="17" t="s">
        <v>12</v>
      </c>
      <c r="D128" s="18">
        <v>72.2</v>
      </c>
      <c r="E128" s="19">
        <v>45700</v>
      </c>
      <c r="F128" s="20" t="s">
        <v>20</v>
      </c>
      <c r="G128" s="21">
        <v>62</v>
      </c>
      <c r="H128" s="21">
        <v>1</v>
      </c>
      <c r="I128" s="17" t="str">
        <f t="shared" si="2"/>
        <v>febrero</v>
      </c>
      <c r="J128" s="17" t="str">
        <f t="shared" si="3"/>
        <v>miércoles</v>
      </c>
    </row>
    <row r="129" spans="1:10" hidden="1" x14ac:dyDescent="0.3">
      <c r="A129" s="16">
        <v>480</v>
      </c>
      <c r="B129" s="17" t="s">
        <v>134</v>
      </c>
      <c r="C129" s="17" t="s">
        <v>12</v>
      </c>
      <c r="D129" s="18">
        <v>98.8</v>
      </c>
      <c r="E129" s="19">
        <v>45920</v>
      </c>
      <c r="F129" s="20" t="s">
        <v>20</v>
      </c>
      <c r="G129" s="21">
        <v>25</v>
      </c>
      <c r="H129" s="21">
        <v>1</v>
      </c>
      <c r="I129" s="17" t="str">
        <f t="shared" si="2"/>
        <v>septiembre</v>
      </c>
      <c r="J129" s="17" t="str">
        <f t="shared" si="3"/>
        <v>sábado</v>
      </c>
    </row>
    <row r="130" spans="1:10" hidden="1" x14ac:dyDescent="0.3">
      <c r="A130" s="16">
        <v>483</v>
      </c>
      <c r="B130" s="17" t="s">
        <v>135</v>
      </c>
      <c r="C130" s="17" t="s">
        <v>19</v>
      </c>
      <c r="D130" s="18">
        <v>56.7</v>
      </c>
      <c r="E130" s="19">
        <v>45704</v>
      </c>
      <c r="F130" s="20" t="s">
        <v>20</v>
      </c>
      <c r="G130" s="21">
        <v>38</v>
      </c>
      <c r="H130" s="21">
        <v>3</v>
      </c>
      <c r="I130" s="17" t="str">
        <f t="shared" si="2"/>
        <v>febrero</v>
      </c>
      <c r="J130" s="17" t="str">
        <f t="shared" si="3"/>
        <v>domingo</v>
      </c>
    </row>
    <row r="131" spans="1:10" hidden="1" x14ac:dyDescent="0.3">
      <c r="A131" s="16">
        <v>488</v>
      </c>
      <c r="B131" s="17" t="s">
        <v>136</v>
      </c>
      <c r="C131" s="17" t="s">
        <v>24</v>
      </c>
      <c r="D131" s="18">
        <v>75.599999999999994</v>
      </c>
      <c r="E131" s="19">
        <v>45641</v>
      </c>
      <c r="F131" s="20" t="s">
        <v>16</v>
      </c>
      <c r="G131" s="21">
        <v>97</v>
      </c>
      <c r="H131" s="21">
        <v>2</v>
      </c>
      <c r="I131" s="17" t="str">
        <f t="shared" si="2"/>
        <v>diciembre</v>
      </c>
      <c r="J131" s="17" t="str">
        <f t="shared" si="3"/>
        <v>domingo</v>
      </c>
    </row>
    <row r="132" spans="1:10" hidden="1" x14ac:dyDescent="0.3">
      <c r="A132" s="16">
        <v>492</v>
      </c>
      <c r="B132" s="17" t="s">
        <v>137</v>
      </c>
      <c r="C132" s="17" t="s">
        <v>15</v>
      </c>
      <c r="D132" s="18">
        <v>52.8</v>
      </c>
      <c r="E132" s="19">
        <v>45732</v>
      </c>
      <c r="F132" s="20" t="s">
        <v>16</v>
      </c>
      <c r="G132" s="21">
        <v>81</v>
      </c>
      <c r="H132" s="21">
        <v>2</v>
      </c>
      <c r="I132" s="17" t="str">
        <f t="shared" ref="I132:I195" si="4">TEXT(E132,"MMMM")</f>
        <v>marzo</v>
      </c>
      <c r="J132" s="17" t="str">
        <f t="shared" ref="J132:J195" si="5">TEXT(E132,"DDDD")</f>
        <v>domingo</v>
      </c>
    </row>
    <row r="133" spans="1:10" hidden="1" x14ac:dyDescent="0.3">
      <c r="A133" s="16">
        <v>493</v>
      </c>
      <c r="B133" s="17" t="s">
        <v>138</v>
      </c>
      <c r="C133" s="17" t="s">
        <v>15</v>
      </c>
      <c r="D133" s="18">
        <v>98.9</v>
      </c>
      <c r="E133" s="19">
        <v>45705</v>
      </c>
      <c r="F133" s="20" t="s">
        <v>16</v>
      </c>
      <c r="G133" s="21">
        <v>40</v>
      </c>
      <c r="H133" s="21">
        <v>2</v>
      </c>
      <c r="I133" s="17" t="str">
        <f t="shared" si="4"/>
        <v>febrero</v>
      </c>
      <c r="J133" s="17" t="str">
        <f t="shared" si="5"/>
        <v>lunes</v>
      </c>
    </row>
    <row r="134" spans="1:10" hidden="1" x14ac:dyDescent="0.3">
      <c r="A134" s="16">
        <v>494</v>
      </c>
      <c r="B134" s="17" t="s">
        <v>139</v>
      </c>
      <c r="C134" s="17" t="s">
        <v>12</v>
      </c>
      <c r="D134" s="18">
        <v>67.5</v>
      </c>
      <c r="E134" s="19">
        <v>45944</v>
      </c>
      <c r="F134" s="20" t="s">
        <v>13</v>
      </c>
      <c r="G134" s="21">
        <v>90</v>
      </c>
      <c r="H134" s="21">
        <v>3</v>
      </c>
      <c r="I134" s="17" t="str">
        <f t="shared" si="4"/>
        <v>octubre</v>
      </c>
      <c r="J134" s="17" t="str">
        <f t="shared" si="5"/>
        <v>martes</v>
      </c>
    </row>
    <row r="135" spans="1:10" hidden="1" x14ac:dyDescent="0.3">
      <c r="A135" s="16">
        <v>504</v>
      </c>
      <c r="B135" s="17" t="s">
        <v>140</v>
      </c>
      <c r="C135" s="17" t="s">
        <v>24</v>
      </c>
      <c r="D135" s="18">
        <v>57.2</v>
      </c>
      <c r="E135" s="19">
        <v>45792</v>
      </c>
      <c r="F135" s="20" t="s">
        <v>16</v>
      </c>
      <c r="G135" s="21">
        <v>92</v>
      </c>
      <c r="H135" s="21">
        <v>2</v>
      </c>
      <c r="I135" s="17" t="str">
        <f t="shared" si="4"/>
        <v>mayo</v>
      </c>
      <c r="J135" s="17" t="str">
        <f t="shared" si="5"/>
        <v>jueves</v>
      </c>
    </row>
    <row r="136" spans="1:10" hidden="1" x14ac:dyDescent="0.3">
      <c r="A136" s="16">
        <v>505</v>
      </c>
      <c r="B136" s="17" t="s">
        <v>141</v>
      </c>
      <c r="C136" s="17" t="s">
        <v>24</v>
      </c>
      <c r="D136" s="18">
        <v>87.7</v>
      </c>
      <c r="E136" s="19">
        <v>45924</v>
      </c>
      <c r="F136" s="20" t="s">
        <v>22</v>
      </c>
      <c r="G136" s="21">
        <v>100</v>
      </c>
      <c r="H136" s="21">
        <v>1</v>
      </c>
      <c r="I136" s="17" t="str">
        <f t="shared" si="4"/>
        <v>septiembre</v>
      </c>
      <c r="J136" s="17" t="str">
        <f t="shared" si="5"/>
        <v>miércoles</v>
      </c>
    </row>
    <row r="137" spans="1:10" hidden="1" x14ac:dyDescent="0.3">
      <c r="A137" s="16">
        <v>509</v>
      </c>
      <c r="B137" s="17" t="s">
        <v>142</v>
      </c>
      <c r="C137" s="17" t="s">
        <v>15</v>
      </c>
      <c r="D137" s="18">
        <v>73.900000000000006</v>
      </c>
      <c r="E137" s="19">
        <v>45788</v>
      </c>
      <c r="F137" s="20" t="s">
        <v>16</v>
      </c>
      <c r="G137" s="21">
        <v>22</v>
      </c>
      <c r="H137" s="21">
        <v>3</v>
      </c>
      <c r="I137" s="17" t="str">
        <f t="shared" si="4"/>
        <v>mayo</v>
      </c>
      <c r="J137" s="17" t="str">
        <f t="shared" si="5"/>
        <v>domingo</v>
      </c>
    </row>
    <row r="138" spans="1:10" hidden="1" x14ac:dyDescent="0.3">
      <c r="A138" s="16">
        <v>512</v>
      </c>
      <c r="B138" s="17" t="s">
        <v>143</v>
      </c>
      <c r="C138" s="17" t="s">
        <v>24</v>
      </c>
      <c r="D138" s="18">
        <v>60.2</v>
      </c>
      <c r="E138" s="19">
        <v>45640</v>
      </c>
      <c r="F138" s="20" t="s">
        <v>16</v>
      </c>
      <c r="G138" s="21">
        <v>40</v>
      </c>
      <c r="H138" s="21">
        <v>2</v>
      </c>
      <c r="I138" s="17" t="str">
        <f t="shared" si="4"/>
        <v>diciembre</v>
      </c>
      <c r="J138" s="17" t="str">
        <f t="shared" si="5"/>
        <v>sábado</v>
      </c>
    </row>
    <row r="139" spans="1:10" hidden="1" x14ac:dyDescent="0.3">
      <c r="A139" s="16">
        <v>513</v>
      </c>
      <c r="B139" s="17" t="s">
        <v>144</v>
      </c>
      <c r="C139" s="17" t="s">
        <v>19</v>
      </c>
      <c r="D139" s="18">
        <v>64.7</v>
      </c>
      <c r="E139" s="19">
        <v>45991</v>
      </c>
      <c r="F139" s="20" t="s">
        <v>16</v>
      </c>
      <c r="G139" s="21">
        <v>44</v>
      </c>
      <c r="H139" s="21">
        <v>1</v>
      </c>
      <c r="I139" s="17" t="str">
        <f t="shared" si="4"/>
        <v>noviembre</v>
      </c>
      <c r="J139" s="17" t="str">
        <f t="shared" si="5"/>
        <v>domingo</v>
      </c>
    </row>
    <row r="140" spans="1:10" hidden="1" x14ac:dyDescent="0.3">
      <c r="A140" s="16">
        <v>520</v>
      </c>
      <c r="B140" s="17" t="s">
        <v>145</v>
      </c>
      <c r="C140" s="17" t="s">
        <v>12</v>
      </c>
      <c r="D140" s="18">
        <v>72.099999999999994</v>
      </c>
      <c r="E140" s="19">
        <v>45857</v>
      </c>
      <c r="F140" s="20" t="s">
        <v>20</v>
      </c>
      <c r="G140" s="21">
        <v>86</v>
      </c>
      <c r="H140" s="21">
        <v>3</v>
      </c>
      <c r="I140" s="17" t="str">
        <f t="shared" si="4"/>
        <v>julio</v>
      </c>
      <c r="J140" s="17" t="str">
        <f t="shared" si="5"/>
        <v>sábado</v>
      </c>
    </row>
    <row r="141" spans="1:10" hidden="1" x14ac:dyDescent="0.3">
      <c r="A141" s="16">
        <v>521</v>
      </c>
      <c r="B141" s="17" t="s">
        <v>146</v>
      </c>
      <c r="C141" s="17" t="s">
        <v>9</v>
      </c>
      <c r="D141" s="18">
        <v>82.4</v>
      </c>
      <c r="E141" s="19">
        <v>45832</v>
      </c>
      <c r="F141" s="20" t="s">
        <v>22</v>
      </c>
      <c r="G141" s="21">
        <v>17</v>
      </c>
      <c r="H141" s="21">
        <v>3</v>
      </c>
      <c r="I141" s="17" t="str">
        <f t="shared" si="4"/>
        <v>junio</v>
      </c>
      <c r="J141" s="17" t="str">
        <f t="shared" si="5"/>
        <v>martes</v>
      </c>
    </row>
    <row r="142" spans="1:10" hidden="1" x14ac:dyDescent="0.3">
      <c r="A142" s="16">
        <v>522</v>
      </c>
      <c r="B142" s="17" t="s">
        <v>147</v>
      </c>
      <c r="C142" s="17" t="s">
        <v>12</v>
      </c>
      <c r="D142" s="18">
        <v>92.3</v>
      </c>
      <c r="E142" s="19">
        <v>45874</v>
      </c>
      <c r="F142" s="20" t="s">
        <v>20</v>
      </c>
      <c r="G142" s="21">
        <v>80</v>
      </c>
      <c r="H142" s="21">
        <v>1</v>
      </c>
      <c r="I142" s="17" t="str">
        <f t="shared" si="4"/>
        <v>agosto</v>
      </c>
      <c r="J142" s="17" t="str">
        <f t="shared" si="5"/>
        <v>martes</v>
      </c>
    </row>
    <row r="143" spans="1:10" hidden="1" x14ac:dyDescent="0.3">
      <c r="A143" s="16">
        <v>522</v>
      </c>
      <c r="B143" s="17" t="s">
        <v>147</v>
      </c>
      <c r="C143" s="17" t="s">
        <v>24</v>
      </c>
      <c r="D143" s="18">
        <v>61.7</v>
      </c>
      <c r="E143" s="19">
        <v>45842</v>
      </c>
      <c r="F143" s="20" t="s">
        <v>16</v>
      </c>
      <c r="G143" s="21">
        <v>19</v>
      </c>
      <c r="H143" s="21">
        <v>3</v>
      </c>
      <c r="I143" s="17" t="str">
        <f t="shared" si="4"/>
        <v>julio</v>
      </c>
      <c r="J143" s="17" t="str">
        <f t="shared" si="5"/>
        <v>viernes</v>
      </c>
    </row>
    <row r="144" spans="1:10" hidden="1" x14ac:dyDescent="0.3">
      <c r="A144" s="16">
        <v>522</v>
      </c>
      <c r="B144" s="17" t="s">
        <v>147</v>
      </c>
      <c r="C144" s="17" t="s">
        <v>9</v>
      </c>
      <c r="D144" s="18">
        <v>75.400000000000006</v>
      </c>
      <c r="E144" s="19">
        <v>45646</v>
      </c>
      <c r="F144" s="20" t="s">
        <v>22</v>
      </c>
      <c r="G144" s="21">
        <v>67</v>
      </c>
      <c r="H144" s="21">
        <v>1</v>
      </c>
      <c r="I144" s="17" t="str">
        <f t="shared" si="4"/>
        <v>diciembre</v>
      </c>
      <c r="J144" s="17" t="str">
        <f t="shared" si="5"/>
        <v>viernes</v>
      </c>
    </row>
    <row r="145" spans="1:10" hidden="1" x14ac:dyDescent="0.3">
      <c r="A145" s="16">
        <v>522</v>
      </c>
      <c r="B145" s="17" t="s">
        <v>147</v>
      </c>
      <c r="C145" s="17" t="s">
        <v>19</v>
      </c>
      <c r="D145" s="18">
        <v>97.7</v>
      </c>
      <c r="E145" s="19">
        <v>45821</v>
      </c>
      <c r="F145" s="20" t="s">
        <v>20</v>
      </c>
      <c r="G145" s="21">
        <v>89</v>
      </c>
      <c r="H145" s="21">
        <v>1</v>
      </c>
      <c r="I145" s="17" t="str">
        <f t="shared" si="4"/>
        <v>junio</v>
      </c>
      <c r="J145" s="17" t="str">
        <f t="shared" si="5"/>
        <v>viernes</v>
      </c>
    </row>
    <row r="146" spans="1:10" hidden="1" x14ac:dyDescent="0.3">
      <c r="A146" s="16">
        <v>526</v>
      </c>
      <c r="B146" s="17" t="s">
        <v>148</v>
      </c>
      <c r="C146" s="17" t="s">
        <v>12</v>
      </c>
      <c r="D146" s="18">
        <v>65.599999999999994</v>
      </c>
      <c r="E146" s="19">
        <v>45750</v>
      </c>
      <c r="F146" s="20" t="s">
        <v>13</v>
      </c>
      <c r="G146" s="21">
        <v>42</v>
      </c>
      <c r="H146" s="21">
        <v>3</v>
      </c>
      <c r="I146" s="17" t="str">
        <f t="shared" si="4"/>
        <v>abril</v>
      </c>
      <c r="J146" s="17" t="str">
        <f t="shared" si="5"/>
        <v>jueves</v>
      </c>
    </row>
    <row r="147" spans="1:10" hidden="1" x14ac:dyDescent="0.3">
      <c r="A147" s="16">
        <v>530</v>
      </c>
      <c r="B147" s="17" t="s">
        <v>149</v>
      </c>
      <c r="C147" s="17" t="s">
        <v>24</v>
      </c>
      <c r="D147" s="18">
        <v>74</v>
      </c>
      <c r="E147" s="19">
        <v>45887</v>
      </c>
      <c r="F147" s="20" t="s">
        <v>16</v>
      </c>
      <c r="G147" s="21">
        <v>97</v>
      </c>
      <c r="H147" s="21">
        <v>2</v>
      </c>
      <c r="I147" s="17" t="str">
        <f t="shared" si="4"/>
        <v>agosto</v>
      </c>
      <c r="J147" s="17" t="str">
        <f t="shared" si="5"/>
        <v>lunes</v>
      </c>
    </row>
    <row r="148" spans="1:10" hidden="1" x14ac:dyDescent="0.3">
      <c r="A148" s="16">
        <v>532</v>
      </c>
      <c r="B148" s="17" t="s">
        <v>150</v>
      </c>
      <c r="C148" s="17" t="s">
        <v>24</v>
      </c>
      <c r="D148" s="18">
        <v>65</v>
      </c>
      <c r="E148" s="19">
        <v>45827</v>
      </c>
      <c r="F148" s="20" t="s">
        <v>16</v>
      </c>
      <c r="G148" s="21">
        <v>36</v>
      </c>
      <c r="H148" s="21">
        <v>3</v>
      </c>
      <c r="I148" s="17" t="str">
        <f t="shared" si="4"/>
        <v>junio</v>
      </c>
      <c r="J148" s="17" t="str">
        <f t="shared" si="5"/>
        <v>jueves</v>
      </c>
    </row>
    <row r="149" spans="1:10" hidden="1" x14ac:dyDescent="0.3">
      <c r="A149" s="16">
        <v>533</v>
      </c>
      <c r="B149" s="17" t="s">
        <v>151</v>
      </c>
      <c r="C149" s="17" t="s">
        <v>24</v>
      </c>
      <c r="D149" s="18">
        <v>53.8</v>
      </c>
      <c r="E149" s="19">
        <v>45812</v>
      </c>
      <c r="F149" s="20" t="s">
        <v>16</v>
      </c>
      <c r="G149" s="21">
        <v>8</v>
      </c>
      <c r="H149" s="21">
        <v>3</v>
      </c>
      <c r="I149" s="17" t="str">
        <f t="shared" si="4"/>
        <v>junio</v>
      </c>
      <c r="J149" s="17" t="str">
        <f t="shared" si="5"/>
        <v>miércoles</v>
      </c>
    </row>
    <row r="150" spans="1:10" hidden="1" x14ac:dyDescent="0.3">
      <c r="A150" s="16">
        <v>537</v>
      </c>
      <c r="B150" s="17" t="s">
        <v>152</v>
      </c>
      <c r="C150" s="17" t="s">
        <v>12</v>
      </c>
      <c r="D150" s="18">
        <v>99.2</v>
      </c>
      <c r="E150" s="19">
        <v>45952</v>
      </c>
      <c r="F150" s="20" t="s">
        <v>13</v>
      </c>
      <c r="G150" s="21">
        <v>60</v>
      </c>
      <c r="H150" s="21">
        <v>3</v>
      </c>
      <c r="I150" s="17" t="str">
        <f t="shared" si="4"/>
        <v>octubre</v>
      </c>
      <c r="J150" s="17" t="str">
        <f t="shared" si="5"/>
        <v>miércoles</v>
      </c>
    </row>
    <row r="151" spans="1:10" hidden="1" x14ac:dyDescent="0.3">
      <c r="A151" s="16">
        <v>538</v>
      </c>
      <c r="B151" s="17" t="s">
        <v>153</v>
      </c>
      <c r="C151" s="17" t="s">
        <v>15</v>
      </c>
      <c r="D151" s="18">
        <v>56.3</v>
      </c>
      <c r="E151" s="19">
        <v>45952</v>
      </c>
      <c r="F151" s="20" t="s">
        <v>16</v>
      </c>
      <c r="G151" s="21">
        <v>55</v>
      </c>
      <c r="H151" s="21">
        <v>3</v>
      </c>
      <c r="I151" s="17" t="str">
        <f t="shared" si="4"/>
        <v>octubre</v>
      </c>
      <c r="J151" s="17" t="str">
        <f t="shared" si="5"/>
        <v>miércoles</v>
      </c>
    </row>
    <row r="152" spans="1:10" hidden="1" x14ac:dyDescent="0.3">
      <c r="A152" s="16">
        <v>542</v>
      </c>
      <c r="B152" s="17" t="s">
        <v>154</v>
      </c>
      <c r="C152" s="17" t="s">
        <v>12</v>
      </c>
      <c r="D152" s="18">
        <v>82.4</v>
      </c>
      <c r="E152" s="19">
        <v>45945</v>
      </c>
      <c r="F152" s="20" t="s">
        <v>13</v>
      </c>
      <c r="G152" s="21">
        <v>77</v>
      </c>
      <c r="H152" s="21">
        <v>2</v>
      </c>
      <c r="I152" s="17" t="str">
        <f t="shared" si="4"/>
        <v>octubre</v>
      </c>
      <c r="J152" s="17" t="str">
        <f t="shared" si="5"/>
        <v>miércoles</v>
      </c>
    </row>
    <row r="153" spans="1:10" x14ac:dyDescent="0.3">
      <c r="A153" s="16">
        <v>545</v>
      </c>
      <c r="B153" s="17" t="s">
        <v>155</v>
      </c>
      <c r="C153" s="17" t="s">
        <v>15</v>
      </c>
      <c r="D153" s="18">
        <v>85.3</v>
      </c>
      <c r="E153" s="19">
        <v>45685</v>
      </c>
      <c r="F153" s="20" t="s">
        <v>16</v>
      </c>
      <c r="G153" s="21">
        <v>100</v>
      </c>
      <c r="H153" s="21">
        <v>1</v>
      </c>
      <c r="I153" s="17" t="str">
        <f t="shared" si="4"/>
        <v>enero</v>
      </c>
      <c r="J153" s="17" t="str">
        <f t="shared" si="5"/>
        <v>martes</v>
      </c>
    </row>
    <row r="154" spans="1:10" hidden="1" x14ac:dyDescent="0.3">
      <c r="A154" s="16">
        <v>548</v>
      </c>
      <c r="B154" s="17" t="s">
        <v>156</v>
      </c>
      <c r="C154" s="17" t="s">
        <v>12</v>
      </c>
      <c r="D154" s="18">
        <v>94.2</v>
      </c>
      <c r="E154" s="19">
        <v>45887</v>
      </c>
      <c r="F154" s="20" t="s">
        <v>13</v>
      </c>
      <c r="G154" s="21">
        <v>100</v>
      </c>
      <c r="H154" s="21">
        <v>1</v>
      </c>
      <c r="I154" s="17" t="str">
        <f t="shared" si="4"/>
        <v>agosto</v>
      </c>
      <c r="J154" s="17" t="str">
        <f t="shared" si="5"/>
        <v>lunes</v>
      </c>
    </row>
    <row r="155" spans="1:10" x14ac:dyDescent="0.3">
      <c r="A155" s="16">
        <v>550</v>
      </c>
      <c r="B155" s="17" t="s">
        <v>157</v>
      </c>
      <c r="C155" s="17" t="s">
        <v>15</v>
      </c>
      <c r="D155" s="18">
        <v>68.099999999999994</v>
      </c>
      <c r="E155" s="19">
        <v>45744</v>
      </c>
      <c r="F155" s="20" t="s">
        <v>16</v>
      </c>
      <c r="G155" s="21">
        <v>100</v>
      </c>
      <c r="H155" s="21">
        <v>1</v>
      </c>
      <c r="I155" s="17" t="str">
        <f t="shared" si="4"/>
        <v>marzo</v>
      </c>
      <c r="J155" s="17" t="str">
        <f t="shared" si="5"/>
        <v>viernes</v>
      </c>
    </row>
    <row r="156" spans="1:10" x14ac:dyDescent="0.3">
      <c r="A156" s="16">
        <v>556</v>
      </c>
      <c r="B156" s="17" t="s">
        <v>158</v>
      </c>
      <c r="C156" s="17" t="s">
        <v>19</v>
      </c>
      <c r="D156" s="18">
        <v>91.6</v>
      </c>
      <c r="E156" s="19">
        <v>45737</v>
      </c>
      <c r="F156" s="20" t="s">
        <v>20</v>
      </c>
      <c r="G156" s="21">
        <v>97</v>
      </c>
      <c r="H156" s="21">
        <v>2</v>
      </c>
      <c r="I156" s="17" t="str">
        <f t="shared" si="4"/>
        <v>marzo</v>
      </c>
      <c r="J156" s="17" t="str">
        <f t="shared" si="5"/>
        <v>viernes</v>
      </c>
    </row>
    <row r="157" spans="1:10" hidden="1" x14ac:dyDescent="0.3">
      <c r="A157" s="16">
        <v>558</v>
      </c>
      <c r="B157" s="17" t="s">
        <v>159</v>
      </c>
      <c r="C157" s="17" t="s">
        <v>24</v>
      </c>
      <c r="D157" s="18">
        <v>96.3</v>
      </c>
      <c r="E157" s="19">
        <v>45647</v>
      </c>
      <c r="F157" s="20" t="s">
        <v>22</v>
      </c>
      <c r="G157" s="21">
        <v>96</v>
      </c>
      <c r="H157" s="21">
        <v>1</v>
      </c>
      <c r="I157" s="17" t="str">
        <f t="shared" si="4"/>
        <v>diciembre</v>
      </c>
      <c r="J157" s="17" t="str">
        <f t="shared" si="5"/>
        <v>sábado</v>
      </c>
    </row>
    <row r="158" spans="1:10" hidden="1" x14ac:dyDescent="0.3">
      <c r="A158" s="16">
        <v>561</v>
      </c>
      <c r="B158" s="17" t="s">
        <v>160</v>
      </c>
      <c r="C158" s="17" t="s">
        <v>19</v>
      </c>
      <c r="D158" s="18">
        <v>82.6</v>
      </c>
      <c r="E158" s="19">
        <v>45972</v>
      </c>
      <c r="F158" s="20" t="s">
        <v>20</v>
      </c>
      <c r="G158" s="21">
        <v>87</v>
      </c>
      <c r="H158" s="21">
        <v>1</v>
      </c>
      <c r="I158" s="17" t="str">
        <f t="shared" si="4"/>
        <v>noviembre</v>
      </c>
      <c r="J158" s="17" t="str">
        <f t="shared" si="5"/>
        <v>martes</v>
      </c>
    </row>
    <row r="159" spans="1:10" x14ac:dyDescent="0.3">
      <c r="A159" s="16">
        <v>569</v>
      </c>
      <c r="B159" s="17" t="s">
        <v>161</v>
      </c>
      <c r="C159" s="17" t="s">
        <v>9</v>
      </c>
      <c r="D159" s="18">
        <v>89.1</v>
      </c>
      <c r="E159" s="19">
        <v>45665</v>
      </c>
      <c r="F159" s="20" t="s">
        <v>22</v>
      </c>
      <c r="G159" s="21">
        <v>99</v>
      </c>
      <c r="H159" s="21">
        <v>1</v>
      </c>
      <c r="I159" s="17" t="str">
        <f t="shared" si="4"/>
        <v>enero</v>
      </c>
      <c r="J159" s="17" t="str">
        <f t="shared" si="5"/>
        <v>miércoles</v>
      </c>
    </row>
    <row r="160" spans="1:10" hidden="1" x14ac:dyDescent="0.3">
      <c r="A160" s="16">
        <v>582</v>
      </c>
      <c r="B160" s="17" t="s">
        <v>162</v>
      </c>
      <c r="C160" s="17" t="s">
        <v>12</v>
      </c>
      <c r="D160" s="18">
        <v>52</v>
      </c>
      <c r="E160" s="19">
        <v>45973</v>
      </c>
      <c r="F160" s="20" t="s">
        <v>13</v>
      </c>
      <c r="G160" s="21">
        <v>73</v>
      </c>
      <c r="H160" s="21">
        <v>2</v>
      </c>
      <c r="I160" s="17" t="str">
        <f t="shared" si="4"/>
        <v>noviembre</v>
      </c>
      <c r="J160" s="17" t="str">
        <f t="shared" si="5"/>
        <v>miércoles</v>
      </c>
    </row>
    <row r="161" spans="1:10" hidden="1" x14ac:dyDescent="0.3">
      <c r="A161" s="16">
        <v>592</v>
      </c>
      <c r="B161" s="17" t="s">
        <v>163</v>
      </c>
      <c r="C161" s="17" t="s">
        <v>15</v>
      </c>
      <c r="D161" s="18">
        <v>89</v>
      </c>
      <c r="E161" s="19">
        <v>45934</v>
      </c>
      <c r="F161" s="20" t="s">
        <v>16</v>
      </c>
      <c r="G161" s="21">
        <v>50</v>
      </c>
      <c r="H161" s="21">
        <v>2</v>
      </c>
      <c r="I161" s="17" t="str">
        <f t="shared" si="4"/>
        <v>octubre</v>
      </c>
      <c r="J161" s="17" t="str">
        <f t="shared" si="5"/>
        <v>sábado</v>
      </c>
    </row>
    <row r="162" spans="1:10" hidden="1" x14ac:dyDescent="0.3">
      <c r="A162" s="16">
        <v>601</v>
      </c>
      <c r="B162" s="17" t="s">
        <v>164</v>
      </c>
      <c r="C162" s="17" t="s">
        <v>24</v>
      </c>
      <c r="D162" s="18">
        <v>83.5</v>
      </c>
      <c r="E162" s="19">
        <v>45976</v>
      </c>
      <c r="F162" s="20" t="s">
        <v>22</v>
      </c>
      <c r="G162" s="21">
        <v>89</v>
      </c>
      <c r="H162" s="21">
        <v>3</v>
      </c>
      <c r="I162" s="17" t="str">
        <f t="shared" si="4"/>
        <v>noviembre</v>
      </c>
      <c r="J162" s="17" t="str">
        <f t="shared" si="5"/>
        <v>sábado</v>
      </c>
    </row>
    <row r="163" spans="1:10" hidden="1" x14ac:dyDescent="0.3">
      <c r="A163" s="16">
        <v>605</v>
      </c>
      <c r="B163" s="17" t="s">
        <v>165</v>
      </c>
      <c r="C163" s="17" t="s">
        <v>15</v>
      </c>
      <c r="D163" s="18">
        <v>63.1</v>
      </c>
      <c r="E163" s="19">
        <v>45892</v>
      </c>
      <c r="F163" s="20" t="s">
        <v>16</v>
      </c>
      <c r="G163" s="21">
        <v>0</v>
      </c>
      <c r="H163" s="21">
        <v>1</v>
      </c>
      <c r="I163" s="17" t="str">
        <f t="shared" si="4"/>
        <v>agosto</v>
      </c>
      <c r="J163" s="17" t="str">
        <f t="shared" si="5"/>
        <v>sábado</v>
      </c>
    </row>
    <row r="164" spans="1:10" hidden="1" x14ac:dyDescent="0.3">
      <c r="A164" s="16">
        <v>613</v>
      </c>
      <c r="B164" s="17" t="s">
        <v>166</v>
      </c>
      <c r="C164" s="17" t="s">
        <v>9</v>
      </c>
      <c r="D164" s="18">
        <v>63</v>
      </c>
      <c r="E164" s="19">
        <v>45841</v>
      </c>
      <c r="F164" s="20" t="s">
        <v>22</v>
      </c>
      <c r="G164" s="21">
        <v>81</v>
      </c>
      <c r="H164" s="21">
        <v>2</v>
      </c>
      <c r="I164" s="17" t="str">
        <f t="shared" si="4"/>
        <v>julio</v>
      </c>
      <c r="J164" s="17" t="str">
        <f t="shared" si="5"/>
        <v>jueves</v>
      </c>
    </row>
    <row r="165" spans="1:10" hidden="1" x14ac:dyDescent="0.3">
      <c r="A165" s="16">
        <v>618</v>
      </c>
      <c r="B165" s="17" t="s">
        <v>167</v>
      </c>
      <c r="C165" s="17" t="s">
        <v>15</v>
      </c>
      <c r="D165" s="18">
        <v>66.400000000000006</v>
      </c>
      <c r="E165" s="19">
        <v>45806</v>
      </c>
      <c r="F165" s="20" t="s">
        <v>16</v>
      </c>
      <c r="G165" s="21">
        <v>68</v>
      </c>
      <c r="H165" s="21">
        <v>1</v>
      </c>
      <c r="I165" s="17" t="str">
        <f t="shared" si="4"/>
        <v>mayo</v>
      </c>
      <c r="J165" s="17" t="str">
        <f t="shared" si="5"/>
        <v>jueves</v>
      </c>
    </row>
    <row r="166" spans="1:10" hidden="1" x14ac:dyDescent="0.3">
      <c r="A166" s="16">
        <v>620</v>
      </c>
      <c r="B166" s="17" t="s">
        <v>168</v>
      </c>
      <c r="C166" s="17" t="s">
        <v>12</v>
      </c>
      <c r="D166" s="18">
        <v>94.8</v>
      </c>
      <c r="E166" s="19">
        <v>45802</v>
      </c>
      <c r="F166" s="20" t="s">
        <v>20</v>
      </c>
      <c r="G166" s="21">
        <v>2</v>
      </c>
      <c r="H166" s="21">
        <v>3</v>
      </c>
      <c r="I166" s="17" t="str">
        <f t="shared" si="4"/>
        <v>mayo</v>
      </c>
      <c r="J166" s="17" t="str">
        <f t="shared" si="5"/>
        <v>domingo</v>
      </c>
    </row>
    <row r="167" spans="1:10" hidden="1" x14ac:dyDescent="0.3">
      <c r="A167" s="16">
        <v>621</v>
      </c>
      <c r="B167" s="17" t="s">
        <v>169</v>
      </c>
      <c r="C167" s="17" t="s">
        <v>12</v>
      </c>
      <c r="D167" s="18">
        <v>67</v>
      </c>
      <c r="E167" s="19">
        <v>45698</v>
      </c>
      <c r="F167" s="20" t="s">
        <v>20</v>
      </c>
      <c r="G167" s="21">
        <v>0</v>
      </c>
      <c r="H167" s="21">
        <v>2</v>
      </c>
      <c r="I167" s="17" t="str">
        <f t="shared" si="4"/>
        <v>febrero</v>
      </c>
      <c r="J167" s="17" t="str">
        <f t="shared" si="5"/>
        <v>lunes</v>
      </c>
    </row>
    <row r="168" spans="1:10" x14ac:dyDescent="0.3">
      <c r="A168" s="16">
        <v>629</v>
      </c>
      <c r="B168" s="17" t="s">
        <v>170</v>
      </c>
      <c r="C168" s="17" t="s">
        <v>12</v>
      </c>
      <c r="D168" s="18">
        <v>91.7</v>
      </c>
      <c r="E168" s="19">
        <v>45687</v>
      </c>
      <c r="F168" s="20" t="s">
        <v>20</v>
      </c>
      <c r="G168" s="21">
        <v>0</v>
      </c>
      <c r="H168" s="21">
        <v>3</v>
      </c>
      <c r="I168" s="17" t="str">
        <f t="shared" si="4"/>
        <v>enero</v>
      </c>
      <c r="J168" s="17" t="str">
        <f t="shared" si="5"/>
        <v>jueves</v>
      </c>
    </row>
    <row r="169" spans="1:10" hidden="1" x14ac:dyDescent="0.3">
      <c r="A169" s="16">
        <v>631</v>
      </c>
      <c r="B169" s="17" t="s">
        <v>171</v>
      </c>
      <c r="C169" s="17" t="s">
        <v>24</v>
      </c>
      <c r="D169" s="18">
        <v>81.5</v>
      </c>
      <c r="E169" s="19">
        <v>45710</v>
      </c>
      <c r="F169" s="20" t="s">
        <v>22</v>
      </c>
      <c r="G169" s="21">
        <v>86</v>
      </c>
      <c r="H169" s="21">
        <v>2</v>
      </c>
      <c r="I169" s="17" t="str">
        <f t="shared" si="4"/>
        <v>febrero</v>
      </c>
      <c r="J169" s="17" t="str">
        <f t="shared" si="5"/>
        <v>sábado</v>
      </c>
    </row>
    <row r="170" spans="1:10" hidden="1" x14ac:dyDescent="0.3">
      <c r="A170" s="16">
        <v>639</v>
      </c>
      <c r="B170" s="17" t="s">
        <v>172</v>
      </c>
      <c r="C170" s="17" t="s">
        <v>12</v>
      </c>
      <c r="D170" s="18">
        <v>72.900000000000006</v>
      </c>
      <c r="E170" s="19">
        <v>45938</v>
      </c>
      <c r="F170" s="20" t="s">
        <v>13</v>
      </c>
      <c r="G170" s="21">
        <v>76</v>
      </c>
      <c r="H170" s="21">
        <v>2</v>
      </c>
      <c r="I170" s="17" t="str">
        <f t="shared" si="4"/>
        <v>octubre</v>
      </c>
      <c r="J170" s="17" t="str">
        <f t="shared" si="5"/>
        <v>miércoles</v>
      </c>
    </row>
    <row r="171" spans="1:10" hidden="1" x14ac:dyDescent="0.3">
      <c r="A171" s="16">
        <v>643</v>
      </c>
      <c r="B171" s="17" t="s">
        <v>173</v>
      </c>
      <c r="C171" s="17" t="s">
        <v>12</v>
      </c>
      <c r="D171" s="18">
        <v>75.900000000000006</v>
      </c>
      <c r="E171" s="19">
        <v>45649</v>
      </c>
      <c r="F171" s="20" t="s">
        <v>13</v>
      </c>
      <c r="G171" s="21">
        <v>63</v>
      </c>
      <c r="H171" s="21">
        <v>1</v>
      </c>
      <c r="I171" s="17" t="str">
        <f t="shared" si="4"/>
        <v>diciembre</v>
      </c>
      <c r="J171" s="17" t="str">
        <f t="shared" si="5"/>
        <v>lunes</v>
      </c>
    </row>
    <row r="172" spans="1:10" hidden="1" x14ac:dyDescent="0.3">
      <c r="A172" s="16">
        <v>647</v>
      </c>
      <c r="B172" s="17" t="s">
        <v>174</v>
      </c>
      <c r="C172" s="17" t="s">
        <v>12</v>
      </c>
      <c r="D172" s="18">
        <v>55.3</v>
      </c>
      <c r="E172" s="19">
        <v>45823</v>
      </c>
      <c r="F172" s="20" t="s">
        <v>13</v>
      </c>
      <c r="G172" s="21">
        <v>57</v>
      </c>
      <c r="H172" s="21">
        <v>2</v>
      </c>
      <c r="I172" s="17" t="str">
        <f t="shared" si="4"/>
        <v>junio</v>
      </c>
      <c r="J172" s="17" t="str">
        <f t="shared" si="5"/>
        <v>domingo</v>
      </c>
    </row>
    <row r="173" spans="1:10" hidden="1" x14ac:dyDescent="0.3">
      <c r="A173" s="16">
        <v>653</v>
      </c>
      <c r="B173" s="17" t="s">
        <v>175</v>
      </c>
      <c r="C173" s="17" t="s">
        <v>24</v>
      </c>
      <c r="D173" s="18">
        <v>71.099999999999994</v>
      </c>
      <c r="E173" s="19">
        <v>45751</v>
      </c>
      <c r="F173" s="20" t="s">
        <v>16</v>
      </c>
      <c r="G173" s="21">
        <v>62</v>
      </c>
      <c r="H173" s="21">
        <v>2</v>
      </c>
      <c r="I173" s="17" t="str">
        <f t="shared" si="4"/>
        <v>abril</v>
      </c>
      <c r="J173" s="17" t="str">
        <f t="shared" si="5"/>
        <v>viernes</v>
      </c>
    </row>
    <row r="174" spans="1:10" hidden="1" x14ac:dyDescent="0.3">
      <c r="A174" s="16">
        <v>658</v>
      </c>
      <c r="B174" s="17" t="s">
        <v>176</v>
      </c>
      <c r="C174" s="17" t="s">
        <v>12</v>
      </c>
      <c r="D174" s="18">
        <v>52</v>
      </c>
      <c r="E174" s="19">
        <v>45644</v>
      </c>
      <c r="F174" s="20" t="s">
        <v>13</v>
      </c>
      <c r="G174" s="21">
        <v>4</v>
      </c>
      <c r="H174" s="21">
        <v>3</v>
      </c>
      <c r="I174" s="17" t="str">
        <f t="shared" si="4"/>
        <v>diciembre</v>
      </c>
      <c r="J174" s="17" t="str">
        <f t="shared" si="5"/>
        <v>miércoles</v>
      </c>
    </row>
    <row r="175" spans="1:10" hidden="1" x14ac:dyDescent="0.3">
      <c r="A175" s="16">
        <v>659</v>
      </c>
      <c r="B175" s="17" t="s">
        <v>177</v>
      </c>
      <c r="C175" s="17" t="s">
        <v>9</v>
      </c>
      <c r="D175" s="18">
        <v>98.3</v>
      </c>
      <c r="E175" s="19">
        <v>45986</v>
      </c>
      <c r="F175" s="20" t="s">
        <v>22</v>
      </c>
      <c r="G175" s="21">
        <v>97</v>
      </c>
      <c r="H175" s="21">
        <v>2</v>
      </c>
      <c r="I175" s="17" t="str">
        <f t="shared" si="4"/>
        <v>noviembre</v>
      </c>
      <c r="J175" s="17" t="str">
        <f t="shared" si="5"/>
        <v>martes</v>
      </c>
    </row>
    <row r="176" spans="1:10" hidden="1" x14ac:dyDescent="0.3">
      <c r="A176" s="16">
        <v>667</v>
      </c>
      <c r="B176" s="17" t="s">
        <v>178</v>
      </c>
      <c r="C176" s="17" t="s">
        <v>15</v>
      </c>
      <c r="D176" s="18">
        <v>56</v>
      </c>
      <c r="E176" s="19">
        <v>45824</v>
      </c>
      <c r="F176" s="20" t="s">
        <v>16</v>
      </c>
      <c r="G176" s="21">
        <v>68</v>
      </c>
      <c r="H176" s="21">
        <v>2</v>
      </c>
      <c r="I176" s="17" t="str">
        <f t="shared" si="4"/>
        <v>junio</v>
      </c>
      <c r="J176" s="17" t="str">
        <f t="shared" si="5"/>
        <v>lunes</v>
      </c>
    </row>
    <row r="177" spans="1:10" hidden="1" x14ac:dyDescent="0.3">
      <c r="A177" s="16">
        <v>673</v>
      </c>
      <c r="B177" s="17" t="s">
        <v>179</v>
      </c>
      <c r="C177" s="17" t="s">
        <v>15</v>
      </c>
      <c r="D177" s="18">
        <v>97.2</v>
      </c>
      <c r="E177" s="19">
        <v>45977</v>
      </c>
      <c r="F177" s="20" t="s">
        <v>16</v>
      </c>
      <c r="G177" s="21">
        <v>88</v>
      </c>
      <c r="H177" s="21">
        <v>1</v>
      </c>
      <c r="I177" s="17" t="str">
        <f t="shared" si="4"/>
        <v>noviembre</v>
      </c>
      <c r="J177" s="17" t="str">
        <f t="shared" si="5"/>
        <v>domingo</v>
      </c>
    </row>
    <row r="178" spans="1:10" hidden="1" x14ac:dyDescent="0.3">
      <c r="A178" s="16">
        <v>675</v>
      </c>
      <c r="B178" s="17" t="s">
        <v>180</v>
      </c>
      <c r="C178" s="17" t="s">
        <v>15</v>
      </c>
      <c r="D178" s="18">
        <v>61.1</v>
      </c>
      <c r="E178" s="19">
        <v>45863</v>
      </c>
      <c r="F178" s="20" t="s">
        <v>16</v>
      </c>
      <c r="G178" s="21">
        <v>96</v>
      </c>
      <c r="H178" s="21">
        <v>1</v>
      </c>
      <c r="I178" s="17" t="str">
        <f t="shared" si="4"/>
        <v>julio</v>
      </c>
      <c r="J178" s="17" t="str">
        <f t="shared" si="5"/>
        <v>viernes</v>
      </c>
    </row>
    <row r="179" spans="1:10" hidden="1" x14ac:dyDescent="0.3">
      <c r="A179" s="16">
        <v>686</v>
      </c>
      <c r="B179" s="17" t="s">
        <v>181</v>
      </c>
      <c r="C179" s="17" t="s">
        <v>24</v>
      </c>
      <c r="D179" s="18">
        <v>94.2</v>
      </c>
      <c r="E179" s="19">
        <v>45765</v>
      </c>
      <c r="F179" s="20" t="s">
        <v>22</v>
      </c>
      <c r="G179" s="21">
        <v>74</v>
      </c>
      <c r="H179" s="21">
        <v>1</v>
      </c>
      <c r="I179" s="17" t="str">
        <f t="shared" si="4"/>
        <v>abril</v>
      </c>
      <c r="J179" s="17" t="str">
        <f t="shared" si="5"/>
        <v>viernes</v>
      </c>
    </row>
    <row r="180" spans="1:10" hidden="1" x14ac:dyDescent="0.3">
      <c r="A180" s="16">
        <v>692</v>
      </c>
      <c r="B180" s="17" t="s">
        <v>182</v>
      </c>
      <c r="C180" s="17" t="s">
        <v>24</v>
      </c>
      <c r="D180" s="18">
        <v>57.1</v>
      </c>
      <c r="E180" s="19">
        <v>45763</v>
      </c>
      <c r="F180" s="20" t="s">
        <v>16</v>
      </c>
      <c r="G180" s="21">
        <v>97</v>
      </c>
      <c r="H180" s="21">
        <v>2</v>
      </c>
      <c r="I180" s="17" t="str">
        <f t="shared" si="4"/>
        <v>abril</v>
      </c>
      <c r="J180" s="17" t="str">
        <f t="shared" si="5"/>
        <v>miércoles</v>
      </c>
    </row>
    <row r="181" spans="1:10" hidden="1" x14ac:dyDescent="0.3">
      <c r="A181" s="16">
        <v>695</v>
      </c>
      <c r="B181" s="17" t="s">
        <v>183</v>
      </c>
      <c r="C181" s="17" t="s">
        <v>9</v>
      </c>
      <c r="D181" s="18">
        <v>70.8</v>
      </c>
      <c r="E181" s="19">
        <v>45927</v>
      </c>
      <c r="F181" s="20" t="s">
        <v>22</v>
      </c>
      <c r="G181" s="21">
        <v>53</v>
      </c>
      <c r="H181" s="21">
        <v>1</v>
      </c>
      <c r="I181" s="17" t="str">
        <f t="shared" si="4"/>
        <v>septiembre</v>
      </c>
      <c r="J181" s="17" t="str">
        <f t="shared" si="5"/>
        <v>sábado</v>
      </c>
    </row>
    <row r="182" spans="1:10" hidden="1" x14ac:dyDescent="0.3">
      <c r="A182" s="16">
        <v>696</v>
      </c>
      <c r="B182" s="17" t="s">
        <v>184</v>
      </c>
      <c r="C182" s="17" t="s">
        <v>24</v>
      </c>
      <c r="D182" s="18">
        <v>52.9</v>
      </c>
      <c r="E182" s="19">
        <v>45725</v>
      </c>
      <c r="F182" s="20" t="s">
        <v>22</v>
      </c>
      <c r="G182" s="21">
        <v>72</v>
      </c>
      <c r="H182" s="21">
        <v>3</v>
      </c>
      <c r="I182" s="17" t="str">
        <f t="shared" si="4"/>
        <v>marzo</v>
      </c>
      <c r="J182" s="17" t="str">
        <f t="shared" si="5"/>
        <v>domingo</v>
      </c>
    </row>
    <row r="183" spans="1:10" hidden="1" x14ac:dyDescent="0.3">
      <c r="A183" s="16">
        <v>705</v>
      </c>
      <c r="B183" s="17" t="s">
        <v>185</v>
      </c>
      <c r="C183" s="17" t="s">
        <v>15</v>
      </c>
      <c r="D183" s="18">
        <v>97.5</v>
      </c>
      <c r="E183" s="19">
        <v>45903</v>
      </c>
      <c r="F183" s="20" t="s">
        <v>16</v>
      </c>
      <c r="G183" s="21">
        <v>60</v>
      </c>
      <c r="H183" s="21">
        <v>3</v>
      </c>
      <c r="I183" s="17" t="str">
        <f t="shared" si="4"/>
        <v>septiembre</v>
      </c>
      <c r="J183" s="17" t="str">
        <f t="shared" si="5"/>
        <v>miércoles</v>
      </c>
    </row>
    <row r="184" spans="1:10" hidden="1" x14ac:dyDescent="0.3">
      <c r="A184" s="16">
        <v>709</v>
      </c>
      <c r="B184" s="17" t="s">
        <v>186</v>
      </c>
      <c r="C184" s="17" t="s">
        <v>19</v>
      </c>
      <c r="D184" s="18">
        <v>52.5</v>
      </c>
      <c r="E184" s="19">
        <v>45717</v>
      </c>
      <c r="F184" s="20" t="s">
        <v>22</v>
      </c>
      <c r="G184" s="21">
        <v>39</v>
      </c>
      <c r="H184" s="21">
        <v>1</v>
      </c>
      <c r="I184" s="17" t="str">
        <f t="shared" si="4"/>
        <v>marzo</v>
      </c>
      <c r="J184" s="17" t="str">
        <f t="shared" si="5"/>
        <v>sábado</v>
      </c>
    </row>
    <row r="185" spans="1:10" hidden="1" x14ac:dyDescent="0.3">
      <c r="A185" s="16">
        <v>712</v>
      </c>
      <c r="B185" s="17" t="s">
        <v>187</v>
      </c>
      <c r="C185" s="17" t="s">
        <v>24</v>
      </c>
      <c r="D185" s="18">
        <v>87.6</v>
      </c>
      <c r="E185" s="19">
        <v>45712</v>
      </c>
      <c r="F185" s="20" t="s">
        <v>22</v>
      </c>
      <c r="G185" s="21">
        <v>97</v>
      </c>
      <c r="H185" s="21">
        <v>1</v>
      </c>
      <c r="I185" s="17" t="str">
        <f t="shared" si="4"/>
        <v>febrero</v>
      </c>
      <c r="J185" s="17" t="str">
        <f t="shared" si="5"/>
        <v>lunes</v>
      </c>
    </row>
    <row r="186" spans="1:10" hidden="1" x14ac:dyDescent="0.3">
      <c r="A186" s="16">
        <v>716</v>
      </c>
      <c r="B186" s="17" t="s">
        <v>188</v>
      </c>
      <c r="C186" s="17" t="s">
        <v>19</v>
      </c>
      <c r="D186" s="18">
        <v>90.1</v>
      </c>
      <c r="E186" s="19">
        <v>45979</v>
      </c>
      <c r="F186" s="20" t="s">
        <v>20</v>
      </c>
      <c r="G186" s="21">
        <v>62</v>
      </c>
      <c r="H186" s="21">
        <v>1</v>
      </c>
      <c r="I186" s="17" t="str">
        <f t="shared" si="4"/>
        <v>noviembre</v>
      </c>
      <c r="J186" s="17" t="str">
        <f t="shared" si="5"/>
        <v>martes</v>
      </c>
    </row>
    <row r="187" spans="1:10" x14ac:dyDescent="0.3">
      <c r="A187" s="16">
        <v>728</v>
      </c>
      <c r="B187" s="17" t="s">
        <v>189</v>
      </c>
      <c r="C187" s="17" t="s">
        <v>9</v>
      </c>
      <c r="D187" s="18">
        <v>96.8</v>
      </c>
      <c r="E187" s="19">
        <v>45660</v>
      </c>
      <c r="F187" s="20" t="s">
        <v>22</v>
      </c>
      <c r="G187" s="21">
        <v>76</v>
      </c>
      <c r="H187" s="21">
        <v>3</v>
      </c>
      <c r="I187" s="17" t="str">
        <f t="shared" si="4"/>
        <v>enero</v>
      </c>
      <c r="J187" s="17" t="str">
        <f t="shared" si="5"/>
        <v>viernes</v>
      </c>
    </row>
    <row r="188" spans="1:10" hidden="1" x14ac:dyDescent="0.3">
      <c r="A188" s="16">
        <v>729</v>
      </c>
      <c r="B188" s="17" t="s">
        <v>190</v>
      </c>
      <c r="C188" s="17" t="s">
        <v>12</v>
      </c>
      <c r="D188" s="18">
        <v>77.7</v>
      </c>
      <c r="E188" s="19">
        <v>45829</v>
      </c>
      <c r="F188" s="20" t="s">
        <v>13</v>
      </c>
      <c r="G188" s="21">
        <v>51</v>
      </c>
      <c r="H188" s="21">
        <v>1</v>
      </c>
      <c r="I188" s="17" t="str">
        <f t="shared" si="4"/>
        <v>junio</v>
      </c>
      <c r="J188" s="17" t="str">
        <f t="shared" si="5"/>
        <v>sábado</v>
      </c>
    </row>
    <row r="189" spans="1:10" x14ac:dyDescent="0.3">
      <c r="A189" s="16">
        <v>731</v>
      </c>
      <c r="B189" s="17" t="s">
        <v>191</v>
      </c>
      <c r="C189" s="17" t="s">
        <v>9</v>
      </c>
      <c r="D189" s="18">
        <v>79.7</v>
      </c>
      <c r="E189" s="19">
        <v>45718</v>
      </c>
      <c r="F189" s="20" t="s">
        <v>22</v>
      </c>
      <c r="G189" s="21">
        <v>69</v>
      </c>
      <c r="H189" s="21">
        <v>1</v>
      </c>
      <c r="I189" s="17" t="str">
        <f t="shared" si="4"/>
        <v>marzo</v>
      </c>
      <c r="J189" s="17" t="str">
        <f t="shared" si="5"/>
        <v>domingo</v>
      </c>
    </row>
    <row r="190" spans="1:10" hidden="1" x14ac:dyDescent="0.3">
      <c r="A190" s="16">
        <v>734</v>
      </c>
      <c r="B190" s="17" t="s">
        <v>192</v>
      </c>
      <c r="C190" s="17" t="s">
        <v>9</v>
      </c>
      <c r="D190" s="18">
        <v>71.2</v>
      </c>
      <c r="E190" s="19">
        <v>45655</v>
      </c>
      <c r="F190" s="20" t="s">
        <v>22</v>
      </c>
      <c r="G190" s="21">
        <v>34</v>
      </c>
      <c r="H190" s="21">
        <v>2</v>
      </c>
      <c r="I190" s="17" t="str">
        <f t="shared" si="4"/>
        <v>diciembre</v>
      </c>
      <c r="J190" s="17" t="str">
        <f t="shared" si="5"/>
        <v>domingo</v>
      </c>
    </row>
    <row r="191" spans="1:10" hidden="1" x14ac:dyDescent="0.3">
      <c r="A191" s="16">
        <v>746</v>
      </c>
      <c r="B191" s="17" t="s">
        <v>193</v>
      </c>
      <c r="C191" s="17" t="s">
        <v>12</v>
      </c>
      <c r="D191" s="18">
        <v>83.8</v>
      </c>
      <c r="E191" s="19">
        <v>45954</v>
      </c>
      <c r="F191" s="20" t="s">
        <v>20</v>
      </c>
      <c r="G191" s="21">
        <v>71</v>
      </c>
      <c r="H191" s="21">
        <v>3</v>
      </c>
      <c r="I191" s="17" t="str">
        <f t="shared" si="4"/>
        <v>octubre</v>
      </c>
      <c r="J191" s="17" t="str">
        <f t="shared" si="5"/>
        <v>viernes</v>
      </c>
    </row>
    <row r="192" spans="1:10" hidden="1" x14ac:dyDescent="0.3">
      <c r="A192" s="16">
        <v>750</v>
      </c>
      <c r="B192" s="17" t="s">
        <v>194</v>
      </c>
      <c r="C192" s="17" t="s">
        <v>12</v>
      </c>
      <c r="D192" s="18">
        <v>78.599999999999994</v>
      </c>
      <c r="E192" s="19">
        <v>45853</v>
      </c>
      <c r="F192" s="20" t="s">
        <v>13</v>
      </c>
      <c r="G192" s="21">
        <v>2</v>
      </c>
      <c r="H192" s="21">
        <v>3</v>
      </c>
      <c r="I192" s="17" t="str">
        <f t="shared" si="4"/>
        <v>julio</v>
      </c>
      <c r="J192" s="17" t="str">
        <f t="shared" si="5"/>
        <v>martes</v>
      </c>
    </row>
    <row r="193" spans="1:10" hidden="1" x14ac:dyDescent="0.3">
      <c r="A193" s="16">
        <v>754</v>
      </c>
      <c r="B193" s="17" t="s">
        <v>195</v>
      </c>
      <c r="C193" s="17" t="s">
        <v>24</v>
      </c>
      <c r="D193" s="18">
        <v>66.8</v>
      </c>
      <c r="E193" s="19">
        <v>45820</v>
      </c>
      <c r="F193" s="20" t="s">
        <v>16</v>
      </c>
      <c r="G193" s="21">
        <v>25</v>
      </c>
      <c r="H193" s="21">
        <v>1</v>
      </c>
      <c r="I193" s="17" t="str">
        <f t="shared" si="4"/>
        <v>junio</v>
      </c>
      <c r="J193" s="17" t="str">
        <f t="shared" si="5"/>
        <v>jueves</v>
      </c>
    </row>
    <row r="194" spans="1:10" hidden="1" x14ac:dyDescent="0.3">
      <c r="A194" s="16">
        <v>758</v>
      </c>
      <c r="B194" s="17" t="s">
        <v>196</v>
      </c>
      <c r="C194" s="17" t="s">
        <v>15</v>
      </c>
      <c r="D194" s="18">
        <v>51.5</v>
      </c>
      <c r="E194" s="19">
        <v>45673</v>
      </c>
      <c r="F194" s="20" t="s">
        <v>16</v>
      </c>
      <c r="G194" s="21">
        <v>71</v>
      </c>
      <c r="H194" s="21">
        <v>1</v>
      </c>
      <c r="I194" s="17" t="str">
        <f t="shared" si="4"/>
        <v>enero</v>
      </c>
      <c r="J194" s="17" t="str">
        <f t="shared" si="5"/>
        <v>jueves</v>
      </c>
    </row>
    <row r="195" spans="1:10" hidden="1" x14ac:dyDescent="0.3">
      <c r="A195" s="16">
        <v>763</v>
      </c>
      <c r="B195" s="17" t="s">
        <v>197</v>
      </c>
      <c r="C195" s="17" t="s">
        <v>15</v>
      </c>
      <c r="D195" s="18">
        <v>60.3</v>
      </c>
      <c r="E195" s="19">
        <v>45872</v>
      </c>
      <c r="F195" s="20" t="s">
        <v>16</v>
      </c>
      <c r="G195" s="21">
        <v>50</v>
      </c>
      <c r="H195" s="21">
        <v>3</v>
      </c>
      <c r="I195" s="17" t="str">
        <f t="shared" si="4"/>
        <v>agosto</v>
      </c>
      <c r="J195" s="17" t="str">
        <f t="shared" si="5"/>
        <v>domingo</v>
      </c>
    </row>
    <row r="196" spans="1:10" hidden="1" x14ac:dyDescent="0.3">
      <c r="A196" s="16">
        <v>768</v>
      </c>
      <c r="B196" s="17" t="s">
        <v>198</v>
      </c>
      <c r="C196" s="17" t="s">
        <v>15</v>
      </c>
      <c r="D196" s="18">
        <v>62.2</v>
      </c>
      <c r="E196" s="19">
        <v>45849</v>
      </c>
      <c r="F196" s="20" t="s">
        <v>16</v>
      </c>
      <c r="G196" s="21">
        <v>62</v>
      </c>
      <c r="H196" s="21">
        <v>1</v>
      </c>
      <c r="I196" s="17" t="str">
        <f t="shared" ref="I196:I251" si="6">TEXT(E196,"MMMM")</f>
        <v>julio</v>
      </c>
      <c r="J196" s="17" t="str">
        <f t="shared" ref="J196:J251" si="7">TEXT(E196,"DDDD")</f>
        <v>viernes</v>
      </c>
    </row>
    <row r="197" spans="1:10" hidden="1" x14ac:dyDescent="0.3">
      <c r="A197" s="16">
        <v>776</v>
      </c>
      <c r="B197" s="17" t="s">
        <v>199</v>
      </c>
      <c r="C197" s="17" t="s">
        <v>15</v>
      </c>
      <c r="D197" s="18">
        <v>56.5</v>
      </c>
      <c r="E197" s="19">
        <v>45748</v>
      </c>
      <c r="F197" s="20" t="s">
        <v>16</v>
      </c>
      <c r="G197" s="21">
        <v>22</v>
      </c>
      <c r="H197" s="21">
        <v>3</v>
      </c>
      <c r="I197" s="17" t="str">
        <f t="shared" si="6"/>
        <v>abril</v>
      </c>
      <c r="J197" s="17" t="str">
        <f t="shared" si="7"/>
        <v>martes</v>
      </c>
    </row>
    <row r="198" spans="1:10" x14ac:dyDescent="0.3">
      <c r="A198" s="16">
        <v>777</v>
      </c>
      <c r="B198" s="17" t="s">
        <v>200</v>
      </c>
      <c r="C198" s="17" t="s">
        <v>19</v>
      </c>
      <c r="D198" s="18">
        <v>80.8</v>
      </c>
      <c r="E198" s="19">
        <v>45746</v>
      </c>
      <c r="F198" s="20" t="s">
        <v>22</v>
      </c>
      <c r="G198" s="21">
        <v>63</v>
      </c>
      <c r="H198" s="21">
        <v>1</v>
      </c>
      <c r="I198" s="17" t="str">
        <f t="shared" si="6"/>
        <v>marzo</v>
      </c>
      <c r="J198" s="17" t="str">
        <f t="shared" si="7"/>
        <v>domingo</v>
      </c>
    </row>
    <row r="199" spans="1:10" hidden="1" x14ac:dyDescent="0.3">
      <c r="A199" s="16">
        <v>778</v>
      </c>
      <c r="B199" s="17" t="s">
        <v>201</v>
      </c>
      <c r="C199" s="17" t="s">
        <v>19</v>
      </c>
      <c r="D199" s="18">
        <v>54.5</v>
      </c>
      <c r="E199" s="19">
        <v>45959</v>
      </c>
      <c r="F199" s="20" t="s">
        <v>22</v>
      </c>
      <c r="G199" s="21">
        <v>100</v>
      </c>
      <c r="H199" s="21">
        <v>2</v>
      </c>
      <c r="I199" s="17" t="str">
        <f t="shared" si="6"/>
        <v>octubre</v>
      </c>
      <c r="J199" s="17" t="str">
        <f t="shared" si="7"/>
        <v>miércoles</v>
      </c>
    </row>
    <row r="200" spans="1:10" hidden="1" x14ac:dyDescent="0.3">
      <c r="A200" s="16">
        <v>786</v>
      </c>
      <c r="B200" s="17" t="s">
        <v>202</v>
      </c>
      <c r="C200" s="17" t="s">
        <v>12</v>
      </c>
      <c r="D200" s="18">
        <v>61.2</v>
      </c>
      <c r="E200" s="19">
        <v>45833</v>
      </c>
      <c r="F200" s="20" t="s">
        <v>20</v>
      </c>
      <c r="G200" s="21">
        <v>94</v>
      </c>
      <c r="H200" s="21">
        <v>3</v>
      </c>
      <c r="I200" s="17" t="str">
        <f t="shared" si="6"/>
        <v>junio</v>
      </c>
      <c r="J200" s="17" t="str">
        <f t="shared" si="7"/>
        <v>miércoles</v>
      </c>
    </row>
    <row r="201" spans="1:10" hidden="1" x14ac:dyDescent="0.3">
      <c r="A201" s="16">
        <v>792</v>
      </c>
      <c r="B201" s="17" t="s">
        <v>203</v>
      </c>
      <c r="C201" s="17" t="s">
        <v>15</v>
      </c>
      <c r="D201" s="18">
        <v>98.4</v>
      </c>
      <c r="E201" s="19">
        <v>45690</v>
      </c>
      <c r="F201" s="20" t="s">
        <v>16</v>
      </c>
      <c r="G201" s="21">
        <v>97</v>
      </c>
      <c r="H201" s="21">
        <v>2</v>
      </c>
      <c r="I201" s="17" t="str">
        <f t="shared" si="6"/>
        <v>febrero</v>
      </c>
      <c r="J201" s="17" t="str">
        <f t="shared" si="7"/>
        <v>domingo</v>
      </c>
    </row>
    <row r="202" spans="1:10" hidden="1" x14ac:dyDescent="0.3">
      <c r="A202" s="16">
        <v>793</v>
      </c>
      <c r="B202" s="17" t="s">
        <v>204</v>
      </c>
      <c r="C202" s="17" t="s">
        <v>9</v>
      </c>
      <c r="D202" s="18">
        <v>77.3</v>
      </c>
      <c r="E202" s="19">
        <v>45924</v>
      </c>
      <c r="F202" s="20" t="s">
        <v>22</v>
      </c>
      <c r="G202" s="21">
        <v>74</v>
      </c>
      <c r="H202" s="21">
        <v>3</v>
      </c>
      <c r="I202" s="17" t="str">
        <f t="shared" si="6"/>
        <v>septiembre</v>
      </c>
      <c r="J202" s="17" t="str">
        <f t="shared" si="7"/>
        <v>miércoles</v>
      </c>
    </row>
    <row r="203" spans="1:10" hidden="1" x14ac:dyDescent="0.3">
      <c r="A203" s="16">
        <v>794</v>
      </c>
      <c r="B203" s="17" t="s">
        <v>205</v>
      </c>
      <c r="C203" s="17" t="s">
        <v>12</v>
      </c>
      <c r="D203" s="18">
        <v>75.8</v>
      </c>
      <c r="E203" s="19">
        <v>45799</v>
      </c>
      <c r="F203" s="20" t="s">
        <v>20</v>
      </c>
      <c r="G203" s="21">
        <v>97</v>
      </c>
      <c r="H203" s="21">
        <v>2</v>
      </c>
      <c r="I203" s="17" t="str">
        <f t="shared" si="6"/>
        <v>mayo</v>
      </c>
      <c r="J203" s="17" t="str">
        <f t="shared" si="7"/>
        <v>jueves</v>
      </c>
    </row>
    <row r="204" spans="1:10" hidden="1" x14ac:dyDescent="0.3">
      <c r="A204" s="16">
        <v>797</v>
      </c>
      <c r="B204" s="17" t="s">
        <v>206</v>
      </c>
      <c r="C204" s="17" t="s">
        <v>12</v>
      </c>
      <c r="D204" s="18">
        <v>67</v>
      </c>
      <c r="E204" s="19">
        <v>45875</v>
      </c>
      <c r="F204" s="20" t="s">
        <v>20</v>
      </c>
      <c r="G204" s="21">
        <v>80</v>
      </c>
      <c r="H204" s="21">
        <v>3</v>
      </c>
      <c r="I204" s="17" t="str">
        <f t="shared" si="6"/>
        <v>agosto</v>
      </c>
      <c r="J204" s="17" t="str">
        <f t="shared" si="7"/>
        <v>miércoles</v>
      </c>
    </row>
    <row r="205" spans="1:10" hidden="1" x14ac:dyDescent="0.3">
      <c r="A205" s="16">
        <v>798</v>
      </c>
      <c r="B205" s="17" t="s">
        <v>207</v>
      </c>
      <c r="C205" s="17" t="s">
        <v>24</v>
      </c>
      <c r="D205" s="18">
        <v>96</v>
      </c>
      <c r="E205" s="19">
        <v>45698</v>
      </c>
      <c r="F205" s="20" t="s">
        <v>16</v>
      </c>
      <c r="G205" s="21">
        <v>22</v>
      </c>
      <c r="H205" s="21">
        <v>2</v>
      </c>
      <c r="I205" s="17" t="str">
        <f t="shared" si="6"/>
        <v>febrero</v>
      </c>
      <c r="J205" s="17" t="str">
        <f t="shared" si="7"/>
        <v>lunes</v>
      </c>
    </row>
    <row r="206" spans="1:10" hidden="1" x14ac:dyDescent="0.3">
      <c r="A206" s="16">
        <v>808</v>
      </c>
      <c r="B206" s="17" t="s">
        <v>208</v>
      </c>
      <c r="C206" s="17" t="s">
        <v>19</v>
      </c>
      <c r="D206" s="18">
        <v>61.8</v>
      </c>
      <c r="E206" s="19">
        <v>45874</v>
      </c>
      <c r="F206" s="20" t="s">
        <v>22</v>
      </c>
      <c r="G206" s="21">
        <v>88</v>
      </c>
      <c r="H206" s="21">
        <v>1</v>
      </c>
      <c r="I206" s="17" t="str">
        <f t="shared" si="6"/>
        <v>agosto</v>
      </c>
      <c r="J206" s="17" t="str">
        <f t="shared" si="7"/>
        <v>martes</v>
      </c>
    </row>
    <row r="207" spans="1:10" hidden="1" x14ac:dyDescent="0.3">
      <c r="A207" s="16">
        <v>815</v>
      </c>
      <c r="B207" s="17" t="s">
        <v>209</v>
      </c>
      <c r="C207" s="17" t="s">
        <v>12</v>
      </c>
      <c r="D207" s="18">
        <v>52.3</v>
      </c>
      <c r="E207" s="19">
        <v>45718</v>
      </c>
      <c r="F207" s="20" t="s">
        <v>13</v>
      </c>
      <c r="G207" s="21">
        <v>55</v>
      </c>
      <c r="H207" s="21">
        <v>2</v>
      </c>
      <c r="I207" s="17" t="str">
        <f t="shared" si="6"/>
        <v>marzo</v>
      </c>
      <c r="J207" s="17" t="str">
        <f t="shared" si="7"/>
        <v>domingo</v>
      </c>
    </row>
    <row r="208" spans="1:10" hidden="1" x14ac:dyDescent="0.3">
      <c r="A208" s="16">
        <v>820</v>
      </c>
      <c r="B208" s="17" t="s">
        <v>210</v>
      </c>
      <c r="C208" s="17" t="s">
        <v>24</v>
      </c>
      <c r="D208" s="18">
        <v>98.4</v>
      </c>
      <c r="E208" s="19">
        <v>45796</v>
      </c>
      <c r="F208" s="20" t="s">
        <v>16</v>
      </c>
      <c r="G208" s="21">
        <v>97</v>
      </c>
      <c r="H208" s="21">
        <v>2</v>
      </c>
      <c r="I208" s="17" t="str">
        <f t="shared" si="6"/>
        <v>mayo</v>
      </c>
      <c r="J208" s="17" t="str">
        <f t="shared" si="7"/>
        <v>lunes</v>
      </c>
    </row>
    <row r="209" spans="1:10" hidden="1" x14ac:dyDescent="0.3">
      <c r="A209" s="16">
        <v>824</v>
      </c>
      <c r="B209" s="17" t="s">
        <v>211</v>
      </c>
      <c r="C209" s="17" t="s">
        <v>19</v>
      </c>
      <c r="D209" s="18">
        <v>90.2</v>
      </c>
      <c r="E209" s="19">
        <v>45817</v>
      </c>
      <c r="F209" s="20" t="s">
        <v>22</v>
      </c>
      <c r="G209" s="21">
        <v>2</v>
      </c>
      <c r="H209" s="21">
        <v>3</v>
      </c>
      <c r="I209" s="17" t="str">
        <f t="shared" si="6"/>
        <v>junio</v>
      </c>
      <c r="J209" s="17" t="str">
        <f t="shared" si="7"/>
        <v>lunes</v>
      </c>
    </row>
    <row r="210" spans="1:10" hidden="1" x14ac:dyDescent="0.3">
      <c r="A210" s="16">
        <v>826</v>
      </c>
      <c r="B210" s="17" t="s">
        <v>212</v>
      </c>
      <c r="C210" s="17" t="s">
        <v>15</v>
      </c>
      <c r="D210" s="18">
        <v>94.4</v>
      </c>
      <c r="E210" s="19">
        <v>45842</v>
      </c>
      <c r="F210" s="20" t="s">
        <v>16</v>
      </c>
      <c r="G210" s="21">
        <v>32</v>
      </c>
      <c r="H210" s="21">
        <v>2</v>
      </c>
      <c r="I210" s="17" t="str">
        <f t="shared" si="6"/>
        <v>julio</v>
      </c>
      <c r="J210" s="17" t="str">
        <f t="shared" si="7"/>
        <v>viernes</v>
      </c>
    </row>
    <row r="211" spans="1:10" hidden="1" x14ac:dyDescent="0.3">
      <c r="A211" s="16">
        <v>830</v>
      </c>
      <c r="B211" s="17" t="s">
        <v>213</v>
      </c>
      <c r="C211" s="17" t="s">
        <v>9</v>
      </c>
      <c r="D211" s="18">
        <v>72.2</v>
      </c>
      <c r="E211" s="19">
        <v>45821</v>
      </c>
      <c r="F211" s="20" t="s">
        <v>10</v>
      </c>
      <c r="G211" s="21">
        <v>52</v>
      </c>
      <c r="H211" s="21">
        <v>2</v>
      </c>
      <c r="I211" s="17" t="str">
        <f t="shared" si="6"/>
        <v>junio</v>
      </c>
      <c r="J211" s="17" t="str">
        <f t="shared" si="7"/>
        <v>viernes</v>
      </c>
    </row>
    <row r="212" spans="1:10" x14ac:dyDescent="0.3">
      <c r="A212" s="16">
        <v>843</v>
      </c>
      <c r="B212" s="17" t="s">
        <v>214</v>
      </c>
      <c r="C212" s="17" t="s">
        <v>15</v>
      </c>
      <c r="D212" s="18">
        <v>81.599999999999994</v>
      </c>
      <c r="E212" s="19">
        <v>45673</v>
      </c>
      <c r="F212" s="20" t="s">
        <v>16</v>
      </c>
      <c r="G212" s="21">
        <v>64</v>
      </c>
      <c r="H212" s="21">
        <v>3</v>
      </c>
      <c r="I212" s="17" t="str">
        <f t="shared" si="6"/>
        <v>enero</v>
      </c>
      <c r="J212" s="17" t="str">
        <f t="shared" si="7"/>
        <v>jueves</v>
      </c>
    </row>
    <row r="213" spans="1:10" hidden="1" x14ac:dyDescent="0.3">
      <c r="A213" s="16">
        <v>847</v>
      </c>
      <c r="B213" s="17" t="s">
        <v>215</v>
      </c>
      <c r="C213" s="17" t="s">
        <v>9</v>
      </c>
      <c r="D213" s="18">
        <v>59.3</v>
      </c>
      <c r="E213" s="19">
        <v>45662</v>
      </c>
      <c r="F213" s="20" t="s">
        <v>22</v>
      </c>
      <c r="G213" s="21">
        <v>3</v>
      </c>
      <c r="H213" s="21">
        <v>3</v>
      </c>
      <c r="I213" s="17" t="str">
        <f t="shared" si="6"/>
        <v>enero</v>
      </c>
      <c r="J213" s="17" t="str">
        <f t="shared" si="7"/>
        <v>domingo</v>
      </c>
    </row>
    <row r="214" spans="1:10" hidden="1" x14ac:dyDescent="0.3">
      <c r="A214" s="16">
        <v>848</v>
      </c>
      <c r="B214" s="17" t="s">
        <v>216</v>
      </c>
      <c r="C214" s="17" t="s">
        <v>24</v>
      </c>
      <c r="D214" s="18">
        <v>82.1</v>
      </c>
      <c r="E214" s="19">
        <v>45952</v>
      </c>
      <c r="F214" s="20" t="s">
        <v>16</v>
      </c>
      <c r="G214" s="21">
        <v>48</v>
      </c>
      <c r="H214" s="21">
        <v>1</v>
      </c>
      <c r="I214" s="17" t="str">
        <f t="shared" si="6"/>
        <v>octubre</v>
      </c>
      <c r="J214" s="17" t="str">
        <f t="shared" si="7"/>
        <v>miércoles</v>
      </c>
    </row>
    <row r="215" spans="1:10" x14ac:dyDescent="0.3">
      <c r="A215" s="16">
        <v>849</v>
      </c>
      <c r="B215" s="17" t="s">
        <v>217</v>
      </c>
      <c r="C215" s="17" t="s">
        <v>9</v>
      </c>
      <c r="D215" s="18">
        <v>73.8</v>
      </c>
      <c r="E215" s="19">
        <v>45726</v>
      </c>
      <c r="F215" s="20" t="s">
        <v>22</v>
      </c>
      <c r="G215" s="21">
        <v>19</v>
      </c>
      <c r="H215" s="21">
        <v>3</v>
      </c>
      <c r="I215" s="17" t="str">
        <f t="shared" si="6"/>
        <v>marzo</v>
      </c>
      <c r="J215" s="17" t="str">
        <f t="shared" si="7"/>
        <v>lunes</v>
      </c>
    </row>
    <row r="216" spans="1:10" hidden="1" x14ac:dyDescent="0.3">
      <c r="A216" s="16">
        <v>851</v>
      </c>
      <c r="B216" s="17" t="s">
        <v>218</v>
      </c>
      <c r="C216" s="17" t="s">
        <v>9</v>
      </c>
      <c r="D216" s="18">
        <v>99</v>
      </c>
      <c r="E216" s="19">
        <v>45965</v>
      </c>
      <c r="F216" s="20" t="s">
        <v>22</v>
      </c>
      <c r="G216" s="21">
        <v>49</v>
      </c>
      <c r="H216" s="21">
        <v>1</v>
      </c>
      <c r="I216" s="17" t="str">
        <f t="shared" si="6"/>
        <v>noviembre</v>
      </c>
      <c r="J216" s="17" t="str">
        <f t="shared" si="7"/>
        <v>martes</v>
      </c>
    </row>
    <row r="217" spans="1:10" hidden="1" x14ac:dyDescent="0.3">
      <c r="A217" s="16">
        <v>859</v>
      </c>
      <c r="B217" s="17" t="s">
        <v>219</v>
      </c>
      <c r="C217" s="17" t="s">
        <v>9</v>
      </c>
      <c r="D217" s="18">
        <v>76.8</v>
      </c>
      <c r="E217" s="19">
        <v>45857</v>
      </c>
      <c r="F217" s="20" t="s">
        <v>10</v>
      </c>
      <c r="G217" s="21">
        <v>71</v>
      </c>
      <c r="H217" s="21">
        <v>2</v>
      </c>
      <c r="I217" s="17" t="str">
        <f t="shared" si="6"/>
        <v>julio</v>
      </c>
      <c r="J217" s="17" t="str">
        <f t="shared" si="7"/>
        <v>sábado</v>
      </c>
    </row>
    <row r="218" spans="1:10" hidden="1" x14ac:dyDescent="0.3">
      <c r="A218" s="16">
        <v>861</v>
      </c>
      <c r="B218" s="17" t="s">
        <v>220</v>
      </c>
      <c r="C218" s="17" t="s">
        <v>19</v>
      </c>
      <c r="D218" s="18">
        <v>56.4</v>
      </c>
      <c r="E218" s="19">
        <v>45664</v>
      </c>
      <c r="F218" s="20" t="s">
        <v>22</v>
      </c>
      <c r="G218" s="21">
        <v>97</v>
      </c>
      <c r="H218" s="21">
        <v>2</v>
      </c>
      <c r="I218" s="17" t="str">
        <f t="shared" si="6"/>
        <v>enero</v>
      </c>
      <c r="J218" s="17" t="str">
        <f t="shared" si="7"/>
        <v>martes</v>
      </c>
    </row>
    <row r="219" spans="1:10" hidden="1" x14ac:dyDescent="0.3">
      <c r="A219" s="16">
        <v>862</v>
      </c>
      <c r="B219" s="17" t="s">
        <v>221</v>
      </c>
      <c r="C219" s="17" t="s">
        <v>15</v>
      </c>
      <c r="D219" s="18">
        <v>88.1</v>
      </c>
      <c r="E219" s="19">
        <v>45643</v>
      </c>
      <c r="F219" s="20" t="s">
        <v>16</v>
      </c>
      <c r="G219" s="21">
        <v>45</v>
      </c>
      <c r="H219" s="21">
        <v>1</v>
      </c>
      <c r="I219" s="17" t="str">
        <f t="shared" si="6"/>
        <v>diciembre</v>
      </c>
      <c r="J219" s="17" t="str">
        <f t="shared" si="7"/>
        <v>martes</v>
      </c>
    </row>
    <row r="220" spans="1:10" hidden="1" x14ac:dyDescent="0.3">
      <c r="A220" s="16">
        <v>868</v>
      </c>
      <c r="B220" s="17" t="s">
        <v>222</v>
      </c>
      <c r="C220" s="17" t="s">
        <v>19</v>
      </c>
      <c r="D220" s="18">
        <v>50.8</v>
      </c>
      <c r="E220" s="19">
        <v>45780</v>
      </c>
      <c r="F220" s="20" t="s">
        <v>20</v>
      </c>
      <c r="G220" s="21">
        <v>81</v>
      </c>
      <c r="H220" s="21">
        <v>2</v>
      </c>
      <c r="I220" s="17" t="str">
        <f t="shared" si="6"/>
        <v>mayo</v>
      </c>
      <c r="J220" s="17" t="str">
        <f t="shared" si="7"/>
        <v>sábado</v>
      </c>
    </row>
    <row r="221" spans="1:10" hidden="1" x14ac:dyDescent="0.3">
      <c r="A221" s="16">
        <v>870</v>
      </c>
      <c r="B221" s="17" t="s">
        <v>223</v>
      </c>
      <c r="C221" s="17" t="s">
        <v>19</v>
      </c>
      <c r="D221" s="18">
        <v>56.1</v>
      </c>
      <c r="E221" s="19">
        <v>45675</v>
      </c>
      <c r="F221" s="20" t="s">
        <v>20</v>
      </c>
      <c r="G221" s="21">
        <v>55</v>
      </c>
      <c r="H221" s="21">
        <v>3</v>
      </c>
      <c r="I221" s="17" t="str">
        <f t="shared" si="6"/>
        <v>enero</v>
      </c>
      <c r="J221" s="17" t="str">
        <f t="shared" si="7"/>
        <v>sábado</v>
      </c>
    </row>
    <row r="222" spans="1:10" hidden="1" x14ac:dyDescent="0.3">
      <c r="A222" s="16">
        <v>877</v>
      </c>
      <c r="B222" s="17" t="s">
        <v>224</v>
      </c>
      <c r="C222" s="17" t="s">
        <v>15</v>
      </c>
      <c r="D222" s="18">
        <v>54.6</v>
      </c>
      <c r="E222" s="19">
        <v>45912</v>
      </c>
      <c r="F222" s="20" t="s">
        <v>16</v>
      </c>
      <c r="G222" s="21">
        <v>48</v>
      </c>
      <c r="H222" s="21">
        <v>2</v>
      </c>
      <c r="I222" s="17" t="str">
        <f t="shared" si="6"/>
        <v>septiembre</v>
      </c>
      <c r="J222" s="17" t="str">
        <f t="shared" si="7"/>
        <v>viernes</v>
      </c>
    </row>
    <row r="223" spans="1:10" hidden="1" x14ac:dyDescent="0.3">
      <c r="A223" s="16">
        <v>881</v>
      </c>
      <c r="B223" s="17" t="s">
        <v>225</v>
      </c>
      <c r="C223" s="17" t="s">
        <v>19</v>
      </c>
      <c r="D223" s="18">
        <v>88</v>
      </c>
      <c r="E223" s="19">
        <v>45856</v>
      </c>
      <c r="F223" s="20" t="s">
        <v>22</v>
      </c>
      <c r="G223" s="21">
        <v>51</v>
      </c>
      <c r="H223" s="21">
        <v>1</v>
      </c>
      <c r="I223" s="17" t="str">
        <f t="shared" si="6"/>
        <v>julio</v>
      </c>
      <c r="J223" s="17" t="str">
        <f t="shared" si="7"/>
        <v>viernes</v>
      </c>
    </row>
    <row r="224" spans="1:10" hidden="1" x14ac:dyDescent="0.3">
      <c r="A224" s="16">
        <v>882</v>
      </c>
      <c r="B224" s="17" t="s">
        <v>226</v>
      </c>
      <c r="C224" s="17" t="s">
        <v>24</v>
      </c>
      <c r="D224" s="18">
        <v>76.2</v>
      </c>
      <c r="E224" s="19">
        <v>45924</v>
      </c>
      <c r="F224" s="20" t="s">
        <v>16</v>
      </c>
      <c r="G224" s="21">
        <v>100</v>
      </c>
      <c r="H224" s="21">
        <v>1</v>
      </c>
      <c r="I224" s="17" t="str">
        <f t="shared" si="6"/>
        <v>septiembre</v>
      </c>
      <c r="J224" s="17" t="str">
        <f t="shared" si="7"/>
        <v>miércoles</v>
      </c>
    </row>
    <row r="225" spans="1:10" hidden="1" x14ac:dyDescent="0.3">
      <c r="A225" s="16">
        <v>884</v>
      </c>
      <c r="B225" s="17" t="s">
        <v>227</v>
      </c>
      <c r="C225" s="17" t="s">
        <v>24</v>
      </c>
      <c r="D225" s="18">
        <v>70.3</v>
      </c>
      <c r="E225" s="19">
        <v>45703</v>
      </c>
      <c r="F225" s="20" t="s">
        <v>16</v>
      </c>
      <c r="G225" s="21">
        <v>100</v>
      </c>
      <c r="H225" s="21">
        <v>1</v>
      </c>
      <c r="I225" s="17" t="str">
        <f t="shared" si="6"/>
        <v>febrero</v>
      </c>
      <c r="J225" s="17" t="str">
        <f t="shared" si="7"/>
        <v>sábado</v>
      </c>
    </row>
    <row r="226" spans="1:10" hidden="1" x14ac:dyDescent="0.3">
      <c r="A226" s="16">
        <v>886</v>
      </c>
      <c r="B226" s="17" t="s">
        <v>228</v>
      </c>
      <c r="C226" s="17" t="s">
        <v>24</v>
      </c>
      <c r="D226" s="18">
        <v>99.1</v>
      </c>
      <c r="E226" s="19">
        <v>45968</v>
      </c>
      <c r="F226" s="20" t="s">
        <v>22</v>
      </c>
      <c r="G226" s="21">
        <v>59</v>
      </c>
      <c r="H226" s="21">
        <v>1</v>
      </c>
      <c r="I226" s="17" t="str">
        <f t="shared" si="6"/>
        <v>noviembre</v>
      </c>
      <c r="J226" s="17" t="str">
        <f t="shared" si="7"/>
        <v>viernes</v>
      </c>
    </row>
    <row r="227" spans="1:10" hidden="1" x14ac:dyDescent="0.3">
      <c r="A227" s="16">
        <v>887</v>
      </c>
      <c r="B227" s="17" t="s">
        <v>229</v>
      </c>
      <c r="C227" s="17" t="s">
        <v>9</v>
      </c>
      <c r="D227" s="18">
        <v>56.4</v>
      </c>
      <c r="E227" s="19">
        <v>45914</v>
      </c>
      <c r="F227" s="20" t="s">
        <v>22</v>
      </c>
      <c r="G227" s="21">
        <v>100</v>
      </c>
      <c r="H227" s="21">
        <v>1</v>
      </c>
      <c r="I227" s="17" t="str">
        <f t="shared" si="6"/>
        <v>septiembre</v>
      </c>
      <c r="J227" s="17" t="str">
        <f t="shared" si="7"/>
        <v>domingo</v>
      </c>
    </row>
    <row r="228" spans="1:10" hidden="1" x14ac:dyDescent="0.3">
      <c r="A228" s="16">
        <v>890</v>
      </c>
      <c r="B228" s="17" t="s">
        <v>230</v>
      </c>
      <c r="C228" s="17" t="s">
        <v>9</v>
      </c>
      <c r="D228" s="18">
        <v>81.7</v>
      </c>
      <c r="E228" s="19">
        <v>45870</v>
      </c>
      <c r="F228" s="20" t="s">
        <v>22</v>
      </c>
      <c r="G228" s="21">
        <v>97</v>
      </c>
      <c r="H228" s="21">
        <v>2</v>
      </c>
      <c r="I228" s="17" t="str">
        <f t="shared" si="6"/>
        <v>agosto</v>
      </c>
      <c r="J228" s="17" t="str">
        <f t="shared" si="7"/>
        <v>viernes</v>
      </c>
    </row>
    <row r="229" spans="1:10" hidden="1" x14ac:dyDescent="0.3">
      <c r="A229" s="16">
        <v>891</v>
      </c>
      <c r="B229" s="17" t="s">
        <v>231</v>
      </c>
      <c r="C229" s="17" t="s">
        <v>15</v>
      </c>
      <c r="D229" s="18">
        <v>79.900000000000006</v>
      </c>
      <c r="E229" s="19">
        <v>45657</v>
      </c>
      <c r="F229" s="20" t="s">
        <v>16</v>
      </c>
      <c r="G229" s="21">
        <v>76</v>
      </c>
      <c r="H229" s="21">
        <v>3</v>
      </c>
      <c r="I229" s="17" t="str">
        <f t="shared" si="6"/>
        <v>diciembre</v>
      </c>
      <c r="J229" s="17" t="str">
        <f t="shared" si="7"/>
        <v>martes</v>
      </c>
    </row>
    <row r="230" spans="1:10" x14ac:dyDescent="0.3">
      <c r="A230" s="16">
        <v>894</v>
      </c>
      <c r="B230" s="17" t="s">
        <v>232</v>
      </c>
      <c r="C230" s="17" t="s">
        <v>9</v>
      </c>
      <c r="D230" s="18">
        <v>62.9</v>
      </c>
      <c r="E230" s="19">
        <v>45746</v>
      </c>
      <c r="F230" s="20" t="s">
        <v>22</v>
      </c>
      <c r="G230" s="21">
        <v>53</v>
      </c>
      <c r="H230" s="21">
        <v>2</v>
      </c>
      <c r="I230" s="17" t="str">
        <f t="shared" si="6"/>
        <v>marzo</v>
      </c>
      <c r="J230" s="17" t="str">
        <f t="shared" si="7"/>
        <v>domingo</v>
      </c>
    </row>
    <row r="231" spans="1:10" hidden="1" x14ac:dyDescent="0.3">
      <c r="A231" s="16">
        <v>894</v>
      </c>
      <c r="B231" s="17" t="s">
        <v>232</v>
      </c>
      <c r="C231" s="17" t="s">
        <v>15</v>
      </c>
      <c r="D231" s="18">
        <v>76.5</v>
      </c>
      <c r="E231" s="19">
        <v>45966</v>
      </c>
      <c r="F231" s="20" t="s">
        <v>16</v>
      </c>
      <c r="G231" s="21">
        <v>97</v>
      </c>
      <c r="H231" s="21">
        <v>2</v>
      </c>
      <c r="I231" s="17" t="str">
        <f t="shared" si="6"/>
        <v>noviembre</v>
      </c>
      <c r="J231" s="17" t="str">
        <f t="shared" si="7"/>
        <v>miércoles</v>
      </c>
    </row>
    <row r="232" spans="1:10" hidden="1" x14ac:dyDescent="0.3">
      <c r="A232" s="16">
        <v>899</v>
      </c>
      <c r="B232" s="17" t="s">
        <v>233</v>
      </c>
      <c r="C232" s="17" t="s">
        <v>24</v>
      </c>
      <c r="D232" s="18">
        <v>75.5</v>
      </c>
      <c r="E232" s="19">
        <v>45860</v>
      </c>
      <c r="F232" s="20" t="s">
        <v>16</v>
      </c>
      <c r="G232" s="21">
        <v>57</v>
      </c>
      <c r="H232" s="21">
        <v>2</v>
      </c>
      <c r="I232" s="17" t="str">
        <f t="shared" si="6"/>
        <v>julio</v>
      </c>
      <c r="J232" s="17" t="str">
        <f t="shared" si="7"/>
        <v>martes</v>
      </c>
    </row>
    <row r="233" spans="1:10" hidden="1" x14ac:dyDescent="0.3">
      <c r="A233" s="16">
        <v>903</v>
      </c>
      <c r="B233" s="17" t="s">
        <v>234</v>
      </c>
      <c r="C233" s="17" t="s">
        <v>12</v>
      </c>
      <c r="D233" s="18">
        <v>89.8</v>
      </c>
      <c r="E233" s="19">
        <v>45962</v>
      </c>
      <c r="F233" s="20" t="s">
        <v>13</v>
      </c>
      <c r="G233" s="21">
        <v>71</v>
      </c>
      <c r="H233" s="21">
        <v>1</v>
      </c>
      <c r="I233" s="17" t="str">
        <f t="shared" si="6"/>
        <v>noviembre</v>
      </c>
      <c r="J233" s="17" t="str">
        <f t="shared" si="7"/>
        <v>sábado</v>
      </c>
    </row>
    <row r="234" spans="1:10" x14ac:dyDescent="0.3">
      <c r="A234" s="16">
        <v>904</v>
      </c>
      <c r="B234" s="17" t="s">
        <v>235</v>
      </c>
      <c r="C234" s="17" t="s">
        <v>12</v>
      </c>
      <c r="D234" s="18">
        <v>79.7</v>
      </c>
      <c r="E234" s="19">
        <v>45679</v>
      </c>
      <c r="F234" s="20" t="s">
        <v>20</v>
      </c>
      <c r="G234" s="21">
        <v>61</v>
      </c>
      <c r="H234" s="21">
        <v>1</v>
      </c>
      <c r="I234" s="17" t="str">
        <f t="shared" si="6"/>
        <v>enero</v>
      </c>
      <c r="J234" s="17" t="str">
        <f t="shared" si="7"/>
        <v>miércoles</v>
      </c>
    </row>
    <row r="235" spans="1:10" hidden="1" x14ac:dyDescent="0.3">
      <c r="A235" s="16">
        <v>908</v>
      </c>
      <c r="B235" s="17" t="s">
        <v>236</v>
      </c>
      <c r="C235" s="17" t="s">
        <v>19</v>
      </c>
      <c r="D235" s="18">
        <v>76.5</v>
      </c>
      <c r="E235" s="19">
        <v>45648</v>
      </c>
      <c r="F235" s="20" t="s">
        <v>20</v>
      </c>
      <c r="G235" s="21">
        <v>100</v>
      </c>
      <c r="H235" s="21">
        <v>1</v>
      </c>
      <c r="I235" s="17" t="str">
        <f t="shared" si="6"/>
        <v>diciembre</v>
      </c>
      <c r="J235" s="17" t="str">
        <f t="shared" si="7"/>
        <v>domingo</v>
      </c>
    </row>
    <row r="236" spans="1:10" hidden="1" x14ac:dyDescent="0.3">
      <c r="A236" s="16">
        <v>909</v>
      </c>
      <c r="B236" s="17" t="s">
        <v>237</v>
      </c>
      <c r="C236" s="17" t="s">
        <v>19</v>
      </c>
      <c r="D236" s="18">
        <v>73.099999999999994</v>
      </c>
      <c r="E236" s="19">
        <v>45944</v>
      </c>
      <c r="F236" s="20" t="s">
        <v>20</v>
      </c>
      <c r="G236" s="21">
        <v>100</v>
      </c>
      <c r="H236" s="21">
        <v>1</v>
      </c>
      <c r="I236" s="17" t="str">
        <f t="shared" si="6"/>
        <v>octubre</v>
      </c>
      <c r="J236" s="17" t="str">
        <f t="shared" si="7"/>
        <v>martes</v>
      </c>
    </row>
    <row r="237" spans="1:10" hidden="1" x14ac:dyDescent="0.3">
      <c r="A237" s="16">
        <v>916</v>
      </c>
      <c r="B237" s="17" t="s">
        <v>238</v>
      </c>
      <c r="C237" s="17" t="s">
        <v>19</v>
      </c>
      <c r="D237" s="18">
        <v>58.9</v>
      </c>
      <c r="E237" s="19">
        <v>45921</v>
      </c>
      <c r="F237" s="20" t="s">
        <v>22</v>
      </c>
      <c r="G237" s="21">
        <v>89</v>
      </c>
      <c r="H237" s="21">
        <v>2</v>
      </c>
      <c r="I237" s="17" t="str">
        <f t="shared" si="6"/>
        <v>septiembre</v>
      </c>
      <c r="J237" s="17" t="str">
        <f t="shared" si="7"/>
        <v>domingo</v>
      </c>
    </row>
    <row r="238" spans="1:10" hidden="1" x14ac:dyDescent="0.3">
      <c r="A238" s="16">
        <v>920</v>
      </c>
      <c r="B238" s="17" t="s">
        <v>239</v>
      </c>
      <c r="C238" s="17" t="s">
        <v>12</v>
      </c>
      <c r="D238" s="18">
        <v>97.4</v>
      </c>
      <c r="E238" s="19">
        <v>45689</v>
      </c>
      <c r="F238" s="20" t="s">
        <v>13</v>
      </c>
      <c r="G238" s="21">
        <v>63</v>
      </c>
      <c r="H238" s="21">
        <v>1</v>
      </c>
      <c r="I238" s="17" t="str">
        <f t="shared" si="6"/>
        <v>febrero</v>
      </c>
      <c r="J238" s="17" t="str">
        <f t="shared" si="7"/>
        <v>sábado</v>
      </c>
    </row>
    <row r="239" spans="1:10" hidden="1" x14ac:dyDescent="0.3">
      <c r="A239" s="16">
        <v>925</v>
      </c>
      <c r="B239" s="17" t="s">
        <v>240</v>
      </c>
      <c r="C239" s="17" t="s">
        <v>12</v>
      </c>
      <c r="D239" s="18">
        <v>75</v>
      </c>
      <c r="E239" s="19">
        <v>45698</v>
      </c>
      <c r="F239" s="20" t="s">
        <v>20</v>
      </c>
      <c r="G239" s="21">
        <v>38</v>
      </c>
      <c r="H239" s="21">
        <v>2</v>
      </c>
      <c r="I239" s="17" t="str">
        <f t="shared" si="6"/>
        <v>febrero</v>
      </c>
      <c r="J239" s="17" t="str">
        <f t="shared" si="7"/>
        <v>lunes</v>
      </c>
    </row>
    <row r="240" spans="1:10" hidden="1" x14ac:dyDescent="0.3">
      <c r="A240" s="16">
        <v>927</v>
      </c>
      <c r="B240" s="17" t="s">
        <v>241</v>
      </c>
      <c r="C240" s="17" t="s">
        <v>19</v>
      </c>
      <c r="D240" s="18">
        <v>76.099999999999994</v>
      </c>
      <c r="E240" s="19">
        <v>45960</v>
      </c>
      <c r="F240" s="20" t="s">
        <v>22</v>
      </c>
      <c r="G240" s="21">
        <v>31</v>
      </c>
      <c r="H240" s="21">
        <v>1</v>
      </c>
      <c r="I240" s="17" t="str">
        <f t="shared" si="6"/>
        <v>octubre</v>
      </c>
      <c r="J240" s="17" t="str">
        <f t="shared" si="7"/>
        <v>jueves</v>
      </c>
    </row>
    <row r="241" spans="1:10" hidden="1" x14ac:dyDescent="0.3">
      <c r="A241" s="16">
        <v>929</v>
      </c>
      <c r="B241" s="17" t="s">
        <v>242</v>
      </c>
      <c r="C241" s="17" t="s">
        <v>9</v>
      </c>
      <c r="D241" s="18">
        <v>83.2</v>
      </c>
      <c r="E241" s="19">
        <v>45973</v>
      </c>
      <c r="F241" s="20" t="s">
        <v>10</v>
      </c>
      <c r="G241" s="21">
        <v>74</v>
      </c>
      <c r="H241" s="21">
        <v>3</v>
      </c>
      <c r="I241" s="17" t="str">
        <f t="shared" si="6"/>
        <v>noviembre</v>
      </c>
      <c r="J241" s="17" t="str">
        <f t="shared" si="7"/>
        <v>miércoles</v>
      </c>
    </row>
    <row r="242" spans="1:10" hidden="1" x14ac:dyDescent="0.3">
      <c r="A242" s="16">
        <v>930</v>
      </c>
      <c r="B242" s="17" t="s">
        <v>243</v>
      </c>
      <c r="C242" s="17" t="s">
        <v>9</v>
      </c>
      <c r="D242" s="18">
        <v>80.900000000000006</v>
      </c>
      <c r="E242" s="19">
        <v>45969</v>
      </c>
      <c r="F242" s="20" t="s">
        <v>22</v>
      </c>
      <c r="G242" s="21">
        <v>53</v>
      </c>
      <c r="H242" s="21">
        <v>3</v>
      </c>
      <c r="I242" s="17" t="str">
        <f t="shared" si="6"/>
        <v>noviembre</v>
      </c>
      <c r="J242" s="17" t="str">
        <f t="shared" si="7"/>
        <v>sábado</v>
      </c>
    </row>
    <row r="243" spans="1:10" hidden="1" x14ac:dyDescent="0.3">
      <c r="A243" s="16">
        <v>933</v>
      </c>
      <c r="B243" s="17" t="s">
        <v>244</v>
      </c>
      <c r="C243" s="17" t="s">
        <v>12</v>
      </c>
      <c r="D243" s="18">
        <v>84.3</v>
      </c>
      <c r="E243" s="19">
        <v>45897</v>
      </c>
      <c r="F243" s="20" t="s">
        <v>13</v>
      </c>
      <c r="G243" s="21">
        <v>85</v>
      </c>
      <c r="H243" s="21">
        <v>2</v>
      </c>
      <c r="I243" s="17" t="str">
        <f t="shared" si="6"/>
        <v>agosto</v>
      </c>
      <c r="J243" s="17" t="str">
        <f t="shared" si="7"/>
        <v>jueves</v>
      </c>
    </row>
    <row r="244" spans="1:10" hidden="1" x14ac:dyDescent="0.3">
      <c r="A244" s="16">
        <v>940</v>
      </c>
      <c r="B244" s="17" t="s">
        <v>245</v>
      </c>
      <c r="C244" s="17" t="s">
        <v>9</v>
      </c>
      <c r="D244" s="18">
        <v>65.099999999999994</v>
      </c>
      <c r="E244" s="19">
        <v>45985</v>
      </c>
      <c r="F244" s="20" t="s">
        <v>10</v>
      </c>
      <c r="G244" s="21">
        <v>41</v>
      </c>
      <c r="H244" s="21">
        <v>3</v>
      </c>
      <c r="I244" s="17" t="str">
        <f t="shared" si="6"/>
        <v>noviembre</v>
      </c>
      <c r="J244" s="17" t="str">
        <f t="shared" si="7"/>
        <v>lunes</v>
      </c>
    </row>
    <row r="245" spans="1:10" hidden="1" x14ac:dyDescent="0.3">
      <c r="A245" s="16">
        <v>945</v>
      </c>
      <c r="B245" s="17" t="s">
        <v>246</v>
      </c>
      <c r="C245" s="17" t="s">
        <v>15</v>
      </c>
      <c r="D245" s="18">
        <v>76.099999999999994</v>
      </c>
      <c r="E245" s="19">
        <v>45701</v>
      </c>
      <c r="F245" s="20" t="s">
        <v>16</v>
      </c>
      <c r="G245" s="21">
        <v>61</v>
      </c>
      <c r="H245" s="21">
        <v>3</v>
      </c>
      <c r="I245" s="17" t="str">
        <f t="shared" si="6"/>
        <v>febrero</v>
      </c>
      <c r="J245" s="17" t="str">
        <f t="shared" si="7"/>
        <v>jueves</v>
      </c>
    </row>
    <row r="246" spans="1:10" hidden="1" x14ac:dyDescent="0.3">
      <c r="A246" s="16">
        <v>954</v>
      </c>
      <c r="B246" s="17" t="s">
        <v>247</v>
      </c>
      <c r="C246" s="17" t="s">
        <v>12</v>
      </c>
      <c r="D246" s="18">
        <v>62.4</v>
      </c>
      <c r="E246" s="19">
        <v>45835</v>
      </c>
      <c r="F246" s="20" t="s">
        <v>13</v>
      </c>
      <c r="G246" s="21">
        <v>70</v>
      </c>
      <c r="H246" s="21">
        <v>1</v>
      </c>
      <c r="I246" s="17" t="str">
        <f t="shared" si="6"/>
        <v>junio</v>
      </c>
      <c r="J246" s="17" t="str">
        <f t="shared" si="7"/>
        <v>viernes</v>
      </c>
    </row>
    <row r="247" spans="1:10" hidden="1" x14ac:dyDescent="0.3">
      <c r="A247" s="16">
        <v>960</v>
      </c>
      <c r="B247" s="17" t="s">
        <v>248</v>
      </c>
      <c r="C247" s="17" t="s">
        <v>19</v>
      </c>
      <c r="D247" s="18">
        <v>95.3</v>
      </c>
      <c r="E247" s="19">
        <v>45768</v>
      </c>
      <c r="F247" s="20" t="s">
        <v>22</v>
      </c>
      <c r="G247" s="21">
        <v>84</v>
      </c>
      <c r="H247" s="21">
        <v>1</v>
      </c>
      <c r="I247" s="17" t="str">
        <f t="shared" si="6"/>
        <v>abril</v>
      </c>
      <c r="J247" s="17" t="str">
        <f t="shared" si="7"/>
        <v>lunes</v>
      </c>
    </row>
    <row r="248" spans="1:10" hidden="1" x14ac:dyDescent="0.3">
      <c r="A248" s="16">
        <v>971</v>
      </c>
      <c r="B248" s="17" t="s">
        <v>249</v>
      </c>
      <c r="C248" s="17" t="s">
        <v>19</v>
      </c>
      <c r="D248" s="18">
        <v>90.5</v>
      </c>
      <c r="E248" s="19">
        <v>45794</v>
      </c>
      <c r="F248" s="20" t="s">
        <v>22</v>
      </c>
      <c r="G248" s="21">
        <v>100</v>
      </c>
      <c r="H248" s="21">
        <v>1</v>
      </c>
      <c r="I248" s="17" t="str">
        <f t="shared" si="6"/>
        <v>mayo</v>
      </c>
      <c r="J248" s="17" t="str">
        <f t="shared" si="7"/>
        <v>sábado</v>
      </c>
    </row>
    <row r="249" spans="1:10" hidden="1" x14ac:dyDescent="0.3">
      <c r="A249" s="16">
        <v>983</v>
      </c>
      <c r="B249" s="17" t="s">
        <v>250</v>
      </c>
      <c r="C249" s="17" t="s">
        <v>12</v>
      </c>
      <c r="D249" s="18">
        <v>65.900000000000006</v>
      </c>
      <c r="E249" s="19">
        <v>45788</v>
      </c>
      <c r="F249" s="20" t="s">
        <v>13</v>
      </c>
      <c r="G249" s="21">
        <v>27</v>
      </c>
      <c r="H249" s="21">
        <v>2</v>
      </c>
      <c r="I249" s="17" t="str">
        <f t="shared" si="6"/>
        <v>mayo</v>
      </c>
      <c r="J249" s="17" t="str">
        <f t="shared" si="7"/>
        <v>domingo</v>
      </c>
    </row>
    <row r="250" spans="1:10" x14ac:dyDescent="0.3">
      <c r="A250" s="16">
        <v>988</v>
      </c>
      <c r="B250" s="17" t="s">
        <v>251</v>
      </c>
      <c r="C250" s="17" t="s">
        <v>24</v>
      </c>
      <c r="D250" s="18">
        <v>86</v>
      </c>
      <c r="E250" s="19">
        <v>45718</v>
      </c>
      <c r="F250" s="20" t="s">
        <v>22</v>
      </c>
      <c r="G250" s="21">
        <v>51</v>
      </c>
      <c r="H250" s="21">
        <v>2</v>
      </c>
      <c r="I250" s="17" t="str">
        <f t="shared" si="6"/>
        <v>marzo</v>
      </c>
      <c r="J250" s="17" t="str">
        <f t="shared" si="7"/>
        <v>domingo</v>
      </c>
    </row>
    <row r="251" spans="1:10" hidden="1" x14ac:dyDescent="0.3">
      <c r="A251" s="16">
        <v>997</v>
      </c>
      <c r="B251" s="17" t="s">
        <v>252</v>
      </c>
      <c r="C251" s="17" t="s">
        <v>15</v>
      </c>
      <c r="D251" s="18">
        <v>88.3</v>
      </c>
      <c r="E251" s="19">
        <v>45899</v>
      </c>
      <c r="F251" s="20" t="s">
        <v>16</v>
      </c>
      <c r="G251" s="21">
        <v>12</v>
      </c>
      <c r="H251" s="21">
        <v>3</v>
      </c>
      <c r="I251" s="17" t="str">
        <f t="shared" si="6"/>
        <v>agosto</v>
      </c>
      <c r="J251" s="17" t="str">
        <f t="shared" si="7"/>
        <v>sábado</v>
      </c>
    </row>
    <row r="253" spans="1:10" x14ac:dyDescent="0.3">
      <c r="A253" s="32" t="s">
        <v>289</v>
      </c>
      <c r="B253" s="32"/>
      <c r="F253" s="33" t="s">
        <v>290</v>
      </c>
      <c r="G253" s="33"/>
    </row>
    <row r="254" spans="1:10" x14ac:dyDescent="0.3">
      <c r="A254" s="16" t="s">
        <v>284</v>
      </c>
      <c r="B254" s="28">
        <f>SUBTOTAL(9,D3:D250)</f>
        <v>2760.7</v>
      </c>
      <c r="F254" s="16" t="s">
        <v>284</v>
      </c>
      <c r="G254" s="28">
        <f>SUBTOTAL(9,G3:G250)</f>
        <v>2479</v>
      </c>
    </row>
    <row r="255" spans="1:10" x14ac:dyDescent="0.3">
      <c r="A255" s="16" t="s">
        <v>285</v>
      </c>
      <c r="B255" s="28">
        <f>SUBTOTAL(1,D3:D250)</f>
        <v>81.197058823529403</v>
      </c>
      <c r="F255" s="16" t="s">
        <v>285</v>
      </c>
      <c r="G255" s="28">
        <f>SUBTOTAL(1,G3:G250)</f>
        <v>72.911764705882348</v>
      </c>
    </row>
    <row r="256" spans="1:10" x14ac:dyDescent="0.3">
      <c r="A256" s="16" t="s">
        <v>286</v>
      </c>
      <c r="B256" s="28">
        <f>SUBTOTAL(4,D3:D250)</f>
        <v>96.8</v>
      </c>
      <c r="F256" s="16" t="s">
        <v>286</v>
      </c>
      <c r="G256" s="28">
        <f>SUBTOTAL(4,G3:G250)</f>
        <v>100</v>
      </c>
    </row>
    <row r="257" spans="1:7" x14ac:dyDescent="0.3">
      <c r="A257" s="16" t="s">
        <v>287</v>
      </c>
      <c r="B257" s="28">
        <f>SUBTOTAL(5,D3:D250)</f>
        <v>62</v>
      </c>
      <c r="F257" s="16" t="s">
        <v>287</v>
      </c>
      <c r="G257" s="29">
        <f>SUBTOTAL(5,G3:G250)</f>
        <v>0</v>
      </c>
    </row>
    <row r="258" spans="1:7" x14ac:dyDescent="0.3">
      <c r="A258" s="16" t="s">
        <v>288</v>
      </c>
      <c r="B258" s="28">
        <f>SUBTOTAL(102,D3:D250)</f>
        <v>34</v>
      </c>
      <c r="F258" s="16" t="s">
        <v>288</v>
      </c>
      <c r="G258" s="28">
        <f>SUBTOTAL(2,G3:G250)</f>
        <v>34</v>
      </c>
    </row>
  </sheetData>
  <autoFilter ref="A2:J251" xr:uid="{568CCB24-4542-48A6-AEFF-35ACF05AC819}">
    <filterColumn colId="3">
      <customFilters>
        <customFilter operator="greaterThanOrEqual" val="60"/>
      </customFilters>
    </filterColumn>
    <filterColumn colId="8">
      <filters>
        <filter val="enero"/>
        <filter val="marzo"/>
      </filters>
    </filterColumn>
  </autoFilter>
  <mergeCells count="3">
    <mergeCell ref="A1:J1"/>
    <mergeCell ref="A253:B253"/>
    <mergeCell ref="F253:G253"/>
  </mergeCells>
  <pageMargins left="0.7" right="0.7" top="0.75" bottom="0.75" header="0.3" footer="0.3"/>
  <pageSetup scale="56" orientation="portrait" r:id="rId1"/>
  <ignoredErrors>
    <ignoredError sqref="B254 B255:B258 G254:G25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BF8B-0283-4E6A-99A5-96A99F04BCE0}">
  <sheetPr>
    <tabColor rgb="FFFF0000"/>
  </sheetPr>
  <dimension ref="A1:J263"/>
  <sheetViews>
    <sheetView zoomScale="80" workbookViewId="0">
      <selection activeCell="L264" sqref="L264"/>
    </sheetView>
  </sheetViews>
  <sheetFormatPr baseColWidth="10" defaultColWidth="11.44140625" defaultRowHeight="14.4" outlineLevelRow="2" x14ac:dyDescent="0.3"/>
  <cols>
    <col min="1" max="1" width="18.6640625" customWidth="1"/>
    <col min="2" max="2" width="23.33203125" bestFit="1" customWidth="1"/>
    <col min="3" max="3" width="13.21875" customWidth="1"/>
    <col min="4" max="4" width="13.109375" style="9" customWidth="1"/>
    <col min="5" max="5" width="17.6640625" style="1" customWidth="1"/>
    <col min="6" max="6" width="19.6640625" style="6" customWidth="1"/>
    <col min="7" max="7" width="14.44140625" style="11" customWidth="1"/>
    <col min="8" max="8" width="16.5546875" style="11" customWidth="1"/>
    <col min="9" max="9" width="16.332031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8" t="s">
        <v>3</v>
      </c>
      <c r="E1" s="7" t="s">
        <v>4</v>
      </c>
      <c r="F1" s="5" t="s">
        <v>5</v>
      </c>
      <c r="G1" s="12" t="s">
        <v>6</v>
      </c>
      <c r="H1" s="12" t="s">
        <v>7</v>
      </c>
      <c r="I1" s="2" t="s">
        <v>253</v>
      </c>
      <c r="J1" s="2" t="s">
        <v>254</v>
      </c>
    </row>
    <row r="2" spans="1:10" hidden="1" outlineLevel="2" x14ac:dyDescent="0.3">
      <c r="A2" s="3">
        <v>44</v>
      </c>
      <c r="B2" t="s">
        <v>27</v>
      </c>
      <c r="C2" t="s">
        <v>24</v>
      </c>
      <c r="D2" s="10">
        <v>64</v>
      </c>
      <c r="E2" s="1">
        <v>45754</v>
      </c>
      <c r="F2" s="6" t="s">
        <v>16</v>
      </c>
      <c r="G2" s="11">
        <v>18</v>
      </c>
      <c r="H2" s="11">
        <v>3</v>
      </c>
      <c r="I2" t="str">
        <f t="shared" ref="I2:I20" si="0">TEXT(E2,"MMMM")</f>
        <v>abril</v>
      </c>
      <c r="J2" t="str">
        <f t="shared" ref="J2:J20" si="1">TEXT(E2,"DDDD")</f>
        <v>lunes</v>
      </c>
    </row>
    <row r="3" spans="1:10" hidden="1" outlineLevel="2" x14ac:dyDescent="0.3">
      <c r="A3" s="3">
        <v>46</v>
      </c>
      <c r="B3" t="s">
        <v>28</v>
      </c>
      <c r="C3" t="s">
        <v>12</v>
      </c>
      <c r="D3" s="10">
        <v>98.8</v>
      </c>
      <c r="E3" s="1">
        <v>45770</v>
      </c>
      <c r="F3" s="6" t="s">
        <v>20</v>
      </c>
      <c r="G3" s="11">
        <v>59</v>
      </c>
      <c r="H3" s="11">
        <v>1</v>
      </c>
      <c r="I3" t="str">
        <f t="shared" si="0"/>
        <v>abril</v>
      </c>
      <c r="J3" t="str">
        <f t="shared" si="1"/>
        <v>miércoles</v>
      </c>
    </row>
    <row r="4" spans="1:10" hidden="1" outlineLevel="2" x14ac:dyDescent="0.3">
      <c r="A4" s="3">
        <v>70</v>
      </c>
      <c r="B4" t="s">
        <v>33</v>
      </c>
      <c r="C4" t="s">
        <v>19</v>
      </c>
      <c r="D4" s="10">
        <v>52.7</v>
      </c>
      <c r="E4" s="1">
        <v>45766</v>
      </c>
      <c r="F4" s="6" t="s">
        <v>20</v>
      </c>
      <c r="G4" s="11">
        <v>34</v>
      </c>
      <c r="H4" s="11">
        <v>3</v>
      </c>
      <c r="I4" t="str">
        <f t="shared" si="0"/>
        <v>abril</v>
      </c>
      <c r="J4" t="str">
        <f t="shared" si="1"/>
        <v>sábado</v>
      </c>
    </row>
    <row r="5" spans="1:10" hidden="1" outlineLevel="2" x14ac:dyDescent="0.3">
      <c r="A5" s="3">
        <v>94</v>
      </c>
      <c r="B5" t="s">
        <v>39</v>
      </c>
      <c r="C5" t="s">
        <v>24</v>
      </c>
      <c r="D5" s="10">
        <v>88</v>
      </c>
      <c r="E5" s="1">
        <v>45763</v>
      </c>
      <c r="F5" s="6" t="s">
        <v>16</v>
      </c>
      <c r="G5" s="11">
        <v>63</v>
      </c>
      <c r="H5" s="11">
        <v>3</v>
      </c>
      <c r="I5" t="str">
        <f t="shared" si="0"/>
        <v>abril</v>
      </c>
      <c r="J5" t="str">
        <f t="shared" si="1"/>
        <v>miércoles</v>
      </c>
    </row>
    <row r="6" spans="1:10" hidden="1" outlineLevel="2" x14ac:dyDescent="0.3">
      <c r="A6" s="3">
        <v>160</v>
      </c>
      <c r="B6" t="s">
        <v>56</v>
      </c>
      <c r="C6" t="s">
        <v>15</v>
      </c>
      <c r="D6" s="10">
        <v>68.8</v>
      </c>
      <c r="E6" s="1">
        <v>45765</v>
      </c>
      <c r="F6" s="6" t="s">
        <v>16</v>
      </c>
      <c r="G6" s="11">
        <v>51</v>
      </c>
      <c r="H6" s="11">
        <v>1</v>
      </c>
      <c r="I6" t="str">
        <f t="shared" si="0"/>
        <v>abril</v>
      </c>
      <c r="J6" t="str">
        <f t="shared" si="1"/>
        <v>viernes</v>
      </c>
    </row>
    <row r="7" spans="1:10" hidden="1" outlineLevel="2" x14ac:dyDescent="0.3">
      <c r="A7" s="3">
        <v>311</v>
      </c>
      <c r="B7" t="s">
        <v>95</v>
      </c>
      <c r="C7" t="s">
        <v>12</v>
      </c>
      <c r="D7" s="10">
        <v>98.8</v>
      </c>
      <c r="E7" s="1">
        <v>45767</v>
      </c>
      <c r="F7" s="6" t="s">
        <v>13</v>
      </c>
      <c r="G7" s="11">
        <v>96</v>
      </c>
      <c r="H7" s="11">
        <v>3</v>
      </c>
      <c r="I7" t="str">
        <f t="shared" si="0"/>
        <v>abril</v>
      </c>
      <c r="J7" t="str">
        <f t="shared" si="1"/>
        <v>domingo</v>
      </c>
    </row>
    <row r="8" spans="1:10" hidden="1" outlineLevel="2" x14ac:dyDescent="0.3">
      <c r="A8" s="3">
        <v>342</v>
      </c>
      <c r="B8" t="s">
        <v>104</v>
      </c>
      <c r="C8" t="s">
        <v>15</v>
      </c>
      <c r="D8" s="10">
        <v>76.7</v>
      </c>
      <c r="E8" s="1">
        <v>45762</v>
      </c>
      <c r="F8" s="6" t="s">
        <v>16</v>
      </c>
      <c r="G8" s="11">
        <v>37</v>
      </c>
      <c r="H8" s="11">
        <v>3</v>
      </c>
      <c r="I8" t="str">
        <f t="shared" si="0"/>
        <v>abril</v>
      </c>
      <c r="J8" t="str">
        <f t="shared" si="1"/>
        <v>martes</v>
      </c>
    </row>
    <row r="9" spans="1:10" hidden="1" outlineLevel="2" x14ac:dyDescent="0.3">
      <c r="A9" s="3">
        <v>344</v>
      </c>
      <c r="B9" t="s">
        <v>105</v>
      </c>
      <c r="C9" t="s">
        <v>24</v>
      </c>
      <c r="D9" s="10">
        <v>98.3</v>
      </c>
      <c r="E9" s="1">
        <v>45749</v>
      </c>
      <c r="F9" s="6" t="s">
        <v>16</v>
      </c>
      <c r="G9" s="11">
        <v>86</v>
      </c>
      <c r="H9" s="11">
        <v>1</v>
      </c>
      <c r="I9" t="str">
        <f t="shared" si="0"/>
        <v>abril</v>
      </c>
      <c r="J9" t="str">
        <f t="shared" si="1"/>
        <v>miércoles</v>
      </c>
    </row>
    <row r="10" spans="1:10" hidden="1" outlineLevel="2" x14ac:dyDescent="0.3">
      <c r="A10" s="3">
        <v>367</v>
      </c>
      <c r="B10" t="s">
        <v>107</v>
      </c>
      <c r="C10" t="s">
        <v>12</v>
      </c>
      <c r="D10" s="10">
        <v>54.6</v>
      </c>
      <c r="E10" s="1">
        <v>45770</v>
      </c>
      <c r="F10" s="6" t="s">
        <v>13</v>
      </c>
      <c r="G10" s="11">
        <v>47</v>
      </c>
      <c r="H10" s="11">
        <v>2</v>
      </c>
      <c r="I10" t="str">
        <f t="shared" si="0"/>
        <v>abril</v>
      </c>
      <c r="J10" t="str">
        <f t="shared" si="1"/>
        <v>miércoles</v>
      </c>
    </row>
    <row r="11" spans="1:10" hidden="1" outlineLevel="2" x14ac:dyDescent="0.3">
      <c r="A11" s="3">
        <v>376</v>
      </c>
      <c r="B11" t="s">
        <v>110</v>
      </c>
      <c r="C11" t="s">
        <v>12</v>
      </c>
      <c r="D11" s="10">
        <v>56.4</v>
      </c>
      <c r="E11" s="1">
        <v>45748</v>
      </c>
      <c r="F11" s="6" t="s">
        <v>13</v>
      </c>
      <c r="G11" s="11">
        <v>65</v>
      </c>
      <c r="H11" s="11">
        <v>2</v>
      </c>
      <c r="I11" t="str">
        <f t="shared" si="0"/>
        <v>abril</v>
      </c>
      <c r="J11" t="str">
        <f t="shared" si="1"/>
        <v>martes</v>
      </c>
    </row>
    <row r="12" spans="1:10" hidden="1" outlineLevel="2" x14ac:dyDescent="0.3">
      <c r="A12" s="3">
        <v>383</v>
      </c>
      <c r="B12" t="s">
        <v>112</v>
      </c>
      <c r="C12" t="s">
        <v>24</v>
      </c>
      <c r="D12" s="10">
        <v>85.4</v>
      </c>
      <c r="E12" s="1">
        <v>45750</v>
      </c>
      <c r="F12" s="6" t="s">
        <v>16</v>
      </c>
      <c r="G12" s="11">
        <v>62</v>
      </c>
      <c r="H12" s="11">
        <v>3</v>
      </c>
      <c r="I12" t="str">
        <f t="shared" si="0"/>
        <v>abril</v>
      </c>
      <c r="J12" t="str">
        <f t="shared" si="1"/>
        <v>jueves</v>
      </c>
    </row>
    <row r="13" spans="1:10" hidden="1" outlineLevel="2" x14ac:dyDescent="0.3">
      <c r="A13" s="3">
        <v>424</v>
      </c>
      <c r="B13" t="s">
        <v>122</v>
      </c>
      <c r="C13" t="s">
        <v>19</v>
      </c>
      <c r="D13" s="10">
        <v>97.6</v>
      </c>
      <c r="E13" s="1">
        <v>45756</v>
      </c>
      <c r="F13" s="6" t="s">
        <v>22</v>
      </c>
      <c r="G13" s="11">
        <v>14</v>
      </c>
      <c r="H13" s="11">
        <v>3</v>
      </c>
      <c r="I13" t="str">
        <f t="shared" si="0"/>
        <v>abril</v>
      </c>
      <c r="J13" t="str">
        <f t="shared" si="1"/>
        <v>miércoles</v>
      </c>
    </row>
    <row r="14" spans="1:10" hidden="1" outlineLevel="2" x14ac:dyDescent="0.3">
      <c r="A14" s="3">
        <v>429</v>
      </c>
      <c r="B14" t="s">
        <v>123</v>
      </c>
      <c r="C14" t="s">
        <v>24</v>
      </c>
      <c r="D14" s="10">
        <v>89.3</v>
      </c>
      <c r="E14" s="1">
        <v>45763</v>
      </c>
      <c r="F14" s="6" t="s">
        <v>22</v>
      </c>
      <c r="G14" s="11">
        <v>87</v>
      </c>
      <c r="H14" s="11">
        <v>1</v>
      </c>
      <c r="I14" t="str">
        <f t="shared" si="0"/>
        <v>abril</v>
      </c>
      <c r="J14" t="str">
        <f t="shared" si="1"/>
        <v>miércoles</v>
      </c>
    </row>
    <row r="15" spans="1:10" hidden="1" outlineLevel="2" x14ac:dyDescent="0.3">
      <c r="A15" s="3">
        <v>526</v>
      </c>
      <c r="B15" t="s">
        <v>148</v>
      </c>
      <c r="C15" t="s">
        <v>12</v>
      </c>
      <c r="D15" s="10">
        <v>65.599999999999994</v>
      </c>
      <c r="E15" s="1">
        <v>45750</v>
      </c>
      <c r="F15" s="6" t="s">
        <v>13</v>
      </c>
      <c r="G15" s="11">
        <v>42</v>
      </c>
      <c r="H15" s="11">
        <v>3</v>
      </c>
      <c r="I15" t="str">
        <f t="shared" si="0"/>
        <v>abril</v>
      </c>
      <c r="J15" t="str">
        <f t="shared" si="1"/>
        <v>jueves</v>
      </c>
    </row>
    <row r="16" spans="1:10" hidden="1" outlineLevel="2" x14ac:dyDescent="0.3">
      <c r="A16" s="3">
        <v>653</v>
      </c>
      <c r="B16" t="s">
        <v>175</v>
      </c>
      <c r="C16" t="s">
        <v>24</v>
      </c>
      <c r="D16" s="10">
        <v>71.099999999999994</v>
      </c>
      <c r="E16" s="1">
        <v>45751</v>
      </c>
      <c r="F16" s="6" t="s">
        <v>16</v>
      </c>
      <c r="G16" s="11">
        <v>62</v>
      </c>
      <c r="H16" s="11">
        <v>2</v>
      </c>
      <c r="I16" t="str">
        <f t="shared" si="0"/>
        <v>abril</v>
      </c>
      <c r="J16" t="str">
        <f t="shared" si="1"/>
        <v>viernes</v>
      </c>
    </row>
    <row r="17" spans="1:10" hidden="1" outlineLevel="2" x14ac:dyDescent="0.3">
      <c r="A17" s="3">
        <v>686</v>
      </c>
      <c r="B17" t="s">
        <v>181</v>
      </c>
      <c r="C17" t="s">
        <v>24</v>
      </c>
      <c r="D17" s="10">
        <v>94.2</v>
      </c>
      <c r="E17" s="1">
        <v>45765</v>
      </c>
      <c r="F17" s="6" t="s">
        <v>22</v>
      </c>
      <c r="G17" s="11">
        <v>74</v>
      </c>
      <c r="H17" s="11">
        <v>1</v>
      </c>
      <c r="I17" t="str">
        <f t="shared" si="0"/>
        <v>abril</v>
      </c>
      <c r="J17" t="str">
        <f t="shared" si="1"/>
        <v>viernes</v>
      </c>
    </row>
    <row r="18" spans="1:10" hidden="1" outlineLevel="2" x14ac:dyDescent="0.3">
      <c r="A18" s="3">
        <v>692</v>
      </c>
      <c r="B18" t="s">
        <v>182</v>
      </c>
      <c r="C18" t="s">
        <v>24</v>
      </c>
      <c r="D18" s="10">
        <v>57.1</v>
      </c>
      <c r="E18" s="1">
        <v>45763</v>
      </c>
      <c r="F18" s="6" t="s">
        <v>16</v>
      </c>
      <c r="G18" s="11">
        <v>97</v>
      </c>
      <c r="H18" s="11">
        <v>2</v>
      </c>
      <c r="I18" t="str">
        <f t="shared" si="0"/>
        <v>abril</v>
      </c>
      <c r="J18" t="str">
        <f t="shared" si="1"/>
        <v>miércoles</v>
      </c>
    </row>
    <row r="19" spans="1:10" hidden="1" outlineLevel="2" x14ac:dyDescent="0.3">
      <c r="A19" s="3">
        <v>776</v>
      </c>
      <c r="B19" t="s">
        <v>199</v>
      </c>
      <c r="C19" t="s">
        <v>15</v>
      </c>
      <c r="D19" s="10">
        <v>56.5</v>
      </c>
      <c r="E19" s="1">
        <v>45748</v>
      </c>
      <c r="F19" s="6" t="s">
        <v>16</v>
      </c>
      <c r="G19" s="11">
        <v>22</v>
      </c>
      <c r="H19" s="11">
        <v>3</v>
      </c>
      <c r="I19" t="str">
        <f t="shared" si="0"/>
        <v>abril</v>
      </c>
      <c r="J19" t="str">
        <f t="shared" si="1"/>
        <v>martes</v>
      </c>
    </row>
    <row r="20" spans="1:10" hidden="1" outlineLevel="2" x14ac:dyDescent="0.3">
      <c r="A20" s="3">
        <v>960</v>
      </c>
      <c r="B20" t="s">
        <v>248</v>
      </c>
      <c r="C20" t="s">
        <v>19</v>
      </c>
      <c r="D20" s="10">
        <v>95.3</v>
      </c>
      <c r="E20" s="1">
        <v>45768</v>
      </c>
      <c r="F20" s="6" t="s">
        <v>22</v>
      </c>
      <c r="G20" s="11">
        <v>84</v>
      </c>
      <c r="H20" s="11">
        <v>1</v>
      </c>
      <c r="I20" t="str">
        <f t="shared" si="0"/>
        <v>abril</v>
      </c>
      <c r="J20" t="str">
        <f t="shared" si="1"/>
        <v>lunes</v>
      </c>
    </row>
    <row r="21" spans="1:10" outlineLevel="1" collapsed="1" x14ac:dyDescent="0.3">
      <c r="A21" s="3"/>
      <c r="D21" s="10"/>
      <c r="H21" s="11">
        <f>SUBTOTAL(9,H2:H20)</f>
        <v>41</v>
      </c>
      <c r="I21" s="13" t="s">
        <v>256</v>
      </c>
    </row>
    <row r="22" spans="1:10" hidden="1" outlineLevel="2" x14ac:dyDescent="0.3">
      <c r="A22" s="3">
        <v>120</v>
      </c>
      <c r="B22" t="s">
        <v>45</v>
      </c>
      <c r="C22" t="s">
        <v>24</v>
      </c>
      <c r="D22" s="10">
        <v>61.3</v>
      </c>
      <c r="E22" s="1">
        <v>45895</v>
      </c>
      <c r="F22" s="6" t="s">
        <v>16</v>
      </c>
      <c r="G22" s="11">
        <v>19</v>
      </c>
      <c r="H22" s="11">
        <v>3</v>
      </c>
      <c r="I22" t="str">
        <f t="shared" ref="I22:I39" si="2">TEXT(E22,"MMMM")</f>
        <v>agosto</v>
      </c>
      <c r="J22" t="str">
        <f t="shared" ref="J22:J39" si="3">TEXT(E22,"DDDD")</f>
        <v>martes</v>
      </c>
    </row>
    <row r="23" spans="1:10" hidden="1" outlineLevel="2" x14ac:dyDescent="0.3">
      <c r="A23" s="3">
        <v>134</v>
      </c>
      <c r="B23" t="s">
        <v>49</v>
      </c>
      <c r="C23" t="s">
        <v>12</v>
      </c>
      <c r="D23" s="10">
        <v>50.9</v>
      </c>
      <c r="E23" s="1">
        <v>45873</v>
      </c>
      <c r="F23" s="6" t="s">
        <v>20</v>
      </c>
      <c r="G23" s="11">
        <v>72</v>
      </c>
      <c r="H23" s="11">
        <v>2</v>
      </c>
      <c r="I23" t="str">
        <f t="shared" si="2"/>
        <v>agosto</v>
      </c>
      <c r="J23" t="str">
        <f t="shared" si="3"/>
        <v>lunes</v>
      </c>
    </row>
    <row r="24" spans="1:10" hidden="1" outlineLevel="2" x14ac:dyDescent="0.3">
      <c r="A24" s="3">
        <v>145</v>
      </c>
      <c r="B24" t="s">
        <v>52</v>
      </c>
      <c r="C24" t="s">
        <v>9</v>
      </c>
      <c r="D24" s="10">
        <v>87.3</v>
      </c>
      <c r="E24" s="1">
        <v>45878</v>
      </c>
      <c r="F24" s="6" t="s">
        <v>22</v>
      </c>
      <c r="G24" s="11">
        <v>95</v>
      </c>
      <c r="H24" s="11">
        <v>2</v>
      </c>
      <c r="I24" t="str">
        <f t="shared" si="2"/>
        <v>agosto</v>
      </c>
      <c r="J24" t="str">
        <f t="shared" si="3"/>
        <v>sábado</v>
      </c>
    </row>
    <row r="25" spans="1:10" hidden="1" outlineLevel="2" x14ac:dyDescent="0.3">
      <c r="A25" s="3">
        <v>179</v>
      </c>
      <c r="B25" t="s">
        <v>62</v>
      </c>
      <c r="C25" t="s">
        <v>9</v>
      </c>
      <c r="D25" s="10">
        <v>63.4</v>
      </c>
      <c r="E25" s="1">
        <v>45888</v>
      </c>
      <c r="F25" s="6" t="s">
        <v>22</v>
      </c>
      <c r="G25" s="11">
        <v>35</v>
      </c>
      <c r="H25" s="11">
        <v>1</v>
      </c>
      <c r="I25" t="str">
        <f t="shared" si="2"/>
        <v>agosto</v>
      </c>
      <c r="J25" t="str">
        <f t="shared" si="3"/>
        <v>martes</v>
      </c>
    </row>
    <row r="26" spans="1:10" hidden="1" outlineLevel="2" x14ac:dyDescent="0.3">
      <c r="A26" s="3">
        <v>242</v>
      </c>
      <c r="B26" t="s">
        <v>72</v>
      </c>
      <c r="C26" t="s">
        <v>15</v>
      </c>
      <c r="D26" s="10">
        <v>93.9</v>
      </c>
      <c r="E26" s="1">
        <v>45894</v>
      </c>
      <c r="F26" s="6" t="s">
        <v>16</v>
      </c>
      <c r="G26" s="11">
        <v>78</v>
      </c>
      <c r="H26" s="11">
        <v>1</v>
      </c>
      <c r="I26" t="str">
        <f t="shared" si="2"/>
        <v>agosto</v>
      </c>
      <c r="J26" t="str">
        <f t="shared" si="3"/>
        <v>lunes</v>
      </c>
    </row>
    <row r="27" spans="1:10" hidden="1" outlineLevel="2" x14ac:dyDescent="0.3">
      <c r="A27" s="3">
        <v>244</v>
      </c>
      <c r="B27" t="s">
        <v>74</v>
      </c>
      <c r="C27" t="s">
        <v>9</v>
      </c>
      <c r="D27" s="10">
        <v>95.4</v>
      </c>
      <c r="E27" s="1">
        <v>45889</v>
      </c>
      <c r="F27" s="6" t="s">
        <v>22</v>
      </c>
      <c r="G27" s="11">
        <v>61</v>
      </c>
      <c r="H27" s="11">
        <v>2</v>
      </c>
      <c r="I27" t="str">
        <f t="shared" si="2"/>
        <v>agosto</v>
      </c>
      <c r="J27" t="str">
        <f t="shared" si="3"/>
        <v>miércoles</v>
      </c>
    </row>
    <row r="28" spans="1:10" hidden="1" outlineLevel="2" x14ac:dyDescent="0.3">
      <c r="A28" s="3">
        <v>330</v>
      </c>
      <c r="B28" t="s">
        <v>101</v>
      </c>
      <c r="C28" t="s">
        <v>12</v>
      </c>
      <c r="D28" s="10">
        <v>65.099999999999994</v>
      </c>
      <c r="E28" s="1">
        <v>45872</v>
      </c>
      <c r="F28" s="6" t="s">
        <v>13</v>
      </c>
      <c r="G28" s="11">
        <v>100</v>
      </c>
      <c r="H28" s="11">
        <v>1</v>
      </c>
      <c r="I28" t="str">
        <f t="shared" si="2"/>
        <v>agosto</v>
      </c>
      <c r="J28" t="str">
        <f t="shared" si="3"/>
        <v>domingo</v>
      </c>
    </row>
    <row r="29" spans="1:10" hidden="1" outlineLevel="2" x14ac:dyDescent="0.3">
      <c r="A29" s="3">
        <v>411</v>
      </c>
      <c r="B29" t="s">
        <v>118</v>
      </c>
      <c r="C29" t="s">
        <v>15</v>
      </c>
      <c r="D29" s="10">
        <v>80.400000000000006</v>
      </c>
      <c r="E29" s="1">
        <v>45886</v>
      </c>
      <c r="F29" s="6" t="s">
        <v>16</v>
      </c>
      <c r="G29" s="11">
        <v>33</v>
      </c>
      <c r="H29" s="11">
        <v>1</v>
      </c>
      <c r="I29" t="str">
        <f t="shared" si="2"/>
        <v>agosto</v>
      </c>
      <c r="J29" t="str">
        <f t="shared" si="3"/>
        <v>domingo</v>
      </c>
    </row>
    <row r="30" spans="1:10" hidden="1" outlineLevel="2" x14ac:dyDescent="0.3">
      <c r="A30" s="3">
        <v>522</v>
      </c>
      <c r="B30" t="s">
        <v>147</v>
      </c>
      <c r="C30" t="s">
        <v>12</v>
      </c>
      <c r="D30" s="10">
        <v>92.3</v>
      </c>
      <c r="E30" s="1">
        <v>45874</v>
      </c>
      <c r="F30" s="6" t="s">
        <v>20</v>
      </c>
      <c r="G30" s="11">
        <v>80</v>
      </c>
      <c r="H30" s="11">
        <v>1</v>
      </c>
      <c r="I30" t="str">
        <f t="shared" si="2"/>
        <v>agosto</v>
      </c>
      <c r="J30" t="str">
        <f t="shared" si="3"/>
        <v>martes</v>
      </c>
    </row>
    <row r="31" spans="1:10" hidden="1" outlineLevel="2" x14ac:dyDescent="0.3">
      <c r="A31" s="3">
        <v>530</v>
      </c>
      <c r="B31" t="s">
        <v>149</v>
      </c>
      <c r="C31" t="s">
        <v>24</v>
      </c>
      <c r="D31" s="10">
        <v>74</v>
      </c>
      <c r="E31" s="1">
        <v>45887</v>
      </c>
      <c r="F31" s="6" t="s">
        <v>16</v>
      </c>
      <c r="G31" s="11">
        <v>97</v>
      </c>
      <c r="H31" s="11">
        <v>2</v>
      </c>
      <c r="I31" t="str">
        <f t="shared" si="2"/>
        <v>agosto</v>
      </c>
      <c r="J31" t="str">
        <f t="shared" si="3"/>
        <v>lunes</v>
      </c>
    </row>
    <row r="32" spans="1:10" hidden="1" outlineLevel="2" x14ac:dyDescent="0.3">
      <c r="A32" s="3">
        <v>548</v>
      </c>
      <c r="B32" t="s">
        <v>156</v>
      </c>
      <c r="C32" t="s">
        <v>12</v>
      </c>
      <c r="D32" s="10">
        <v>94.2</v>
      </c>
      <c r="E32" s="1">
        <v>45887</v>
      </c>
      <c r="F32" s="6" t="s">
        <v>13</v>
      </c>
      <c r="G32" s="11">
        <v>100</v>
      </c>
      <c r="H32" s="11">
        <v>1</v>
      </c>
      <c r="I32" t="str">
        <f t="shared" si="2"/>
        <v>agosto</v>
      </c>
      <c r="J32" t="str">
        <f t="shared" si="3"/>
        <v>lunes</v>
      </c>
    </row>
    <row r="33" spans="1:10" hidden="1" outlineLevel="2" x14ac:dyDescent="0.3">
      <c r="A33" s="3">
        <v>605</v>
      </c>
      <c r="B33" t="s">
        <v>165</v>
      </c>
      <c r="C33" t="s">
        <v>15</v>
      </c>
      <c r="D33" s="10">
        <v>63.1</v>
      </c>
      <c r="E33" s="1">
        <v>45892</v>
      </c>
      <c r="F33" s="6" t="s">
        <v>16</v>
      </c>
      <c r="G33" s="11">
        <v>0</v>
      </c>
      <c r="H33" s="11">
        <v>1</v>
      </c>
      <c r="I33" t="str">
        <f t="shared" si="2"/>
        <v>agosto</v>
      </c>
      <c r="J33" t="str">
        <f t="shared" si="3"/>
        <v>sábado</v>
      </c>
    </row>
    <row r="34" spans="1:10" hidden="1" outlineLevel="2" x14ac:dyDescent="0.3">
      <c r="A34" s="3">
        <v>763</v>
      </c>
      <c r="B34" t="s">
        <v>197</v>
      </c>
      <c r="C34" t="s">
        <v>15</v>
      </c>
      <c r="D34" s="10">
        <v>60.3</v>
      </c>
      <c r="E34" s="1">
        <v>45872</v>
      </c>
      <c r="F34" s="6" t="s">
        <v>16</v>
      </c>
      <c r="G34" s="11">
        <v>50</v>
      </c>
      <c r="H34" s="11">
        <v>3</v>
      </c>
      <c r="I34" t="str">
        <f t="shared" si="2"/>
        <v>agosto</v>
      </c>
      <c r="J34" t="str">
        <f t="shared" si="3"/>
        <v>domingo</v>
      </c>
    </row>
    <row r="35" spans="1:10" hidden="1" outlineLevel="2" x14ac:dyDescent="0.3">
      <c r="A35" s="3">
        <v>797</v>
      </c>
      <c r="B35" t="s">
        <v>206</v>
      </c>
      <c r="C35" t="s">
        <v>12</v>
      </c>
      <c r="D35" s="10">
        <v>67</v>
      </c>
      <c r="E35" s="1">
        <v>45875</v>
      </c>
      <c r="F35" s="6" t="s">
        <v>20</v>
      </c>
      <c r="G35" s="11">
        <v>80</v>
      </c>
      <c r="H35" s="11">
        <v>3</v>
      </c>
      <c r="I35" t="str">
        <f t="shared" si="2"/>
        <v>agosto</v>
      </c>
      <c r="J35" t="str">
        <f t="shared" si="3"/>
        <v>miércoles</v>
      </c>
    </row>
    <row r="36" spans="1:10" hidden="1" outlineLevel="2" x14ac:dyDescent="0.3">
      <c r="A36" s="3">
        <v>808</v>
      </c>
      <c r="B36" t="s">
        <v>208</v>
      </c>
      <c r="C36" t="s">
        <v>19</v>
      </c>
      <c r="D36" s="10">
        <v>61.8</v>
      </c>
      <c r="E36" s="1">
        <v>45874</v>
      </c>
      <c r="F36" s="6" t="s">
        <v>22</v>
      </c>
      <c r="G36" s="11">
        <v>88</v>
      </c>
      <c r="H36" s="11">
        <v>1</v>
      </c>
      <c r="I36" t="str">
        <f t="shared" si="2"/>
        <v>agosto</v>
      </c>
      <c r="J36" t="str">
        <f t="shared" si="3"/>
        <v>martes</v>
      </c>
    </row>
    <row r="37" spans="1:10" hidden="1" outlineLevel="2" x14ac:dyDescent="0.3">
      <c r="A37" s="3">
        <v>890</v>
      </c>
      <c r="B37" t="s">
        <v>230</v>
      </c>
      <c r="C37" t="s">
        <v>9</v>
      </c>
      <c r="D37" s="10">
        <v>81.7</v>
      </c>
      <c r="E37" s="1">
        <v>45870</v>
      </c>
      <c r="F37" s="6" t="s">
        <v>22</v>
      </c>
      <c r="G37" s="11">
        <v>97</v>
      </c>
      <c r="H37" s="11">
        <v>2</v>
      </c>
      <c r="I37" t="str">
        <f t="shared" si="2"/>
        <v>agosto</v>
      </c>
      <c r="J37" t="str">
        <f t="shared" si="3"/>
        <v>viernes</v>
      </c>
    </row>
    <row r="38" spans="1:10" hidden="1" outlineLevel="2" x14ac:dyDescent="0.3">
      <c r="A38" s="3">
        <v>933</v>
      </c>
      <c r="B38" t="s">
        <v>244</v>
      </c>
      <c r="C38" t="s">
        <v>12</v>
      </c>
      <c r="D38" s="10">
        <v>84.3</v>
      </c>
      <c r="E38" s="1">
        <v>45897</v>
      </c>
      <c r="F38" s="6" t="s">
        <v>13</v>
      </c>
      <c r="G38" s="11">
        <v>85</v>
      </c>
      <c r="H38" s="11">
        <v>2</v>
      </c>
      <c r="I38" t="str">
        <f t="shared" si="2"/>
        <v>agosto</v>
      </c>
      <c r="J38" t="str">
        <f t="shared" si="3"/>
        <v>jueves</v>
      </c>
    </row>
    <row r="39" spans="1:10" hidden="1" outlineLevel="2" x14ac:dyDescent="0.3">
      <c r="A39" s="3">
        <v>997</v>
      </c>
      <c r="B39" t="s">
        <v>252</v>
      </c>
      <c r="C39" t="s">
        <v>15</v>
      </c>
      <c r="D39" s="10">
        <v>88.3</v>
      </c>
      <c r="E39" s="1">
        <v>45899</v>
      </c>
      <c r="F39" s="6" t="s">
        <v>16</v>
      </c>
      <c r="G39" s="11">
        <v>12</v>
      </c>
      <c r="H39" s="11">
        <v>3</v>
      </c>
      <c r="I39" t="str">
        <f t="shared" si="2"/>
        <v>agosto</v>
      </c>
      <c r="J39" t="str">
        <f t="shared" si="3"/>
        <v>sábado</v>
      </c>
    </row>
    <row r="40" spans="1:10" outlineLevel="1" collapsed="1" x14ac:dyDescent="0.3">
      <c r="A40" s="3"/>
      <c r="D40" s="10"/>
      <c r="H40" s="11">
        <f>SUBTOTAL(9,H22:H39)</f>
        <v>32</v>
      </c>
      <c r="I40" s="13" t="s">
        <v>257</v>
      </c>
    </row>
    <row r="41" spans="1:10" hidden="1" outlineLevel="2" x14ac:dyDescent="0.3">
      <c r="A41" s="3">
        <v>9</v>
      </c>
      <c r="B41" t="s">
        <v>14</v>
      </c>
      <c r="C41" t="s">
        <v>15</v>
      </c>
      <c r="D41" s="10">
        <v>69.400000000000006</v>
      </c>
      <c r="E41" s="1">
        <v>45642</v>
      </c>
      <c r="F41" s="6" t="s">
        <v>16</v>
      </c>
      <c r="G41" s="11">
        <v>30</v>
      </c>
      <c r="H41" s="11">
        <v>1</v>
      </c>
      <c r="I41" t="str">
        <f t="shared" ref="I41:I60" si="4">TEXT(E41,"MMMM")</f>
        <v>diciembre</v>
      </c>
      <c r="J41" t="str">
        <f t="shared" ref="J41:J60" si="5">TEXT(E41,"DDDD")</f>
        <v>lunes</v>
      </c>
    </row>
    <row r="42" spans="1:10" hidden="1" outlineLevel="2" x14ac:dyDescent="0.3">
      <c r="A42" s="3">
        <v>62</v>
      </c>
      <c r="B42" t="s">
        <v>31</v>
      </c>
      <c r="C42" t="s">
        <v>9</v>
      </c>
      <c r="D42" s="10">
        <v>81.3</v>
      </c>
      <c r="E42" s="1">
        <v>45647</v>
      </c>
      <c r="F42" s="6" t="s">
        <v>22</v>
      </c>
      <c r="G42" s="11">
        <v>26</v>
      </c>
      <c r="H42" s="11">
        <v>2</v>
      </c>
      <c r="I42" t="str">
        <f t="shared" si="4"/>
        <v>diciembre</v>
      </c>
      <c r="J42" t="str">
        <f t="shared" si="5"/>
        <v>sábado</v>
      </c>
    </row>
    <row r="43" spans="1:10" hidden="1" outlineLevel="2" x14ac:dyDescent="0.3">
      <c r="A43" s="3">
        <v>63</v>
      </c>
      <c r="B43" t="s">
        <v>32</v>
      </c>
      <c r="C43" t="s">
        <v>12</v>
      </c>
      <c r="D43" s="10">
        <v>93.4</v>
      </c>
      <c r="E43" s="1">
        <v>45631</v>
      </c>
      <c r="F43" s="6" t="s">
        <v>13</v>
      </c>
      <c r="G43" s="11">
        <v>38</v>
      </c>
      <c r="H43" s="11">
        <v>2</v>
      </c>
      <c r="I43" t="str">
        <f t="shared" si="4"/>
        <v>diciembre</v>
      </c>
      <c r="J43" t="str">
        <f t="shared" si="5"/>
        <v>jueves</v>
      </c>
    </row>
    <row r="44" spans="1:10" hidden="1" outlineLevel="2" x14ac:dyDescent="0.3">
      <c r="A44" s="3">
        <v>106</v>
      </c>
      <c r="B44" t="s">
        <v>42</v>
      </c>
      <c r="C44" t="s">
        <v>9</v>
      </c>
      <c r="D44" s="10">
        <v>53.3</v>
      </c>
      <c r="E44" s="1">
        <v>45646</v>
      </c>
      <c r="F44" s="6" t="s">
        <v>22</v>
      </c>
      <c r="G44" s="11">
        <v>65</v>
      </c>
      <c r="H44" s="11">
        <v>1</v>
      </c>
      <c r="I44" t="str">
        <f t="shared" si="4"/>
        <v>diciembre</v>
      </c>
      <c r="J44" t="str">
        <f t="shared" si="5"/>
        <v>viernes</v>
      </c>
    </row>
    <row r="45" spans="1:10" hidden="1" outlineLevel="2" x14ac:dyDescent="0.3">
      <c r="A45" s="3">
        <v>143</v>
      </c>
      <c r="B45" t="s">
        <v>51</v>
      </c>
      <c r="C45" t="s">
        <v>24</v>
      </c>
      <c r="D45" s="10">
        <v>87.2</v>
      </c>
      <c r="E45" s="1">
        <v>45640</v>
      </c>
      <c r="F45" s="6" t="s">
        <v>22</v>
      </c>
      <c r="G45" s="11">
        <v>18</v>
      </c>
      <c r="H45" s="11">
        <v>3</v>
      </c>
      <c r="I45" t="str">
        <f t="shared" si="4"/>
        <v>diciembre</v>
      </c>
      <c r="J45" t="str">
        <f t="shared" si="5"/>
        <v>sábado</v>
      </c>
    </row>
    <row r="46" spans="1:10" hidden="1" outlineLevel="2" x14ac:dyDescent="0.3">
      <c r="A46" s="3">
        <v>242</v>
      </c>
      <c r="B46" t="s">
        <v>72</v>
      </c>
      <c r="C46" t="s">
        <v>12</v>
      </c>
      <c r="D46" s="10">
        <v>73</v>
      </c>
      <c r="E46" s="1">
        <v>45656</v>
      </c>
      <c r="F46" s="6" t="s">
        <v>20</v>
      </c>
      <c r="G46" s="11">
        <v>90</v>
      </c>
      <c r="H46" s="11">
        <v>2</v>
      </c>
      <c r="I46" t="str">
        <f t="shared" si="4"/>
        <v>diciembre</v>
      </c>
      <c r="J46" t="str">
        <f t="shared" si="5"/>
        <v>lunes</v>
      </c>
    </row>
    <row r="47" spans="1:10" hidden="1" outlineLevel="2" x14ac:dyDescent="0.3">
      <c r="A47" s="3">
        <v>254</v>
      </c>
      <c r="B47" t="s">
        <v>77</v>
      </c>
      <c r="C47" t="s">
        <v>24</v>
      </c>
      <c r="D47" s="10">
        <v>93.1</v>
      </c>
      <c r="E47" s="1">
        <v>45993</v>
      </c>
      <c r="F47" s="6" t="s">
        <v>16</v>
      </c>
      <c r="G47" s="11">
        <v>86</v>
      </c>
      <c r="H47" s="11">
        <v>1</v>
      </c>
      <c r="I47" t="str">
        <f t="shared" si="4"/>
        <v>diciembre</v>
      </c>
      <c r="J47" t="str">
        <f t="shared" si="5"/>
        <v>martes</v>
      </c>
    </row>
    <row r="48" spans="1:10" hidden="1" outlineLevel="2" x14ac:dyDescent="0.3">
      <c r="A48" s="3">
        <v>268</v>
      </c>
      <c r="B48" t="s">
        <v>81</v>
      </c>
      <c r="C48" t="s">
        <v>9</v>
      </c>
      <c r="D48" s="10">
        <v>68.599999999999994</v>
      </c>
      <c r="E48" s="1">
        <v>45628</v>
      </c>
      <c r="F48" s="6" t="s">
        <v>22</v>
      </c>
      <c r="G48" s="11">
        <v>54</v>
      </c>
      <c r="H48" s="11">
        <v>2</v>
      </c>
      <c r="I48" t="str">
        <f t="shared" si="4"/>
        <v>diciembre</v>
      </c>
      <c r="J48" t="str">
        <f t="shared" si="5"/>
        <v>lunes</v>
      </c>
    </row>
    <row r="49" spans="1:10" hidden="1" outlineLevel="2" x14ac:dyDescent="0.3">
      <c r="A49" s="3">
        <v>389</v>
      </c>
      <c r="B49" t="s">
        <v>113</v>
      </c>
      <c r="C49" t="s">
        <v>15</v>
      </c>
      <c r="D49" s="10">
        <v>70.5</v>
      </c>
      <c r="E49" s="1">
        <v>45629</v>
      </c>
      <c r="F49" s="6" t="s">
        <v>16</v>
      </c>
      <c r="G49" s="11">
        <v>53</v>
      </c>
      <c r="H49" s="11">
        <v>1</v>
      </c>
      <c r="I49" t="str">
        <f t="shared" si="4"/>
        <v>diciembre</v>
      </c>
      <c r="J49" t="str">
        <f t="shared" si="5"/>
        <v>martes</v>
      </c>
    </row>
    <row r="50" spans="1:10" hidden="1" outlineLevel="2" x14ac:dyDescent="0.3">
      <c r="A50" s="3">
        <v>400</v>
      </c>
      <c r="B50" t="s">
        <v>115</v>
      </c>
      <c r="C50" t="s">
        <v>19</v>
      </c>
      <c r="D50" s="10">
        <v>69.8</v>
      </c>
      <c r="E50" s="1">
        <v>45633</v>
      </c>
      <c r="F50" s="6" t="s">
        <v>20</v>
      </c>
      <c r="G50" s="11">
        <v>39</v>
      </c>
      <c r="H50" s="11">
        <v>3</v>
      </c>
      <c r="I50" t="str">
        <f t="shared" si="4"/>
        <v>diciembre</v>
      </c>
      <c r="J50" t="str">
        <f t="shared" si="5"/>
        <v>sábado</v>
      </c>
    </row>
    <row r="51" spans="1:10" hidden="1" outlineLevel="2" x14ac:dyDescent="0.3">
      <c r="A51" s="3">
        <v>488</v>
      </c>
      <c r="B51" t="s">
        <v>136</v>
      </c>
      <c r="C51" t="s">
        <v>24</v>
      </c>
      <c r="D51" s="10">
        <v>75.599999999999994</v>
      </c>
      <c r="E51" s="1">
        <v>45641</v>
      </c>
      <c r="F51" s="6" t="s">
        <v>16</v>
      </c>
      <c r="G51" s="11">
        <v>97</v>
      </c>
      <c r="H51" s="11">
        <v>2</v>
      </c>
      <c r="I51" t="str">
        <f t="shared" si="4"/>
        <v>diciembre</v>
      </c>
      <c r="J51" t="str">
        <f t="shared" si="5"/>
        <v>domingo</v>
      </c>
    </row>
    <row r="52" spans="1:10" hidden="1" outlineLevel="2" x14ac:dyDescent="0.3">
      <c r="A52" s="3">
        <v>512</v>
      </c>
      <c r="B52" t="s">
        <v>143</v>
      </c>
      <c r="C52" t="s">
        <v>24</v>
      </c>
      <c r="D52" s="10">
        <v>60.2</v>
      </c>
      <c r="E52" s="1">
        <v>45640</v>
      </c>
      <c r="F52" s="6" t="s">
        <v>16</v>
      </c>
      <c r="G52" s="11">
        <v>40</v>
      </c>
      <c r="H52" s="11">
        <v>2</v>
      </c>
      <c r="I52" t="str">
        <f t="shared" si="4"/>
        <v>diciembre</v>
      </c>
      <c r="J52" t="str">
        <f t="shared" si="5"/>
        <v>sábado</v>
      </c>
    </row>
    <row r="53" spans="1:10" hidden="1" outlineLevel="2" x14ac:dyDescent="0.3">
      <c r="A53" s="3">
        <v>522</v>
      </c>
      <c r="B53" t="s">
        <v>147</v>
      </c>
      <c r="C53" t="s">
        <v>9</v>
      </c>
      <c r="D53" s="10">
        <v>75.400000000000006</v>
      </c>
      <c r="E53" s="1">
        <v>45646</v>
      </c>
      <c r="F53" s="6" t="s">
        <v>22</v>
      </c>
      <c r="G53" s="11">
        <v>67</v>
      </c>
      <c r="H53" s="11">
        <v>1</v>
      </c>
      <c r="I53" t="str">
        <f t="shared" si="4"/>
        <v>diciembre</v>
      </c>
      <c r="J53" t="str">
        <f t="shared" si="5"/>
        <v>viernes</v>
      </c>
    </row>
    <row r="54" spans="1:10" hidden="1" outlineLevel="2" x14ac:dyDescent="0.3">
      <c r="A54" s="3">
        <v>558</v>
      </c>
      <c r="B54" t="s">
        <v>159</v>
      </c>
      <c r="C54" t="s">
        <v>24</v>
      </c>
      <c r="D54" s="10">
        <v>96.3</v>
      </c>
      <c r="E54" s="1">
        <v>45647</v>
      </c>
      <c r="F54" s="6" t="s">
        <v>22</v>
      </c>
      <c r="G54" s="11">
        <v>96</v>
      </c>
      <c r="H54" s="11">
        <v>1</v>
      </c>
      <c r="I54" t="str">
        <f t="shared" si="4"/>
        <v>diciembre</v>
      </c>
      <c r="J54" t="str">
        <f t="shared" si="5"/>
        <v>sábado</v>
      </c>
    </row>
    <row r="55" spans="1:10" hidden="1" outlineLevel="2" x14ac:dyDescent="0.3">
      <c r="A55" s="3">
        <v>643</v>
      </c>
      <c r="B55" t="s">
        <v>173</v>
      </c>
      <c r="C55" t="s">
        <v>12</v>
      </c>
      <c r="D55" s="10">
        <v>75.900000000000006</v>
      </c>
      <c r="E55" s="1">
        <v>45649</v>
      </c>
      <c r="F55" s="6" t="s">
        <v>13</v>
      </c>
      <c r="G55" s="11">
        <v>63</v>
      </c>
      <c r="H55" s="11">
        <v>1</v>
      </c>
      <c r="I55" t="str">
        <f t="shared" si="4"/>
        <v>diciembre</v>
      </c>
      <c r="J55" t="str">
        <f t="shared" si="5"/>
        <v>lunes</v>
      </c>
    </row>
    <row r="56" spans="1:10" hidden="1" outlineLevel="2" x14ac:dyDescent="0.3">
      <c r="A56" s="3">
        <v>658</v>
      </c>
      <c r="B56" t="s">
        <v>176</v>
      </c>
      <c r="C56" t="s">
        <v>12</v>
      </c>
      <c r="D56" s="10">
        <v>52</v>
      </c>
      <c r="E56" s="1">
        <v>45644</v>
      </c>
      <c r="F56" s="6" t="s">
        <v>13</v>
      </c>
      <c r="G56" s="11">
        <v>4</v>
      </c>
      <c r="H56" s="11">
        <v>3</v>
      </c>
      <c r="I56" t="str">
        <f t="shared" si="4"/>
        <v>diciembre</v>
      </c>
      <c r="J56" t="str">
        <f t="shared" si="5"/>
        <v>miércoles</v>
      </c>
    </row>
    <row r="57" spans="1:10" hidden="1" outlineLevel="2" x14ac:dyDescent="0.3">
      <c r="A57" s="3">
        <v>734</v>
      </c>
      <c r="B57" t="s">
        <v>192</v>
      </c>
      <c r="C57" t="s">
        <v>9</v>
      </c>
      <c r="D57" s="10">
        <v>71.2</v>
      </c>
      <c r="E57" s="1">
        <v>45655</v>
      </c>
      <c r="F57" s="6" t="s">
        <v>22</v>
      </c>
      <c r="G57" s="11">
        <v>34</v>
      </c>
      <c r="H57" s="11">
        <v>2</v>
      </c>
      <c r="I57" t="str">
        <f t="shared" si="4"/>
        <v>diciembre</v>
      </c>
      <c r="J57" t="str">
        <f t="shared" si="5"/>
        <v>domingo</v>
      </c>
    </row>
    <row r="58" spans="1:10" hidden="1" outlineLevel="2" x14ac:dyDescent="0.3">
      <c r="A58" s="3">
        <v>862</v>
      </c>
      <c r="B58" t="s">
        <v>221</v>
      </c>
      <c r="C58" t="s">
        <v>15</v>
      </c>
      <c r="D58" s="10">
        <v>88.1</v>
      </c>
      <c r="E58" s="1">
        <v>45643</v>
      </c>
      <c r="F58" s="6" t="s">
        <v>16</v>
      </c>
      <c r="G58" s="11">
        <v>45</v>
      </c>
      <c r="H58" s="11">
        <v>1</v>
      </c>
      <c r="I58" t="str">
        <f t="shared" si="4"/>
        <v>diciembre</v>
      </c>
      <c r="J58" t="str">
        <f t="shared" si="5"/>
        <v>martes</v>
      </c>
    </row>
    <row r="59" spans="1:10" hidden="1" outlineLevel="2" x14ac:dyDescent="0.3">
      <c r="A59" s="3">
        <v>891</v>
      </c>
      <c r="B59" t="s">
        <v>231</v>
      </c>
      <c r="C59" t="s">
        <v>15</v>
      </c>
      <c r="D59" s="10">
        <v>79.900000000000006</v>
      </c>
      <c r="E59" s="1">
        <v>45657</v>
      </c>
      <c r="F59" s="6" t="s">
        <v>16</v>
      </c>
      <c r="G59" s="11">
        <v>76</v>
      </c>
      <c r="H59" s="11">
        <v>3</v>
      </c>
      <c r="I59" t="str">
        <f t="shared" si="4"/>
        <v>diciembre</v>
      </c>
      <c r="J59" t="str">
        <f t="shared" si="5"/>
        <v>martes</v>
      </c>
    </row>
    <row r="60" spans="1:10" hidden="1" outlineLevel="2" x14ac:dyDescent="0.3">
      <c r="A60" s="3">
        <v>908</v>
      </c>
      <c r="B60" t="s">
        <v>236</v>
      </c>
      <c r="C60" t="s">
        <v>19</v>
      </c>
      <c r="D60" s="10">
        <v>76.5</v>
      </c>
      <c r="E60" s="1">
        <v>45648</v>
      </c>
      <c r="F60" s="6" t="s">
        <v>20</v>
      </c>
      <c r="G60" s="11">
        <v>100</v>
      </c>
      <c r="H60" s="11">
        <v>1</v>
      </c>
      <c r="I60" t="str">
        <f t="shared" si="4"/>
        <v>diciembre</v>
      </c>
      <c r="J60" t="str">
        <f t="shared" si="5"/>
        <v>domingo</v>
      </c>
    </row>
    <row r="61" spans="1:10" outlineLevel="1" collapsed="1" x14ac:dyDescent="0.3">
      <c r="A61" s="3"/>
      <c r="D61" s="10"/>
      <c r="H61" s="11">
        <f>SUBTOTAL(9,H41:H60)</f>
        <v>35</v>
      </c>
      <c r="I61" s="13" t="s">
        <v>258</v>
      </c>
    </row>
    <row r="62" spans="1:10" hidden="1" outlineLevel="2" x14ac:dyDescent="0.3">
      <c r="A62" s="3">
        <v>35</v>
      </c>
      <c r="B62" t="s">
        <v>25</v>
      </c>
      <c r="C62" t="s">
        <v>15</v>
      </c>
      <c r="D62" s="10">
        <v>59.3</v>
      </c>
      <c r="E62" s="1">
        <v>45665</v>
      </c>
      <c r="F62" s="6" t="s">
        <v>16</v>
      </c>
      <c r="G62" s="11">
        <v>80</v>
      </c>
      <c r="H62" s="11">
        <v>2</v>
      </c>
      <c r="I62" t="str">
        <f t="shared" ref="I62:I87" si="6">TEXT(E62,"MMMM")</f>
        <v>enero</v>
      </c>
      <c r="J62" t="str">
        <f t="shared" ref="J62:J87" si="7">TEXT(E62,"DDDD")</f>
        <v>miércoles</v>
      </c>
    </row>
    <row r="63" spans="1:10" hidden="1" outlineLevel="2" x14ac:dyDescent="0.3">
      <c r="A63" s="3">
        <v>51</v>
      </c>
      <c r="B63" t="s">
        <v>29</v>
      </c>
      <c r="C63" t="s">
        <v>12</v>
      </c>
      <c r="D63" s="10">
        <v>82.6</v>
      </c>
      <c r="E63" s="1">
        <v>45685</v>
      </c>
      <c r="F63" s="6" t="s">
        <v>20</v>
      </c>
      <c r="G63" s="11">
        <v>100</v>
      </c>
      <c r="H63" s="11">
        <v>3</v>
      </c>
      <c r="I63" t="str">
        <f t="shared" si="6"/>
        <v>enero</v>
      </c>
      <c r="J63" t="str">
        <f t="shared" si="7"/>
        <v>martes</v>
      </c>
    </row>
    <row r="64" spans="1:10" hidden="1" outlineLevel="2" x14ac:dyDescent="0.3">
      <c r="A64" s="3">
        <v>89</v>
      </c>
      <c r="B64" t="s">
        <v>38</v>
      </c>
      <c r="C64" t="s">
        <v>12</v>
      </c>
      <c r="D64" s="10">
        <v>81.7</v>
      </c>
      <c r="E64" s="1">
        <v>45660</v>
      </c>
      <c r="F64" s="6" t="s">
        <v>20</v>
      </c>
      <c r="G64" s="11">
        <v>90</v>
      </c>
      <c r="H64" s="11">
        <v>2</v>
      </c>
      <c r="I64" t="str">
        <f t="shared" si="6"/>
        <v>enero</v>
      </c>
      <c r="J64" t="str">
        <f t="shared" si="7"/>
        <v>viernes</v>
      </c>
    </row>
    <row r="65" spans="1:10" hidden="1" outlineLevel="2" x14ac:dyDescent="0.3">
      <c r="A65" s="3">
        <v>153</v>
      </c>
      <c r="B65" t="s">
        <v>54</v>
      </c>
      <c r="C65" t="s">
        <v>12</v>
      </c>
      <c r="D65" s="10">
        <v>86.7</v>
      </c>
      <c r="E65" s="1">
        <v>45664</v>
      </c>
      <c r="F65" s="6" t="s">
        <v>13</v>
      </c>
      <c r="G65" s="11">
        <v>89</v>
      </c>
      <c r="H65" s="11">
        <v>2</v>
      </c>
      <c r="I65" t="str">
        <f t="shared" si="6"/>
        <v>enero</v>
      </c>
      <c r="J65" t="str">
        <f t="shared" si="7"/>
        <v>martes</v>
      </c>
    </row>
    <row r="66" spans="1:10" hidden="1" outlineLevel="2" x14ac:dyDescent="0.3">
      <c r="A66" s="3">
        <v>177</v>
      </c>
      <c r="B66" t="s">
        <v>60</v>
      </c>
      <c r="C66" t="s">
        <v>12</v>
      </c>
      <c r="D66" s="10">
        <v>94.2</v>
      </c>
      <c r="E66" s="1">
        <v>45673</v>
      </c>
      <c r="F66" s="6" t="s">
        <v>20</v>
      </c>
      <c r="G66" s="11">
        <v>100</v>
      </c>
      <c r="H66" s="11">
        <v>3</v>
      </c>
      <c r="I66" t="str">
        <f t="shared" si="6"/>
        <v>enero</v>
      </c>
      <c r="J66" t="str">
        <f t="shared" si="7"/>
        <v>jueves</v>
      </c>
    </row>
    <row r="67" spans="1:10" hidden="1" outlineLevel="2" x14ac:dyDescent="0.3">
      <c r="A67" s="3">
        <v>179</v>
      </c>
      <c r="B67" t="s">
        <v>62</v>
      </c>
      <c r="C67" t="s">
        <v>19</v>
      </c>
      <c r="D67" s="10">
        <v>71.400000000000006</v>
      </c>
      <c r="E67" s="1">
        <v>45667</v>
      </c>
      <c r="F67" s="6" t="s">
        <v>20</v>
      </c>
      <c r="G67" s="11">
        <v>45</v>
      </c>
      <c r="H67" s="11">
        <v>1</v>
      </c>
      <c r="I67" t="str">
        <f t="shared" si="6"/>
        <v>enero</v>
      </c>
      <c r="J67" t="str">
        <f t="shared" si="7"/>
        <v>viernes</v>
      </c>
    </row>
    <row r="68" spans="1:10" hidden="1" outlineLevel="2" x14ac:dyDescent="0.3">
      <c r="A68" s="3">
        <v>216</v>
      </c>
      <c r="B68" t="s">
        <v>67</v>
      </c>
      <c r="C68" t="s">
        <v>19</v>
      </c>
      <c r="D68" s="10">
        <v>65.099999999999994</v>
      </c>
      <c r="E68" s="1">
        <v>45678</v>
      </c>
      <c r="F68" s="6" t="s">
        <v>20</v>
      </c>
      <c r="G68" s="11">
        <v>88</v>
      </c>
      <c r="H68" s="11">
        <v>1</v>
      </c>
      <c r="I68" t="str">
        <f t="shared" si="6"/>
        <v>enero</v>
      </c>
      <c r="J68" t="str">
        <f t="shared" si="7"/>
        <v>martes</v>
      </c>
    </row>
    <row r="69" spans="1:10" hidden="1" outlineLevel="2" x14ac:dyDescent="0.3">
      <c r="A69" s="3">
        <v>227</v>
      </c>
      <c r="B69" t="s">
        <v>70</v>
      </c>
      <c r="C69" t="s">
        <v>24</v>
      </c>
      <c r="D69" s="10">
        <v>78.3</v>
      </c>
      <c r="E69" s="1">
        <v>45669</v>
      </c>
      <c r="F69" s="6" t="s">
        <v>16</v>
      </c>
      <c r="G69" s="11">
        <v>65</v>
      </c>
      <c r="H69" s="11">
        <v>2</v>
      </c>
      <c r="I69" t="str">
        <f t="shared" si="6"/>
        <v>enero</v>
      </c>
      <c r="J69" t="str">
        <f t="shared" si="7"/>
        <v>domingo</v>
      </c>
    </row>
    <row r="70" spans="1:10" hidden="1" outlineLevel="2" x14ac:dyDescent="0.3">
      <c r="A70" s="3">
        <v>242</v>
      </c>
      <c r="B70" t="s">
        <v>72</v>
      </c>
      <c r="C70" t="s">
        <v>9</v>
      </c>
      <c r="D70" s="10">
        <v>94.7</v>
      </c>
      <c r="E70" s="1">
        <v>45681</v>
      </c>
      <c r="F70" s="6" t="s">
        <v>22</v>
      </c>
      <c r="G70" s="11">
        <v>58</v>
      </c>
      <c r="H70" s="11">
        <v>3</v>
      </c>
      <c r="I70" t="str">
        <f t="shared" si="6"/>
        <v>enero</v>
      </c>
      <c r="J70" t="str">
        <f t="shared" si="7"/>
        <v>viernes</v>
      </c>
    </row>
    <row r="71" spans="1:10" hidden="1" outlineLevel="2" x14ac:dyDescent="0.3">
      <c r="A71" s="3">
        <v>244</v>
      </c>
      <c r="B71" t="s">
        <v>74</v>
      </c>
      <c r="C71" t="s">
        <v>12</v>
      </c>
      <c r="D71" s="10">
        <v>66.8</v>
      </c>
      <c r="E71" s="1">
        <v>45682</v>
      </c>
      <c r="F71" s="6" t="s">
        <v>13</v>
      </c>
      <c r="G71" s="11">
        <v>75</v>
      </c>
      <c r="H71" s="11">
        <v>3</v>
      </c>
      <c r="I71" t="str">
        <f t="shared" si="6"/>
        <v>enero</v>
      </c>
      <c r="J71" t="str">
        <f t="shared" si="7"/>
        <v>sábado</v>
      </c>
    </row>
    <row r="72" spans="1:10" hidden="1" outlineLevel="2" x14ac:dyDescent="0.3">
      <c r="A72" s="3">
        <v>292</v>
      </c>
      <c r="B72" t="s">
        <v>88</v>
      </c>
      <c r="C72" t="s">
        <v>19</v>
      </c>
      <c r="D72" s="10">
        <v>54.7</v>
      </c>
      <c r="E72" s="1">
        <v>45659</v>
      </c>
      <c r="F72" s="6" t="s">
        <v>20</v>
      </c>
      <c r="G72" s="11">
        <v>70</v>
      </c>
      <c r="H72" s="11">
        <v>3</v>
      </c>
      <c r="I72" t="str">
        <f t="shared" si="6"/>
        <v>enero</v>
      </c>
      <c r="J72" t="str">
        <f t="shared" si="7"/>
        <v>jueves</v>
      </c>
    </row>
    <row r="73" spans="1:10" hidden="1" outlineLevel="2" x14ac:dyDescent="0.3">
      <c r="A73" s="3">
        <v>300</v>
      </c>
      <c r="B73" t="s">
        <v>91</v>
      </c>
      <c r="C73" t="s">
        <v>19</v>
      </c>
      <c r="D73" s="10">
        <v>63.2</v>
      </c>
      <c r="E73" s="1">
        <v>45666</v>
      </c>
      <c r="F73" s="6" t="s">
        <v>16</v>
      </c>
      <c r="G73" s="11">
        <v>28</v>
      </c>
      <c r="H73" s="11">
        <v>1</v>
      </c>
      <c r="I73" t="str">
        <f t="shared" si="6"/>
        <v>enero</v>
      </c>
      <c r="J73" t="str">
        <f t="shared" si="7"/>
        <v>jueves</v>
      </c>
    </row>
    <row r="74" spans="1:10" hidden="1" outlineLevel="2" x14ac:dyDescent="0.3">
      <c r="A74" s="3">
        <v>324</v>
      </c>
      <c r="B74" t="s">
        <v>99</v>
      </c>
      <c r="C74" t="s">
        <v>12</v>
      </c>
      <c r="D74" s="10">
        <v>75.900000000000006</v>
      </c>
      <c r="E74" s="1">
        <v>45683</v>
      </c>
      <c r="F74" s="6" t="s">
        <v>20</v>
      </c>
      <c r="G74" s="11">
        <v>90</v>
      </c>
      <c r="H74" s="11">
        <v>2</v>
      </c>
      <c r="I74" t="str">
        <f t="shared" si="6"/>
        <v>enero</v>
      </c>
      <c r="J74" t="str">
        <f t="shared" si="7"/>
        <v>domingo</v>
      </c>
    </row>
    <row r="75" spans="1:10" hidden="1" outlineLevel="2" x14ac:dyDescent="0.3">
      <c r="A75" s="3">
        <v>327</v>
      </c>
      <c r="B75" t="s">
        <v>100</v>
      </c>
      <c r="C75" t="s">
        <v>15</v>
      </c>
      <c r="D75" s="10">
        <v>78.8</v>
      </c>
      <c r="E75" s="1">
        <v>45679</v>
      </c>
      <c r="F75" s="6" t="s">
        <v>16</v>
      </c>
      <c r="G75" s="11">
        <v>100</v>
      </c>
      <c r="H75" s="11">
        <v>1</v>
      </c>
      <c r="I75" t="str">
        <f t="shared" si="6"/>
        <v>enero</v>
      </c>
      <c r="J75" t="str">
        <f t="shared" si="7"/>
        <v>miércoles</v>
      </c>
    </row>
    <row r="76" spans="1:10" hidden="1" outlineLevel="2" x14ac:dyDescent="0.3">
      <c r="A76" s="3">
        <v>336</v>
      </c>
      <c r="B76" t="s">
        <v>103</v>
      </c>
      <c r="C76" t="s">
        <v>24</v>
      </c>
      <c r="D76" s="10">
        <v>81.599999999999994</v>
      </c>
      <c r="E76" s="1">
        <v>45685</v>
      </c>
      <c r="F76" s="6" t="s">
        <v>16</v>
      </c>
      <c r="G76" s="11">
        <v>90</v>
      </c>
      <c r="H76" s="11">
        <v>2</v>
      </c>
      <c r="I76" t="str">
        <f t="shared" si="6"/>
        <v>enero</v>
      </c>
      <c r="J76" t="str">
        <f t="shared" si="7"/>
        <v>martes</v>
      </c>
    </row>
    <row r="77" spans="1:10" hidden="1" outlineLevel="2" x14ac:dyDescent="0.3">
      <c r="A77" s="3">
        <v>446</v>
      </c>
      <c r="B77" t="s">
        <v>130</v>
      </c>
      <c r="C77" t="s">
        <v>9</v>
      </c>
      <c r="D77" s="10">
        <v>64.599999999999994</v>
      </c>
      <c r="E77" s="1">
        <v>45672</v>
      </c>
      <c r="F77" s="6" t="s">
        <v>10</v>
      </c>
      <c r="G77" s="11">
        <v>90</v>
      </c>
      <c r="H77" s="11">
        <v>2</v>
      </c>
      <c r="I77" t="str">
        <f t="shared" si="6"/>
        <v>enero</v>
      </c>
      <c r="J77" t="str">
        <f t="shared" si="7"/>
        <v>miércoles</v>
      </c>
    </row>
    <row r="78" spans="1:10" hidden="1" outlineLevel="2" x14ac:dyDescent="0.3">
      <c r="A78" s="3">
        <v>545</v>
      </c>
      <c r="B78" t="s">
        <v>155</v>
      </c>
      <c r="C78" t="s">
        <v>15</v>
      </c>
      <c r="D78" s="10">
        <v>85.3</v>
      </c>
      <c r="E78" s="1">
        <v>45685</v>
      </c>
      <c r="F78" s="6" t="s">
        <v>16</v>
      </c>
      <c r="G78" s="11">
        <v>100</v>
      </c>
      <c r="H78" s="11">
        <v>1</v>
      </c>
      <c r="I78" t="str">
        <f t="shared" si="6"/>
        <v>enero</v>
      </c>
      <c r="J78" t="str">
        <f t="shared" si="7"/>
        <v>martes</v>
      </c>
    </row>
    <row r="79" spans="1:10" hidden="1" outlineLevel="2" x14ac:dyDescent="0.3">
      <c r="A79" s="3">
        <v>569</v>
      </c>
      <c r="B79" t="s">
        <v>161</v>
      </c>
      <c r="C79" t="s">
        <v>9</v>
      </c>
      <c r="D79" s="10">
        <v>89.1</v>
      </c>
      <c r="E79" s="1">
        <v>45665</v>
      </c>
      <c r="F79" s="6" t="s">
        <v>22</v>
      </c>
      <c r="G79" s="11">
        <v>99</v>
      </c>
      <c r="H79" s="11">
        <v>1</v>
      </c>
      <c r="I79" t="str">
        <f t="shared" si="6"/>
        <v>enero</v>
      </c>
      <c r="J79" t="str">
        <f t="shared" si="7"/>
        <v>miércoles</v>
      </c>
    </row>
    <row r="80" spans="1:10" hidden="1" outlineLevel="2" x14ac:dyDescent="0.3">
      <c r="A80" s="3">
        <v>629</v>
      </c>
      <c r="B80" t="s">
        <v>170</v>
      </c>
      <c r="C80" t="s">
        <v>12</v>
      </c>
      <c r="D80" s="10">
        <v>91.7</v>
      </c>
      <c r="E80" s="1">
        <v>45687</v>
      </c>
      <c r="F80" s="6" t="s">
        <v>20</v>
      </c>
      <c r="G80" s="11">
        <v>0</v>
      </c>
      <c r="H80" s="11">
        <v>3</v>
      </c>
      <c r="I80" t="str">
        <f t="shared" si="6"/>
        <v>enero</v>
      </c>
      <c r="J80" t="str">
        <f t="shared" si="7"/>
        <v>jueves</v>
      </c>
    </row>
    <row r="81" spans="1:10" hidden="1" outlineLevel="2" x14ac:dyDescent="0.3">
      <c r="A81" s="3">
        <v>728</v>
      </c>
      <c r="B81" t="s">
        <v>189</v>
      </c>
      <c r="C81" t="s">
        <v>9</v>
      </c>
      <c r="D81" s="10">
        <v>96.8</v>
      </c>
      <c r="E81" s="1">
        <v>45660</v>
      </c>
      <c r="F81" s="6" t="s">
        <v>22</v>
      </c>
      <c r="G81" s="11">
        <v>76</v>
      </c>
      <c r="H81" s="11">
        <v>3</v>
      </c>
      <c r="I81" t="str">
        <f t="shared" si="6"/>
        <v>enero</v>
      </c>
      <c r="J81" t="str">
        <f t="shared" si="7"/>
        <v>viernes</v>
      </c>
    </row>
    <row r="82" spans="1:10" hidden="1" outlineLevel="2" x14ac:dyDescent="0.3">
      <c r="A82" s="3">
        <v>758</v>
      </c>
      <c r="B82" t="s">
        <v>196</v>
      </c>
      <c r="C82" t="s">
        <v>15</v>
      </c>
      <c r="D82" s="10">
        <v>51.5</v>
      </c>
      <c r="E82" s="1">
        <v>45673</v>
      </c>
      <c r="F82" s="6" t="s">
        <v>16</v>
      </c>
      <c r="G82" s="11">
        <v>71</v>
      </c>
      <c r="H82" s="11">
        <v>1</v>
      </c>
      <c r="I82" t="str">
        <f t="shared" si="6"/>
        <v>enero</v>
      </c>
      <c r="J82" t="str">
        <f t="shared" si="7"/>
        <v>jueves</v>
      </c>
    </row>
    <row r="83" spans="1:10" hidden="1" outlineLevel="2" x14ac:dyDescent="0.3">
      <c r="A83" s="3">
        <v>843</v>
      </c>
      <c r="B83" t="s">
        <v>214</v>
      </c>
      <c r="C83" t="s">
        <v>15</v>
      </c>
      <c r="D83" s="10">
        <v>81.599999999999994</v>
      </c>
      <c r="E83" s="1">
        <v>45673</v>
      </c>
      <c r="F83" s="6" t="s">
        <v>16</v>
      </c>
      <c r="G83" s="11">
        <v>64</v>
      </c>
      <c r="H83" s="11">
        <v>3</v>
      </c>
      <c r="I83" t="str">
        <f t="shared" si="6"/>
        <v>enero</v>
      </c>
      <c r="J83" t="str">
        <f t="shared" si="7"/>
        <v>jueves</v>
      </c>
    </row>
    <row r="84" spans="1:10" hidden="1" outlineLevel="2" x14ac:dyDescent="0.3">
      <c r="A84" s="3">
        <v>847</v>
      </c>
      <c r="B84" t="s">
        <v>215</v>
      </c>
      <c r="C84" t="s">
        <v>9</v>
      </c>
      <c r="D84" s="10">
        <v>59.3</v>
      </c>
      <c r="E84" s="1">
        <v>45662</v>
      </c>
      <c r="F84" s="6" t="s">
        <v>22</v>
      </c>
      <c r="G84" s="11">
        <v>3</v>
      </c>
      <c r="H84" s="11">
        <v>3</v>
      </c>
      <c r="I84" t="str">
        <f t="shared" si="6"/>
        <v>enero</v>
      </c>
      <c r="J84" t="str">
        <f t="shared" si="7"/>
        <v>domingo</v>
      </c>
    </row>
    <row r="85" spans="1:10" hidden="1" outlineLevel="2" x14ac:dyDescent="0.3">
      <c r="A85" s="3">
        <v>861</v>
      </c>
      <c r="B85" t="s">
        <v>220</v>
      </c>
      <c r="C85" t="s">
        <v>19</v>
      </c>
      <c r="D85" s="10">
        <v>56.4</v>
      </c>
      <c r="E85" s="1">
        <v>45664</v>
      </c>
      <c r="F85" s="6" t="s">
        <v>22</v>
      </c>
      <c r="G85" s="11">
        <v>97</v>
      </c>
      <c r="H85" s="11">
        <v>2</v>
      </c>
      <c r="I85" t="str">
        <f t="shared" si="6"/>
        <v>enero</v>
      </c>
      <c r="J85" t="str">
        <f t="shared" si="7"/>
        <v>martes</v>
      </c>
    </row>
    <row r="86" spans="1:10" hidden="1" outlineLevel="2" x14ac:dyDescent="0.3">
      <c r="A86" s="3">
        <v>870</v>
      </c>
      <c r="B86" t="s">
        <v>223</v>
      </c>
      <c r="C86" t="s">
        <v>19</v>
      </c>
      <c r="D86" s="10">
        <v>56.1</v>
      </c>
      <c r="E86" s="1">
        <v>45675</v>
      </c>
      <c r="F86" s="6" t="s">
        <v>20</v>
      </c>
      <c r="G86" s="11">
        <v>55</v>
      </c>
      <c r="H86" s="11">
        <v>3</v>
      </c>
      <c r="I86" t="str">
        <f t="shared" si="6"/>
        <v>enero</v>
      </c>
      <c r="J86" t="str">
        <f t="shared" si="7"/>
        <v>sábado</v>
      </c>
    </row>
    <row r="87" spans="1:10" hidden="1" outlineLevel="2" x14ac:dyDescent="0.3">
      <c r="A87" s="3">
        <v>904</v>
      </c>
      <c r="B87" t="s">
        <v>235</v>
      </c>
      <c r="C87" t="s">
        <v>12</v>
      </c>
      <c r="D87" s="10">
        <v>79.7</v>
      </c>
      <c r="E87" s="1">
        <v>45679</v>
      </c>
      <c r="F87" s="6" t="s">
        <v>20</v>
      </c>
      <c r="G87" s="11">
        <v>61</v>
      </c>
      <c r="H87" s="11">
        <v>1</v>
      </c>
      <c r="I87" t="str">
        <f t="shared" si="6"/>
        <v>enero</v>
      </c>
      <c r="J87" t="str">
        <f t="shared" si="7"/>
        <v>miércoles</v>
      </c>
    </row>
    <row r="88" spans="1:10" outlineLevel="1" collapsed="1" x14ac:dyDescent="0.3">
      <c r="A88" s="3"/>
      <c r="D88" s="10"/>
      <c r="H88" s="11">
        <f>SUBTOTAL(9,H62:H87)</f>
        <v>54</v>
      </c>
      <c r="I88" s="13" t="s">
        <v>259</v>
      </c>
    </row>
    <row r="89" spans="1:10" hidden="1" outlineLevel="2" x14ac:dyDescent="0.3">
      <c r="A89" s="3">
        <v>164</v>
      </c>
      <c r="B89" t="s">
        <v>57</v>
      </c>
      <c r="C89" t="s">
        <v>19</v>
      </c>
      <c r="D89" s="10">
        <v>99.1</v>
      </c>
      <c r="E89" s="1">
        <v>45708</v>
      </c>
      <c r="F89" s="6" t="s">
        <v>22</v>
      </c>
      <c r="G89" s="11">
        <v>92</v>
      </c>
      <c r="H89" s="11">
        <v>2</v>
      </c>
      <c r="I89" t="str">
        <f t="shared" ref="I89:I107" si="8">TEXT(E89,"MMMM")</f>
        <v>febrero</v>
      </c>
      <c r="J89" t="str">
        <f t="shared" ref="J89:J107" si="9">TEXT(E89,"DDDD")</f>
        <v>jueves</v>
      </c>
    </row>
    <row r="90" spans="1:10" hidden="1" outlineLevel="2" x14ac:dyDescent="0.3">
      <c r="A90" s="3">
        <v>213</v>
      </c>
      <c r="B90" t="s">
        <v>66</v>
      </c>
      <c r="C90" t="s">
        <v>12</v>
      </c>
      <c r="D90" s="10">
        <v>91.4</v>
      </c>
      <c r="E90" s="1">
        <v>45702</v>
      </c>
      <c r="F90" s="6" t="s">
        <v>20</v>
      </c>
      <c r="G90" s="11">
        <v>60</v>
      </c>
      <c r="H90" s="11">
        <v>3</v>
      </c>
      <c r="I90" t="str">
        <f t="shared" si="8"/>
        <v>febrero</v>
      </c>
      <c r="J90" t="str">
        <f t="shared" si="9"/>
        <v>viernes</v>
      </c>
    </row>
    <row r="91" spans="1:10" hidden="1" outlineLevel="2" x14ac:dyDescent="0.3">
      <c r="A91" s="3">
        <v>253</v>
      </c>
      <c r="B91" t="s">
        <v>76</v>
      </c>
      <c r="C91" t="s">
        <v>9</v>
      </c>
      <c r="D91" s="10">
        <v>62.3</v>
      </c>
      <c r="E91" s="1">
        <v>45692</v>
      </c>
      <c r="F91" s="6" t="s">
        <v>22</v>
      </c>
      <c r="G91" s="11">
        <v>35</v>
      </c>
      <c r="H91" s="11">
        <v>2</v>
      </c>
      <c r="I91" t="str">
        <f t="shared" si="8"/>
        <v>febrero</v>
      </c>
      <c r="J91" t="str">
        <f t="shared" si="9"/>
        <v>martes</v>
      </c>
    </row>
    <row r="92" spans="1:10" hidden="1" outlineLevel="2" x14ac:dyDescent="0.3">
      <c r="A92" s="3">
        <v>354</v>
      </c>
      <c r="B92" t="s">
        <v>106</v>
      </c>
      <c r="C92" t="s">
        <v>12</v>
      </c>
      <c r="D92" s="10">
        <v>69.7</v>
      </c>
      <c r="E92" s="1">
        <v>45706</v>
      </c>
      <c r="F92" s="6" t="s">
        <v>13</v>
      </c>
      <c r="G92" s="11">
        <v>70</v>
      </c>
      <c r="H92" s="11">
        <v>3</v>
      </c>
      <c r="I92" t="str">
        <f t="shared" si="8"/>
        <v>febrero</v>
      </c>
      <c r="J92" t="str">
        <f t="shared" si="9"/>
        <v>martes</v>
      </c>
    </row>
    <row r="93" spans="1:10" hidden="1" outlineLevel="2" x14ac:dyDescent="0.3">
      <c r="A93" s="3">
        <v>373</v>
      </c>
      <c r="B93" t="s">
        <v>109</v>
      </c>
      <c r="C93" t="s">
        <v>15</v>
      </c>
      <c r="D93" s="10">
        <v>62.8</v>
      </c>
      <c r="E93" s="1">
        <v>45696</v>
      </c>
      <c r="F93" s="6" t="s">
        <v>16</v>
      </c>
      <c r="G93" s="11">
        <v>0</v>
      </c>
      <c r="H93" s="11">
        <v>1</v>
      </c>
      <c r="I93" t="str">
        <f t="shared" si="8"/>
        <v>febrero</v>
      </c>
      <c r="J93" t="str">
        <f t="shared" si="9"/>
        <v>sábado</v>
      </c>
    </row>
    <row r="94" spans="1:10" hidden="1" outlineLevel="2" x14ac:dyDescent="0.3">
      <c r="A94" s="3">
        <v>435</v>
      </c>
      <c r="B94" t="s">
        <v>125</v>
      </c>
      <c r="C94" t="s">
        <v>15</v>
      </c>
      <c r="D94" s="10">
        <v>74.099999999999994</v>
      </c>
      <c r="E94" s="1">
        <v>45716</v>
      </c>
      <c r="F94" s="6" t="s">
        <v>16</v>
      </c>
      <c r="G94" s="11">
        <v>90</v>
      </c>
      <c r="H94" s="11">
        <v>2</v>
      </c>
      <c r="I94" t="str">
        <f t="shared" si="8"/>
        <v>febrero</v>
      </c>
      <c r="J94" t="str">
        <f t="shared" si="9"/>
        <v>viernes</v>
      </c>
    </row>
    <row r="95" spans="1:10" hidden="1" outlineLevel="2" x14ac:dyDescent="0.3">
      <c r="A95" s="3">
        <v>466</v>
      </c>
      <c r="B95" t="s">
        <v>132</v>
      </c>
      <c r="C95" t="s">
        <v>12</v>
      </c>
      <c r="D95" s="10">
        <v>53.7</v>
      </c>
      <c r="E95" s="1">
        <v>45712</v>
      </c>
      <c r="F95" s="6" t="s">
        <v>13</v>
      </c>
      <c r="G95" s="11">
        <v>96</v>
      </c>
      <c r="H95" s="11">
        <v>1</v>
      </c>
      <c r="I95" t="str">
        <f t="shared" si="8"/>
        <v>febrero</v>
      </c>
      <c r="J95" t="str">
        <f t="shared" si="9"/>
        <v>lunes</v>
      </c>
    </row>
    <row r="96" spans="1:10" hidden="1" outlineLevel="2" x14ac:dyDescent="0.3">
      <c r="A96" s="3">
        <v>469</v>
      </c>
      <c r="B96" t="s">
        <v>133</v>
      </c>
      <c r="C96" t="s">
        <v>12</v>
      </c>
      <c r="D96" s="10">
        <v>72.2</v>
      </c>
      <c r="E96" s="1">
        <v>45700</v>
      </c>
      <c r="F96" s="6" t="s">
        <v>20</v>
      </c>
      <c r="G96" s="11">
        <v>62</v>
      </c>
      <c r="H96" s="11">
        <v>1</v>
      </c>
      <c r="I96" t="str">
        <f t="shared" si="8"/>
        <v>febrero</v>
      </c>
      <c r="J96" t="str">
        <f t="shared" si="9"/>
        <v>miércoles</v>
      </c>
    </row>
    <row r="97" spans="1:10" hidden="1" outlineLevel="2" x14ac:dyDescent="0.3">
      <c r="A97" s="3">
        <v>483</v>
      </c>
      <c r="B97" t="s">
        <v>135</v>
      </c>
      <c r="C97" t="s">
        <v>19</v>
      </c>
      <c r="D97" s="10">
        <v>56.7</v>
      </c>
      <c r="E97" s="1">
        <v>45704</v>
      </c>
      <c r="F97" s="6" t="s">
        <v>20</v>
      </c>
      <c r="G97" s="11">
        <v>38</v>
      </c>
      <c r="H97" s="11">
        <v>3</v>
      </c>
      <c r="I97" t="str">
        <f t="shared" si="8"/>
        <v>febrero</v>
      </c>
      <c r="J97" t="str">
        <f t="shared" si="9"/>
        <v>domingo</v>
      </c>
    </row>
    <row r="98" spans="1:10" hidden="1" outlineLevel="2" x14ac:dyDescent="0.3">
      <c r="A98" s="3">
        <v>493</v>
      </c>
      <c r="B98" t="s">
        <v>138</v>
      </c>
      <c r="C98" t="s">
        <v>15</v>
      </c>
      <c r="D98" s="10">
        <v>98.9</v>
      </c>
      <c r="E98" s="1">
        <v>45705</v>
      </c>
      <c r="F98" s="6" t="s">
        <v>16</v>
      </c>
      <c r="G98" s="11">
        <v>40</v>
      </c>
      <c r="H98" s="11">
        <v>2</v>
      </c>
      <c r="I98" t="str">
        <f t="shared" si="8"/>
        <v>febrero</v>
      </c>
      <c r="J98" t="str">
        <f t="shared" si="9"/>
        <v>lunes</v>
      </c>
    </row>
    <row r="99" spans="1:10" hidden="1" outlineLevel="2" x14ac:dyDescent="0.3">
      <c r="A99" s="3">
        <v>621</v>
      </c>
      <c r="B99" t="s">
        <v>169</v>
      </c>
      <c r="C99" t="s">
        <v>12</v>
      </c>
      <c r="D99" s="10">
        <v>67</v>
      </c>
      <c r="E99" s="1">
        <v>45698</v>
      </c>
      <c r="F99" s="6" t="s">
        <v>20</v>
      </c>
      <c r="G99" s="11">
        <v>0</v>
      </c>
      <c r="H99" s="11">
        <v>2</v>
      </c>
      <c r="I99" t="str">
        <f t="shared" si="8"/>
        <v>febrero</v>
      </c>
      <c r="J99" t="str">
        <f t="shared" si="9"/>
        <v>lunes</v>
      </c>
    </row>
    <row r="100" spans="1:10" hidden="1" outlineLevel="2" x14ac:dyDescent="0.3">
      <c r="A100" s="3">
        <v>631</v>
      </c>
      <c r="B100" t="s">
        <v>171</v>
      </c>
      <c r="C100" t="s">
        <v>24</v>
      </c>
      <c r="D100" s="10">
        <v>81.5</v>
      </c>
      <c r="E100" s="1">
        <v>45710</v>
      </c>
      <c r="F100" s="6" t="s">
        <v>22</v>
      </c>
      <c r="G100" s="11">
        <v>86</v>
      </c>
      <c r="H100" s="11">
        <v>2</v>
      </c>
      <c r="I100" t="str">
        <f t="shared" si="8"/>
        <v>febrero</v>
      </c>
      <c r="J100" t="str">
        <f t="shared" si="9"/>
        <v>sábado</v>
      </c>
    </row>
    <row r="101" spans="1:10" hidden="1" outlineLevel="2" x14ac:dyDescent="0.3">
      <c r="A101" s="3">
        <v>712</v>
      </c>
      <c r="B101" t="s">
        <v>187</v>
      </c>
      <c r="C101" t="s">
        <v>24</v>
      </c>
      <c r="D101" s="10">
        <v>87.6</v>
      </c>
      <c r="E101" s="1">
        <v>45712</v>
      </c>
      <c r="F101" s="6" t="s">
        <v>22</v>
      </c>
      <c r="G101" s="11">
        <v>97</v>
      </c>
      <c r="H101" s="11">
        <v>1</v>
      </c>
      <c r="I101" t="str">
        <f t="shared" si="8"/>
        <v>febrero</v>
      </c>
      <c r="J101" t="str">
        <f t="shared" si="9"/>
        <v>lunes</v>
      </c>
    </row>
    <row r="102" spans="1:10" hidden="1" outlineLevel="2" x14ac:dyDescent="0.3">
      <c r="A102" s="3">
        <v>792</v>
      </c>
      <c r="B102" t="s">
        <v>203</v>
      </c>
      <c r="C102" t="s">
        <v>15</v>
      </c>
      <c r="D102" s="10">
        <v>98.4</v>
      </c>
      <c r="E102" s="1">
        <v>45690</v>
      </c>
      <c r="F102" s="6" t="s">
        <v>16</v>
      </c>
      <c r="G102" s="11">
        <v>97</v>
      </c>
      <c r="H102" s="11">
        <v>2</v>
      </c>
      <c r="I102" t="str">
        <f t="shared" si="8"/>
        <v>febrero</v>
      </c>
      <c r="J102" t="str">
        <f t="shared" si="9"/>
        <v>domingo</v>
      </c>
    </row>
    <row r="103" spans="1:10" hidden="1" outlineLevel="2" x14ac:dyDescent="0.3">
      <c r="A103" s="3">
        <v>798</v>
      </c>
      <c r="B103" t="s">
        <v>207</v>
      </c>
      <c r="C103" t="s">
        <v>24</v>
      </c>
      <c r="D103" s="10">
        <v>96</v>
      </c>
      <c r="E103" s="1">
        <v>45698</v>
      </c>
      <c r="F103" s="6" t="s">
        <v>16</v>
      </c>
      <c r="G103" s="11">
        <v>22</v>
      </c>
      <c r="H103" s="11">
        <v>2</v>
      </c>
      <c r="I103" t="str">
        <f t="shared" si="8"/>
        <v>febrero</v>
      </c>
      <c r="J103" t="str">
        <f t="shared" si="9"/>
        <v>lunes</v>
      </c>
    </row>
    <row r="104" spans="1:10" hidden="1" outlineLevel="2" x14ac:dyDescent="0.3">
      <c r="A104" s="3">
        <v>884</v>
      </c>
      <c r="B104" t="s">
        <v>227</v>
      </c>
      <c r="C104" t="s">
        <v>24</v>
      </c>
      <c r="D104" s="10">
        <v>70.3</v>
      </c>
      <c r="E104" s="1">
        <v>45703</v>
      </c>
      <c r="F104" s="6" t="s">
        <v>16</v>
      </c>
      <c r="G104" s="11">
        <v>100</v>
      </c>
      <c r="H104" s="11">
        <v>1</v>
      </c>
      <c r="I104" t="str">
        <f t="shared" si="8"/>
        <v>febrero</v>
      </c>
      <c r="J104" t="str">
        <f t="shared" si="9"/>
        <v>sábado</v>
      </c>
    </row>
    <row r="105" spans="1:10" hidden="1" outlineLevel="2" x14ac:dyDescent="0.3">
      <c r="A105" s="3">
        <v>920</v>
      </c>
      <c r="B105" t="s">
        <v>239</v>
      </c>
      <c r="C105" t="s">
        <v>12</v>
      </c>
      <c r="D105" s="10">
        <v>97.4</v>
      </c>
      <c r="E105" s="1">
        <v>45689</v>
      </c>
      <c r="F105" s="6" t="s">
        <v>13</v>
      </c>
      <c r="G105" s="11">
        <v>63</v>
      </c>
      <c r="H105" s="11">
        <v>1</v>
      </c>
      <c r="I105" t="str">
        <f t="shared" si="8"/>
        <v>febrero</v>
      </c>
      <c r="J105" t="str">
        <f t="shared" si="9"/>
        <v>sábado</v>
      </c>
    </row>
    <row r="106" spans="1:10" hidden="1" outlineLevel="2" x14ac:dyDescent="0.3">
      <c r="A106" s="3">
        <v>925</v>
      </c>
      <c r="B106" t="s">
        <v>240</v>
      </c>
      <c r="C106" t="s">
        <v>12</v>
      </c>
      <c r="D106" s="10">
        <v>75</v>
      </c>
      <c r="E106" s="1">
        <v>45698</v>
      </c>
      <c r="F106" s="6" t="s">
        <v>20</v>
      </c>
      <c r="G106" s="11">
        <v>38</v>
      </c>
      <c r="H106" s="11">
        <v>2</v>
      </c>
      <c r="I106" t="str">
        <f t="shared" si="8"/>
        <v>febrero</v>
      </c>
      <c r="J106" t="str">
        <f t="shared" si="9"/>
        <v>lunes</v>
      </c>
    </row>
    <row r="107" spans="1:10" hidden="1" outlineLevel="2" x14ac:dyDescent="0.3">
      <c r="A107" s="3">
        <v>945</v>
      </c>
      <c r="B107" t="s">
        <v>246</v>
      </c>
      <c r="C107" t="s">
        <v>15</v>
      </c>
      <c r="D107" s="10">
        <v>76.099999999999994</v>
      </c>
      <c r="E107" s="1">
        <v>45701</v>
      </c>
      <c r="F107" s="6" t="s">
        <v>16</v>
      </c>
      <c r="G107" s="11">
        <v>61</v>
      </c>
      <c r="H107" s="11">
        <v>3</v>
      </c>
      <c r="I107" t="str">
        <f t="shared" si="8"/>
        <v>febrero</v>
      </c>
      <c r="J107" t="str">
        <f t="shared" si="9"/>
        <v>jueves</v>
      </c>
    </row>
    <row r="108" spans="1:10" outlineLevel="1" collapsed="1" x14ac:dyDescent="0.3">
      <c r="A108" s="3"/>
      <c r="D108" s="10"/>
      <c r="H108" s="11">
        <f>SUBTOTAL(9,H89:H107)</f>
        <v>36</v>
      </c>
      <c r="I108" s="13" t="s">
        <v>260</v>
      </c>
    </row>
    <row r="109" spans="1:10" hidden="1" outlineLevel="2" x14ac:dyDescent="0.3">
      <c r="A109" s="3">
        <v>56</v>
      </c>
      <c r="B109" t="s">
        <v>30</v>
      </c>
      <c r="C109" t="s">
        <v>19</v>
      </c>
      <c r="D109" s="10">
        <v>60.6</v>
      </c>
      <c r="E109" s="1">
        <v>45840</v>
      </c>
      <c r="F109" s="6" t="s">
        <v>16</v>
      </c>
      <c r="G109" s="11">
        <v>54</v>
      </c>
      <c r="H109" s="11">
        <v>3</v>
      </c>
      <c r="I109" t="str">
        <f t="shared" ref="I109:I134" si="10">TEXT(E109,"MMMM")</f>
        <v>julio</v>
      </c>
      <c r="J109" t="str">
        <f t="shared" ref="J109:J134" si="11">TEXT(E109,"DDDD")</f>
        <v>miércoles</v>
      </c>
    </row>
    <row r="110" spans="1:10" hidden="1" outlineLevel="2" x14ac:dyDescent="0.3">
      <c r="A110" s="3">
        <v>63</v>
      </c>
      <c r="B110" t="s">
        <v>32</v>
      </c>
      <c r="C110" t="s">
        <v>15</v>
      </c>
      <c r="D110" s="10">
        <v>78.900000000000006</v>
      </c>
      <c r="E110" s="1">
        <v>45849</v>
      </c>
      <c r="F110" s="6" t="s">
        <v>16</v>
      </c>
      <c r="G110" s="11">
        <v>38</v>
      </c>
      <c r="H110" s="11">
        <v>3</v>
      </c>
      <c r="I110" t="str">
        <f t="shared" si="10"/>
        <v>julio</v>
      </c>
      <c r="J110" t="str">
        <f t="shared" si="11"/>
        <v>viernes</v>
      </c>
    </row>
    <row r="111" spans="1:10" hidden="1" outlineLevel="2" x14ac:dyDescent="0.3">
      <c r="A111" s="3">
        <v>113</v>
      </c>
      <c r="B111" t="s">
        <v>43</v>
      </c>
      <c r="C111" t="s">
        <v>9</v>
      </c>
      <c r="D111" s="10">
        <v>79.5</v>
      </c>
      <c r="E111" s="1">
        <v>45846</v>
      </c>
      <c r="F111" s="6" t="s">
        <v>22</v>
      </c>
      <c r="G111" s="11">
        <v>78</v>
      </c>
      <c r="H111" s="11">
        <v>3</v>
      </c>
      <c r="I111" t="str">
        <f t="shared" si="10"/>
        <v>julio</v>
      </c>
      <c r="J111" t="str">
        <f t="shared" si="11"/>
        <v>martes</v>
      </c>
    </row>
    <row r="112" spans="1:10" hidden="1" outlineLevel="2" x14ac:dyDescent="0.3">
      <c r="A112" s="3">
        <v>243</v>
      </c>
      <c r="B112" t="s">
        <v>73</v>
      </c>
      <c r="C112" t="s">
        <v>24</v>
      </c>
      <c r="D112" s="10">
        <v>73.7</v>
      </c>
      <c r="E112" s="1">
        <v>45864</v>
      </c>
      <c r="F112" s="6" t="s">
        <v>16</v>
      </c>
      <c r="G112" s="11">
        <v>100</v>
      </c>
      <c r="H112" s="11">
        <v>1</v>
      </c>
      <c r="I112" t="str">
        <f t="shared" si="10"/>
        <v>julio</v>
      </c>
      <c r="J112" t="str">
        <f t="shared" si="11"/>
        <v>sábado</v>
      </c>
    </row>
    <row r="113" spans="1:10" hidden="1" outlineLevel="2" x14ac:dyDescent="0.3">
      <c r="A113" s="3">
        <v>245</v>
      </c>
      <c r="B113" t="s">
        <v>75</v>
      </c>
      <c r="C113" t="s">
        <v>19</v>
      </c>
      <c r="D113" s="10">
        <v>59.6</v>
      </c>
      <c r="E113" s="1">
        <v>45849</v>
      </c>
      <c r="F113" s="6" t="s">
        <v>22</v>
      </c>
      <c r="G113" s="11">
        <v>52</v>
      </c>
      <c r="H113" s="11">
        <v>1</v>
      </c>
      <c r="I113" t="str">
        <f t="shared" si="10"/>
        <v>julio</v>
      </c>
      <c r="J113" t="str">
        <f t="shared" si="11"/>
        <v>viernes</v>
      </c>
    </row>
    <row r="114" spans="1:10" hidden="1" outlineLevel="2" x14ac:dyDescent="0.3">
      <c r="A114" s="3">
        <v>271</v>
      </c>
      <c r="B114" t="s">
        <v>82</v>
      </c>
      <c r="C114" t="s">
        <v>19</v>
      </c>
      <c r="D114" s="10">
        <v>93.8</v>
      </c>
      <c r="E114" s="1">
        <v>45858</v>
      </c>
      <c r="F114" s="6" t="s">
        <v>16</v>
      </c>
      <c r="G114" s="11">
        <v>88</v>
      </c>
      <c r="H114" s="11">
        <v>3</v>
      </c>
      <c r="I114" t="str">
        <f t="shared" si="10"/>
        <v>julio</v>
      </c>
      <c r="J114" t="str">
        <f t="shared" si="11"/>
        <v>domingo</v>
      </c>
    </row>
    <row r="115" spans="1:10" hidden="1" outlineLevel="2" x14ac:dyDescent="0.3">
      <c r="A115" s="3">
        <v>295</v>
      </c>
      <c r="B115" t="s">
        <v>89</v>
      </c>
      <c r="C115" t="s">
        <v>9</v>
      </c>
      <c r="D115" s="10">
        <v>98.1</v>
      </c>
      <c r="E115" s="1">
        <v>45846</v>
      </c>
      <c r="F115" s="6" t="s">
        <v>22</v>
      </c>
      <c r="G115" s="11">
        <v>24</v>
      </c>
      <c r="H115" s="11">
        <v>3</v>
      </c>
      <c r="I115" t="str">
        <f t="shared" si="10"/>
        <v>julio</v>
      </c>
      <c r="J115" t="str">
        <f t="shared" si="11"/>
        <v>martes</v>
      </c>
    </row>
    <row r="116" spans="1:10" hidden="1" outlineLevel="2" x14ac:dyDescent="0.3">
      <c r="A116" s="3">
        <v>316</v>
      </c>
      <c r="B116" t="s">
        <v>96</v>
      </c>
      <c r="C116" t="s">
        <v>19</v>
      </c>
      <c r="D116" s="10">
        <v>72.599999999999994</v>
      </c>
      <c r="E116" s="1">
        <v>45866</v>
      </c>
      <c r="F116" s="6" t="s">
        <v>20</v>
      </c>
      <c r="G116" s="11">
        <v>34</v>
      </c>
      <c r="H116" s="11">
        <v>1</v>
      </c>
      <c r="I116" t="str">
        <f t="shared" si="10"/>
        <v>julio</v>
      </c>
      <c r="J116" t="str">
        <f t="shared" si="11"/>
        <v>lunes</v>
      </c>
    </row>
    <row r="117" spans="1:10" hidden="1" outlineLevel="2" x14ac:dyDescent="0.3">
      <c r="A117" s="3">
        <v>318</v>
      </c>
      <c r="B117" t="s">
        <v>97</v>
      </c>
      <c r="C117" t="s">
        <v>9</v>
      </c>
      <c r="D117" s="10">
        <v>69.900000000000006</v>
      </c>
      <c r="E117" s="1">
        <v>45854</v>
      </c>
      <c r="F117" s="6" t="s">
        <v>22</v>
      </c>
      <c r="G117" s="11">
        <v>87</v>
      </c>
      <c r="H117" s="11">
        <v>1</v>
      </c>
      <c r="I117" t="str">
        <f t="shared" si="10"/>
        <v>julio</v>
      </c>
      <c r="J117" t="str">
        <f t="shared" si="11"/>
        <v>miércoles</v>
      </c>
    </row>
    <row r="118" spans="1:10" hidden="1" outlineLevel="2" x14ac:dyDescent="0.3">
      <c r="A118" s="3">
        <v>320</v>
      </c>
      <c r="B118" t="s">
        <v>98</v>
      </c>
      <c r="C118" t="s">
        <v>24</v>
      </c>
      <c r="D118" s="10">
        <v>83</v>
      </c>
      <c r="E118" s="1">
        <v>45841</v>
      </c>
      <c r="F118" s="6" t="s">
        <v>16</v>
      </c>
      <c r="G118" s="11">
        <v>93</v>
      </c>
      <c r="H118" s="11">
        <v>2</v>
      </c>
      <c r="I118" t="str">
        <f t="shared" si="10"/>
        <v>julio</v>
      </c>
      <c r="J118" t="str">
        <f t="shared" si="11"/>
        <v>jueves</v>
      </c>
    </row>
    <row r="119" spans="1:10" hidden="1" outlineLevel="2" x14ac:dyDescent="0.3">
      <c r="A119" s="3">
        <v>372</v>
      </c>
      <c r="B119" t="s">
        <v>108</v>
      </c>
      <c r="C119" t="s">
        <v>12</v>
      </c>
      <c r="D119" s="10">
        <v>97.2</v>
      </c>
      <c r="E119" s="1">
        <v>45843</v>
      </c>
      <c r="F119" s="6" t="s">
        <v>20</v>
      </c>
      <c r="G119" s="11">
        <v>100</v>
      </c>
      <c r="H119" s="11">
        <v>1</v>
      </c>
      <c r="I119" t="str">
        <f t="shared" si="10"/>
        <v>julio</v>
      </c>
      <c r="J119" t="str">
        <f t="shared" si="11"/>
        <v>sábado</v>
      </c>
    </row>
    <row r="120" spans="1:10" hidden="1" outlineLevel="2" x14ac:dyDescent="0.3">
      <c r="A120" s="3">
        <v>390</v>
      </c>
      <c r="B120" t="s">
        <v>114</v>
      </c>
      <c r="C120" t="s">
        <v>9</v>
      </c>
      <c r="D120" s="10">
        <v>86.2</v>
      </c>
      <c r="E120" s="1">
        <v>45846</v>
      </c>
      <c r="F120" s="6" t="s">
        <v>10</v>
      </c>
      <c r="G120" s="11">
        <v>39</v>
      </c>
      <c r="H120" s="11">
        <v>3</v>
      </c>
      <c r="I120" t="str">
        <f t="shared" si="10"/>
        <v>julio</v>
      </c>
      <c r="J120" t="str">
        <f t="shared" si="11"/>
        <v>martes</v>
      </c>
    </row>
    <row r="121" spans="1:10" hidden="1" outlineLevel="2" x14ac:dyDescent="0.3">
      <c r="A121" s="3">
        <v>403</v>
      </c>
      <c r="B121" t="s">
        <v>116</v>
      </c>
      <c r="C121" t="s">
        <v>9</v>
      </c>
      <c r="D121" s="10">
        <v>71.400000000000006</v>
      </c>
      <c r="E121" s="1">
        <v>45864</v>
      </c>
      <c r="F121" s="6" t="s">
        <v>10</v>
      </c>
      <c r="G121" s="11">
        <v>90</v>
      </c>
      <c r="H121" s="11">
        <v>2</v>
      </c>
      <c r="I121" t="str">
        <f t="shared" si="10"/>
        <v>julio</v>
      </c>
      <c r="J121" t="str">
        <f t="shared" si="11"/>
        <v>sábado</v>
      </c>
    </row>
    <row r="122" spans="1:10" hidden="1" outlineLevel="2" x14ac:dyDescent="0.3">
      <c r="A122" s="3">
        <v>404</v>
      </c>
      <c r="B122" t="s">
        <v>117</v>
      </c>
      <c r="C122" t="s">
        <v>9</v>
      </c>
      <c r="D122" s="10">
        <v>86.9</v>
      </c>
      <c r="E122" s="1">
        <v>45857</v>
      </c>
      <c r="F122" s="6" t="s">
        <v>10</v>
      </c>
      <c r="G122" s="11">
        <v>44</v>
      </c>
      <c r="H122" s="11">
        <v>1</v>
      </c>
      <c r="I122" t="str">
        <f t="shared" si="10"/>
        <v>julio</v>
      </c>
      <c r="J122" t="str">
        <f t="shared" si="11"/>
        <v>sábado</v>
      </c>
    </row>
    <row r="123" spans="1:10" hidden="1" outlineLevel="2" x14ac:dyDescent="0.3">
      <c r="A123" s="3">
        <v>438</v>
      </c>
      <c r="B123" t="s">
        <v>126</v>
      </c>
      <c r="C123" t="s">
        <v>24</v>
      </c>
      <c r="D123" s="10">
        <v>99.1</v>
      </c>
      <c r="E123" s="1">
        <v>45843</v>
      </c>
      <c r="F123" s="6" t="s">
        <v>16</v>
      </c>
      <c r="G123" s="11">
        <v>20</v>
      </c>
      <c r="H123" s="11">
        <v>3</v>
      </c>
      <c r="I123" t="str">
        <f t="shared" si="10"/>
        <v>julio</v>
      </c>
      <c r="J123" t="str">
        <f t="shared" si="11"/>
        <v>sábado</v>
      </c>
    </row>
    <row r="124" spans="1:10" hidden="1" outlineLevel="2" x14ac:dyDescent="0.3">
      <c r="A124" s="3">
        <v>439</v>
      </c>
      <c r="B124" t="s">
        <v>127</v>
      </c>
      <c r="C124" t="s">
        <v>9</v>
      </c>
      <c r="D124" s="10">
        <v>97.3</v>
      </c>
      <c r="E124" s="1">
        <v>45843</v>
      </c>
      <c r="F124" s="6" t="s">
        <v>22</v>
      </c>
      <c r="G124" s="11">
        <v>42</v>
      </c>
      <c r="H124" s="11">
        <v>3</v>
      </c>
      <c r="I124" t="str">
        <f t="shared" si="10"/>
        <v>julio</v>
      </c>
      <c r="J124" t="str">
        <f t="shared" si="11"/>
        <v>sábado</v>
      </c>
    </row>
    <row r="125" spans="1:10" hidden="1" outlineLevel="2" x14ac:dyDescent="0.3">
      <c r="A125" s="3">
        <v>520</v>
      </c>
      <c r="B125" t="s">
        <v>145</v>
      </c>
      <c r="C125" t="s">
        <v>12</v>
      </c>
      <c r="D125" s="10">
        <v>72.099999999999994</v>
      </c>
      <c r="E125" s="1">
        <v>45857</v>
      </c>
      <c r="F125" s="6" t="s">
        <v>20</v>
      </c>
      <c r="G125" s="11">
        <v>86</v>
      </c>
      <c r="H125" s="11">
        <v>3</v>
      </c>
      <c r="I125" t="str">
        <f t="shared" si="10"/>
        <v>julio</v>
      </c>
      <c r="J125" t="str">
        <f t="shared" si="11"/>
        <v>sábado</v>
      </c>
    </row>
    <row r="126" spans="1:10" hidden="1" outlineLevel="2" x14ac:dyDescent="0.3">
      <c r="A126" s="3">
        <v>522</v>
      </c>
      <c r="B126" t="s">
        <v>147</v>
      </c>
      <c r="C126" t="s">
        <v>24</v>
      </c>
      <c r="D126" s="10">
        <v>61.7</v>
      </c>
      <c r="E126" s="1">
        <v>45842</v>
      </c>
      <c r="F126" s="6" t="s">
        <v>16</v>
      </c>
      <c r="G126" s="11">
        <v>19</v>
      </c>
      <c r="H126" s="11">
        <v>3</v>
      </c>
      <c r="I126" t="str">
        <f t="shared" si="10"/>
        <v>julio</v>
      </c>
      <c r="J126" t="str">
        <f t="shared" si="11"/>
        <v>viernes</v>
      </c>
    </row>
    <row r="127" spans="1:10" hidden="1" outlineLevel="2" x14ac:dyDescent="0.3">
      <c r="A127" s="3">
        <v>613</v>
      </c>
      <c r="B127" t="s">
        <v>166</v>
      </c>
      <c r="C127" t="s">
        <v>9</v>
      </c>
      <c r="D127" s="10">
        <v>63</v>
      </c>
      <c r="E127" s="1">
        <v>45841</v>
      </c>
      <c r="F127" s="6" t="s">
        <v>22</v>
      </c>
      <c r="G127" s="11">
        <v>81</v>
      </c>
      <c r="H127" s="11">
        <v>2</v>
      </c>
      <c r="I127" t="str">
        <f t="shared" si="10"/>
        <v>julio</v>
      </c>
      <c r="J127" t="str">
        <f t="shared" si="11"/>
        <v>jueves</v>
      </c>
    </row>
    <row r="128" spans="1:10" hidden="1" outlineLevel="2" x14ac:dyDescent="0.3">
      <c r="A128" s="3">
        <v>675</v>
      </c>
      <c r="B128" t="s">
        <v>180</v>
      </c>
      <c r="C128" t="s">
        <v>15</v>
      </c>
      <c r="D128" s="10">
        <v>61.1</v>
      </c>
      <c r="E128" s="1">
        <v>45863</v>
      </c>
      <c r="F128" s="6" t="s">
        <v>16</v>
      </c>
      <c r="G128" s="11">
        <v>96</v>
      </c>
      <c r="H128" s="11">
        <v>1</v>
      </c>
      <c r="I128" t="str">
        <f t="shared" si="10"/>
        <v>julio</v>
      </c>
      <c r="J128" t="str">
        <f t="shared" si="11"/>
        <v>viernes</v>
      </c>
    </row>
    <row r="129" spans="1:10" hidden="1" outlineLevel="2" x14ac:dyDescent="0.3">
      <c r="A129" s="3">
        <v>750</v>
      </c>
      <c r="B129" t="s">
        <v>194</v>
      </c>
      <c r="C129" t="s">
        <v>12</v>
      </c>
      <c r="D129" s="10">
        <v>78.599999999999994</v>
      </c>
      <c r="E129" s="1">
        <v>45853</v>
      </c>
      <c r="F129" s="6" t="s">
        <v>13</v>
      </c>
      <c r="G129" s="11">
        <v>2</v>
      </c>
      <c r="H129" s="11">
        <v>3</v>
      </c>
      <c r="I129" t="str">
        <f t="shared" si="10"/>
        <v>julio</v>
      </c>
      <c r="J129" t="str">
        <f t="shared" si="11"/>
        <v>martes</v>
      </c>
    </row>
    <row r="130" spans="1:10" hidden="1" outlineLevel="2" x14ac:dyDescent="0.3">
      <c r="A130" s="3">
        <v>768</v>
      </c>
      <c r="B130" t="s">
        <v>198</v>
      </c>
      <c r="C130" t="s">
        <v>15</v>
      </c>
      <c r="D130" s="10">
        <v>62.2</v>
      </c>
      <c r="E130" s="1">
        <v>45849</v>
      </c>
      <c r="F130" s="6" t="s">
        <v>16</v>
      </c>
      <c r="G130" s="11">
        <v>62</v>
      </c>
      <c r="H130" s="11">
        <v>1</v>
      </c>
      <c r="I130" t="str">
        <f t="shared" si="10"/>
        <v>julio</v>
      </c>
      <c r="J130" t="str">
        <f t="shared" si="11"/>
        <v>viernes</v>
      </c>
    </row>
    <row r="131" spans="1:10" hidden="1" outlineLevel="2" x14ac:dyDescent="0.3">
      <c r="A131" s="3">
        <v>826</v>
      </c>
      <c r="B131" t="s">
        <v>212</v>
      </c>
      <c r="C131" t="s">
        <v>15</v>
      </c>
      <c r="D131" s="10">
        <v>94.4</v>
      </c>
      <c r="E131" s="1">
        <v>45842</v>
      </c>
      <c r="F131" s="6" t="s">
        <v>16</v>
      </c>
      <c r="G131" s="11">
        <v>32</v>
      </c>
      <c r="H131" s="11">
        <v>2</v>
      </c>
      <c r="I131" t="str">
        <f t="shared" si="10"/>
        <v>julio</v>
      </c>
      <c r="J131" t="str">
        <f t="shared" si="11"/>
        <v>viernes</v>
      </c>
    </row>
    <row r="132" spans="1:10" hidden="1" outlineLevel="2" x14ac:dyDescent="0.3">
      <c r="A132" s="3">
        <v>859</v>
      </c>
      <c r="B132" t="s">
        <v>219</v>
      </c>
      <c r="C132" t="s">
        <v>9</v>
      </c>
      <c r="D132" s="10">
        <v>76.8</v>
      </c>
      <c r="E132" s="1">
        <v>45857</v>
      </c>
      <c r="F132" s="6" t="s">
        <v>10</v>
      </c>
      <c r="G132" s="11">
        <v>71</v>
      </c>
      <c r="H132" s="11">
        <v>2</v>
      </c>
      <c r="I132" t="str">
        <f t="shared" si="10"/>
        <v>julio</v>
      </c>
      <c r="J132" t="str">
        <f t="shared" si="11"/>
        <v>sábado</v>
      </c>
    </row>
    <row r="133" spans="1:10" hidden="1" outlineLevel="2" x14ac:dyDescent="0.3">
      <c r="A133" s="3">
        <v>881</v>
      </c>
      <c r="B133" t="s">
        <v>225</v>
      </c>
      <c r="C133" t="s">
        <v>19</v>
      </c>
      <c r="D133" s="10">
        <v>88</v>
      </c>
      <c r="E133" s="1">
        <v>45856</v>
      </c>
      <c r="F133" s="6" t="s">
        <v>22</v>
      </c>
      <c r="G133" s="11">
        <v>51</v>
      </c>
      <c r="H133" s="11">
        <v>1</v>
      </c>
      <c r="I133" t="str">
        <f t="shared" si="10"/>
        <v>julio</v>
      </c>
      <c r="J133" t="str">
        <f t="shared" si="11"/>
        <v>viernes</v>
      </c>
    </row>
    <row r="134" spans="1:10" hidden="1" outlineLevel="2" x14ac:dyDescent="0.3">
      <c r="A134" s="3">
        <v>899</v>
      </c>
      <c r="B134" t="s">
        <v>233</v>
      </c>
      <c r="C134" t="s">
        <v>24</v>
      </c>
      <c r="D134" s="10">
        <v>75.5</v>
      </c>
      <c r="E134" s="1">
        <v>45860</v>
      </c>
      <c r="F134" s="6" t="s">
        <v>16</v>
      </c>
      <c r="G134" s="11">
        <v>57</v>
      </c>
      <c r="H134" s="11">
        <v>2</v>
      </c>
      <c r="I134" t="str">
        <f t="shared" si="10"/>
        <v>julio</v>
      </c>
      <c r="J134" t="str">
        <f t="shared" si="11"/>
        <v>martes</v>
      </c>
    </row>
    <row r="135" spans="1:10" outlineLevel="1" collapsed="1" x14ac:dyDescent="0.3">
      <c r="A135" s="3"/>
      <c r="D135" s="10"/>
      <c r="H135" s="11">
        <f>SUBTOTAL(9,H109:H134)</f>
        <v>54</v>
      </c>
      <c r="I135" s="13" t="s">
        <v>261</v>
      </c>
    </row>
    <row r="136" spans="1:10" hidden="1" outlineLevel="2" x14ac:dyDescent="0.3">
      <c r="A136" s="3">
        <v>81</v>
      </c>
      <c r="B136" t="s">
        <v>35</v>
      </c>
      <c r="C136" t="s">
        <v>19</v>
      </c>
      <c r="D136" s="10">
        <v>69.099999999999994</v>
      </c>
      <c r="E136" s="1">
        <v>45810</v>
      </c>
      <c r="F136" s="6" t="s">
        <v>16</v>
      </c>
      <c r="G136" s="11">
        <v>87</v>
      </c>
      <c r="H136" s="11">
        <v>2</v>
      </c>
      <c r="I136" t="str">
        <f t="shared" ref="I136:I152" si="12">TEXT(E136,"MMMM")</f>
        <v>junio</v>
      </c>
      <c r="J136" t="str">
        <f t="shared" ref="J136:J152" si="13">TEXT(E136,"DDDD")</f>
        <v>lunes</v>
      </c>
    </row>
    <row r="137" spans="1:10" hidden="1" outlineLevel="2" x14ac:dyDescent="0.3">
      <c r="A137" s="3">
        <v>97</v>
      </c>
      <c r="B137" t="s">
        <v>40</v>
      </c>
      <c r="C137" t="s">
        <v>24</v>
      </c>
      <c r="D137" s="10">
        <v>92.3</v>
      </c>
      <c r="E137" s="1">
        <v>45824</v>
      </c>
      <c r="F137" s="6" t="s">
        <v>16</v>
      </c>
      <c r="G137" s="11">
        <v>95</v>
      </c>
      <c r="H137" s="11">
        <v>1</v>
      </c>
      <c r="I137" t="str">
        <f t="shared" si="12"/>
        <v>junio</v>
      </c>
      <c r="J137" t="str">
        <f t="shared" si="13"/>
        <v>lunes</v>
      </c>
    </row>
    <row r="138" spans="1:10" hidden="1" outlineLevel="2" x14ac:dyDescent="0.3">
      <c r="A138" s="3">
        <v>100</v>
      </c>
      <c r="B138" t="s">
        <v>41</v>
      </c>
      <c r="C138" t="s">
        <v>12</v>
      </c>
      <c r="D138" s="10">
        <v>70.3</v>
      </c>
      <c r="E138" s="1">
        <v>45835</v>
      </c>
      <c r="F138" s="6" t="s">
        <v>20</v>
      </c>
      <c r="G138" s="11">
        <v>55</v>
      </c>
      <c r="H138" s="11">
        <v>1</v>
      </c>
      <c r="I138" t="str">
        <f t="shared" si="12"/>
        <v>junio</v>
      </c>
      <c r="J138" t="str">
        <f t="shared" si="13"/>
        <v>viernes</v>
      </c>
    </row>
    <row r="139" spans="1:10" hidden="1" outlineLevel="2" x14ac:dyDescent="0.3">
      <c r="A139" s="3">
        <v>179</v>
      </c>
      <c r="B139" t="s">
        <v>62</v>
      </c>
      <c r="C139" t="s">
        <v>24</v>
      </c>
      <c r="D139" s="10">
        <v>51.7</v>
      </c>
      <c r="E139" s="1">
        <v>45809</v>
      </c>
      <c r="F139" s="6" t="s">
        <v>16</v>
      </c>
      <c r="G139" s="11">
        <v>42</v>
      </c>
      <c r="H139" s="11">
        <v>1</v>
      </c>
      <c r="I139" t="str">
        <f t="shared" si="12"/>
        <v>junio</v>
      </c>
      <c r="J139" t="str">
        <f t="shared" si="13"/>
        <v>domingo</v>
      </c>
    </row>
    <row r="140" spans="1:10" hidden="1" outlineLevel="2" x14ac:dyDescent="0.3">
      <c r="A140" s="3">
        <v>414</v>
      </c>
      <c r="B140" t="s">
        <v>120</v>
      </c>
      <c r="C140" t="s">
        <v>19</v>
      </c>
      <c r="D140" s="10">
        <v>65.599999999999994</v>
      </c>
      <c r="E140" s="1">
        <v>45830</v>
      </c>
      <c r="F140" s="6" t="s">
        <v>20</v>
      </c>
      <c r="G140" s="11">
        <v>100</v>
      </c>
      <c r="H140" s="11">
        <v>1</v>
      </c>
      <c r="I140" t="str">
        <f t="shared" si="12"/>
        <v>junio</v>
      </c>
      <c r="J140" t="str">
        <f t="shared" si="13"/>
        <v>domingo</v>
      </c>
    </row>
    <row r="141" spans="1:10" hidden="1" outlineLevel="2" x14ac:dyDescent="0.3">
      <c r="A141" s="3">
        <v>521</v>
      </c>
      <c r="B141" t="s">
        <v>146</v>
      </c>
      <c r="C141" t="s">
        <v>9</v>
      </c>
      <c r="D141" s="10">
        <v>82.4</v>
      </c>
      <c r="E141" s="1">
        <v>45832</v>
      </c>
      <c r="F141" s="6" t="s">
        <v>22</v>
      </c>
      <c r="G141" s="11">
        <v>17</v>
      </c>
      <c r="H141" s="11">
        <v>3</v>
      </c>
      <c r="I141" t="str">
        <f t="shared" si="12"/>
        <v>junio</v>
      </c>
      <c r="J141" t="str">
        <f t="shared" si="13"/>
        <v>martes</v>
      </c>
    </row>
    <row r="142" spans="1:10" hidden="1" outlineLevel="2" x14ac:dyDescent="0.3">
      <c r="A142" s="3">
        <v>522</v>
      </c>
      <c r="B142" t="s">
        <v>147</v>
      </c>
      <c r="C142" t="s">
        <v>19</v>
      </c>
      <c r="D142" s="10">
        <v>97.7</v>
      </c>
      <c r="E142" s="1">
        <v>45821</v>
      </c>
      <c r="F142" s="6" t="s">
        <v>20</v>
      </c>
      <c r="G142" s="11">
        <v>89</v>
      </c>
      <c r="H142" s="11">
        <v>1</v>
      </c>
      <c r="I142" t="str">
        <f t="shared" si="12"/>
        <v>junio</v>
      </c>
      <c r="J142" t="str">
        <f t="shared" si="13"/>
        <v>viernes</v>
      </c>
    </row>
    <row r="143" spans="1:10" hidden="1" outlineLevel="2" x14ac:dyDescent="0.3">
      <c r="A143" s="3">
        <v>532</v>
      </c>
      <c r="B143" t="s">
        <v>150</v>
      </c>
      <c r="C143" t="s">
        <v>24</v>
      </c>
      <c r="D143" s="10">
        <v>65</v>
      </c>
      <c r="E143" s="1">
        <v>45827</v>
      </c>
      <c r="F143" s="6" t="s">
        <v>16</v>
      </c>
      <c r="G143" s="11">
        <v>36</v>
      </c>
      <c r="H143" s="11">
        <v>3</v>
      </c>
      <c r="I143" t="str">
        <f t="shared" si="12"/>
        <v>junio</v>
      </c>
      <c r="J143" t="str">
        <f t="shared" si="13"/>
        <v>jueves</v>
      </c>
    </row>
    <row r="144" spans="1:10" hidden="1" outlineLevel="2" x14ac:dyDescent="0.3">
      <c r="A144" s="3">
        <v>533</v>
      </c>
      <c r="B144" t="s">
        <v>151</v>
      </c>
      <c r="C144" t="s">
        <v>24</v>
      </c>
      <c r="D144" s="10">
        <v>53.8</v>
      </c>
      <c r="E144" s="1">
        <v>45812</v>
      </c>
      <c r="F144" s="6" t="s">
        <v>16</v>
      </c>
      <c r="G144" s="11">
        <v>8</v>
      </c>
      <c r="H144" s="11">
        <v>3</v>
      </c>
      <c r="I144" t="str">
        <f t="shared" si="12"/>
        <v>junio</v>
      </c>
      <c r="J144" t="str">
        <f t="shared" si="13"/>
        <v>miércoles</v>
      </c>
    </row>
    <row r="145" spans="1:10" hidden="1" outlineLevel="2" x14ac:dyDescent="0.3">
      <c r="A145" s="3">
        <v>647</v>
      </c>
      <c r="B145" t="s">
        <v>174</v>
      </c>
      <c r="C145" t="s">
        <v>12</v>
      </c>
      <c r="D145" s="10">
        <v>55.3</v>
      </c>
      <c r="E145" s="1">
        <v>45823</v>
      </c>
      <c r="F145" s="6" t="s">
        <v>13</v>
      </c>
      <c r="G145" s="11">
        <v>57</v>
      </c>
      <c r="H145" s="11">
        <v>2</v>
      </c>
      <c r="I145" t="str">
        <f t="shared" si="12"/>
        <v>junio</v>
      </c>
      <c r="J145" t="str">
        <f t="shared" si="13"/>
        <v>domingo</v>
      </c>
    </row>
    <row r="146" spans="1:10" hidden="1" outlineLevel="2" x14ac:dyDescent="0.3">
      <c r="A146" s="3">
        <v>667</v>
      </c>
      <c r="B146" t="s">
        <v>178</v>
      </c>
      <c r="C146" t="s">
        <v>15</v>
      </c>
      <c r="D146" s="10">
        <v>56</v>
      </c>
      <c r="E146" s="1">
        <v>45824</v>
      </c>
      <c r="F146" s="6" t="s">
        <v>16</v>
      </c>
      <c r="G146" s="11">
        <v>68</v>
      </c>
      <c r="H146" s="11">
        <v>2</v>
      </c>
      <c r="I146" t="str">
        <f t="shared" si="12"/>
        <v>junio</v>
      </c>
      <c r="J146" t="str">
        <f t="shared" si="13"/>
        <v>lunes</v>
      </c>
    </row>
    <row r="147" spans="1:10" hidden="1" outlineLevel="2" x14ac:dyDescent="0.3">
      <c r="A147" s="3">
        <v>729</v>
      </c>
      <c r="B147" t="s">
        <v>190</v>
      </c>
      <c r="C147" t="s">
        <v>12</v>
      </c>
      <c r="D147" s="10">
        <v>77.7</v>
      </c>
      <c r="E147" s="1">
        <v>45829</v>
      </c>
      <c r="F147" s="6" t="s">
        <v>13</v>
      </c>
      <c r="G147" s="11">
        <v>51</v>
      </c>
      <c r="H147" s="11">
        <v>1</v>
      </c>
      <c r="I147" t="str">
        <f t="shared" si="12"/>
        <v>junio</v>
      </c>
      <c r="J147" t="str">
        <f t="shared" si="13"/>
        <v>sábado</v>
      </c>
    </row>
    <row r="148" spans="1:10" hidden="1" outlineLevel="2" x14ac:dyDescent="0.3">
      <c r="A148" s="3">
        <v>754</v>
      </c>
      <c r="B148" t="s">
        <v>195</v>
      </c>
      <c r="C148" t="s">
        <v>24</v>
      </c>
      <c r="D148" s="10">
        <v>66.8</v>
      </c>
      <c r="E148" s="1">
        <v>45820</v>
      </c>
      <c r="F148" s="6" t="s">
        <v>16</v>
      </c>
      <c r="G148" s="11">
        <v>25</v>
      </c>
      <c r="H148" s="11">
        <v>1</v>
      </c>
      <c r="I148" t="str">
        <f t="shared" si="12"/>
        <v>junio</v>
      </c>
      <c r="J148" t="str">
        <f t="shared" si="13"/>
        <v>jueves</v>
      </c>
    </row>
    <row r="149" spans="1:10" hidden="1" outlineLevel="2" x14ac:dyDescent="0.3">
      <c r="A149" s="3">
        <v>786</v>
      </c>
      <c r="B149" t="s">
        <v>202</v>
      </c>
      <c r="C149" t="s">
        <v>12</v>
      </c>
      <c r="D149" s="10">
        <v>61.2</v>
      </c>
      <c r="E149" s="1">
        <v>45833</v>
      </c>
      <c r="F149" s="6" t="s">
        <v>20</v>
      </c>
      <c r="G149" s="11">
        <v>94</v>
      </c>
      <c r="H149" s="11">
        <v>3</v>
      </c>
      <c r="I149" t="str">
        <f t="shared" si="12"/>
        <v>junio</v>
      </c>
      <c r="J149" t="str">
        <f t="shared" si="13"/>
        <v>miércoles</v>
      </c>
    </row>
    <row r="150" spans="1:10" hidden="1" outlineLevel="2" x14ac:dyDescent="0.3">
      <c r="A150" s="3">
        <v>824</v>
      </c>
      <c r="B150" t="s">
        <v>211</v>
      </c>
      <c r="C150" t="s">
        <v>19</v>
      </c>
      <c r="D150" s="10">
        <v>90.2</v>
      </c>
      <c r="E150" s="1">
        <v>45817</v>
      </c>
      <c r="F150" s="6" t="s">
        <v>22</v>
      </c>
      <c r="G150" s="11">
        <v>2</v>
      </c>
      <c r="H150" s="11">
        <v>3</v>
      </c>
      <c r="I150" t="str">
        <f t="shared" si="12"/>
        <v>junio</v>
      </c>
      <c r="J150" t="str">
        <f t="shared" si="13"/>
        <v>lunes</v>
      </c>
    </row>
    <row r="151" spans="1:10" hidden="1" outlineLevel="2" x14ac:dyDescent="0.3">
      <c r="A151" s="3">
        <v>830</v>
      </c>
      <c r="B151" t="s">
        <v>213</v>
      </c>
      <c r="C151" t="s">
        <v>9</v>
      </c>
      <c r="D151" s="10">
        <v>72.2</v>
      </c>
      <c r="E151" s="1">
        <v>45821</v>
      </c>
      <c r="F151" s="6" t="s">
        <v>10</v>
      </c>
      <c r="G151" s="11">
        <v>52</v>
      </c>
      <c r="H151" s="11">
        <v>2</v>
      </c>
      <c r="I151" t="str">
        <f t="shared" si="12"/>
        <v>junio</v>
      </c>
      <c r="J151" t="str">
        <f t="shared" si="13"/>
        <v>viernes</v>
      </c>
    </row>
    <row r="152" spans="1:10" hidden="1" outlineLevel="2" x14ac:dyDescent="0.3">
      <c r="A152" s="3">
        <v>954</v>
      </c>
      <c r="B152" t="s">
        <v>247</v>
      </c>
      <c r="C152" t="s">
        <v>12</v>
      </c>
      <c r="D152" s="10">
        <v>62.4</v>
      </c>
      <c r="E152" s="1">
        <v>45835</v>
      </c>
      <c r="F152" s="6" t="s">
        <v>13</v>
      </c>
      <c r="G152" s="11">
        <v>70</v>
      </c>
      <c r="H152" s="11">
        <v>1</v>
      </c>
      <c r="I152" t="str">
        <f t="shared" si="12"/>
        <v>junio</v>
      </c>
      <c r="J152" t="str">
        <f t="shared" si="13"/>
        <v>viernes</v>
      </c>
    </row>
    <row r="153" spans="1:10" outlineLevel="1" collapsed="1" x14ac:dyDescent="0.3">
      <c r="A153" s="3"/>
      <c r="D153" s="10"/>
      <c r="H153" s="11">
        <f>SUBTOTAL(9,H136:H152)</f>
        <v>31</v>
      </c>
      <c r="I153" s="13" t="s">
        <v>262</v>
      </c>
    </row>
    <row r="154" spans="1:10" hidden="1" outlineLevel="2" x14ac:dyDescent="0.3">
      <c r="A154" s="3">
        <v>2</v>
      </c>
      <c r="B154" t="s">
        <v>8</v>
      </c>
      <c r="C154" t="s">
        <v>9</v>
      </c>
      <c r="D154" s="10">
        <v>92.7</v>
      </c>
      <c r="E154" s="1">
        <v>45735</v>
      </c>
      <c r="F154" s="6" t="s">
        <v>10</v>
      </c>
      <c r="G154" s="11">
        <v>49</v>
      </c>
      <c r="H154" s="11">
        <v>1</v>
      </c>
      <c r="I154" t="str">
        <f t="shared" ref="I154:I172" si="14">TEXT(E154,"MMMM")</f>
        <v>marzo</v>
      </c>
      <c r="J154" t="str">
        <f t="shared" ref="J154:J172" si="15">TEXT(E154,"DDDD")</f>
        <v>miércoles</v>
      </c>
    </row>
    <row r="155" spans="1:10" hidden="1" outlineLevel="2" x14ac:dyDescent="0.3">
      <c r="A155" s="3">
        <v>23</v>
      </c>
      <c r="B155" t="s">
        <v>17</v>
      </c>
      <c r="C155" t="s">
        <v>12</v>
      </c>
      <c r="D155" s="10">
        <v>85.3</v>
      </c>
      <c r="E155" s="1">
        <v>45739</v>
      </c>
      <c r="F155" s="6" t="s">
        <v>13</v>
      </c>
      <c r="G155" s="11">
        <v>100</v>
      </c>
      <c r="H155" s="11">
        <v>1</v>
      </c>
      <c r="I155" t="str">
        <f t="shared" si="14"/>
        <v>marzo</v>
      </c>
      <c r="J155" t="str">
        <f t="shared" si="15"/>
        <v>domingo</v>
      </c>
    </row>
    <row r="156" spans="1:10" hidden="1" outlineLevel="2" x14ac:dyDescent="0.3">
      <c r="A156" s="3">
        <v>131</v>
      </c>
      <c r="B156" t="s">
        <v>48</v>
      </c>
      <c r="C156" t="s">
        <v>24</v>
      </c>
      <c r="D156" s="10">
        <v>87.4</v>
      </c>
      <c r="E156" s="1">
        <v>45721</v>
      </c>
      <c r="F156" s="6" t="s">
        <v>16</v>
      </c>
      <c r="G156" s="11">
        <v>77</v>
      </c>
      <c r="H156" s="11">
        <v>1</v>
      </c>
      <c r="I156" t="str">
        <f t="shared" si="14"/>
        <v>marzo</v>
      </c>
      <c r="J156" t="str">
        <f t="shared" si="15"/>
        <v>miércoles</v>
      </c>
    </row>
    <row r="157" spans="1:10" hidden="1" outlineLevel="2" x14ac:dyDescent="0.3">
      <c r="A157" s="3">
        <v>165</v>
      </c>
      <c r="B157" t="s">
        <v>58</v>
      </c>
      <c r="C157" t="s">
        <v>19</v>
      </c>
      <c r="D157" s="10">
        <v>93.4</v>
      </c>
      <c r="E157" s="1">
        <v>45718</v>
      </c>
      <c r="F157" s="6" t="s">
        <v>22</v>
      </c>
      <c r="G157" s="11">
        <v>85</v>
      </c>
      <c r="H157" s="11">
        <v>3</v>
      </c>
      <c r="I157" t="str">
        <f t="shared" si="14"/>
        <v>marzo</v>
      </c>
      <c r="J157" t="str">
        <f t="shared" si="15"/>
        <v>domingo</v>
      </c>
    </row>
    <row r="158" spans="1:10" hidden="1" outlineLevel="2" x14ac:dyDescent="0.3">
      <c r="A158" s="3">
        <v>178</v>
      </c>
      <c r="B158" t="s">
        <v>61</v>
      </c>
      <c r="C158" t="s">
        <v>24</v>
      </c>
      <c r="D158" s="10">
        <v>95.5</v>
      </c>
      <c r="E158" s="1">
        <v>45746</v>
      </c>
      <c r="F158" s="6" t="s">
        <v>22</v>
      </c>
      <c r="G158" s="11">
        <v>62</v>
      </c>
      <c r="H158" s="11">
        <v>1</v>
      </c>
      <c r="I158" t="str">
        <f t="shared" si="14"/>
        <v>marzo</v>
      </c>
      <c r="J158" t="str">
        <f t="shared" si="15"/>
        <v>domingo</v>
      </c>
    </row>
    <row r="159" spans="1:10" hidden="1" outlineLevel="2" x14ac:dyDescent="0.3">
      <c r="A159" s="3">
        <v>287</v>
      </c>
      <c r="B159" t="s">
        <v>85</v>
      </c>
      <c r="C159" t="s">
        <v>15</v>
      </c>
      <c r="D159" s="10">
        <v>62</v>
      </c>
      <c r="E159" s="1">
        <v>45744</v>
      </c>
      <c r="F159" s="6" t="s">
        <v>16</v>
      </c>
      <c r="G159" s="11">
        <v>100</v>
      </c>
      <c r="H159" s="11">
        <v>1</v>
      </c>
      <c r="I159" t="str">
        <f t="shared" si="14"/>
        <v>marzo</v>
      </c>
      <c r="J159" t="str">
        <f t="shared" si="15"/>
        <v>viernes</v>
      </c>
    </row>
    <row r="160" spans="1:10" hidden="1" outlineLevel="2" x14ac:dyDescent="0.3">
      <c r="A160" s="3">
        <v>379</v>
      </c>
      <c r="B160" t="s">
        <v>111</v>
      </c>
      <c r="C160" t="s">
        <v>9</v>
      </c>
      <c r="D160" s="10">
        <v>91.7</v>
      </c>
      <c r="E160" s="1">
        <v>45739</v>
      </c>
      <c r="F160" s="6" t="s">
        <v>22</v>
      </c>
      <c r="G160" s="11">
        <v>46</v>
      </c>
      <c r="H160" s="11">
        <v>3</v>
      </c>
      <c r="I160" t="str">
        <f t="shared" si="14"/>
        <v>marzo</v>
      </c>
      <c r="J160" t="str">
        <f t="shared" si="15"/>
        <v>domingo</v>
      </c>
    </row>
    <row r="161" spans="1:10" hidden="1" outlineLevel="2" x14ac:dyDescent="0.3">
      <c r="A161" s="3">
        <v>458</v>
      </c>
      <c r="B161" t="s">
        <v>131</v>
      </c>
      <c r="C161" t="s">
        <v>15</v>
      </c>
      <c r="D161" s="10">
        <v>57.4</v>
      </c>
      <c r="E161" s="1">
        <v>45743</v>
      </c>
      <c r="F161" s="6" t="s">
        <v>16</v>
      </c>
      <c r="G161" s="11">
        <v>91</v>
      </c>
      <c r="H161" s="11">
        <v>1</v>
      </c>
      <c r="I161" t="str">
        <f t="shared" si="14"/>
        <v>marzo</v>
      </c>
      <c r="J161" t="str">
        <f t="shared" si="15"/>
        <v>jueves</v>
      </c>
    </row>
    <row r="162" spans="1:10" hidden="1" outlineLevel="2" x14ac:dyDescent="0.3">
      <c r="A162" s="3">
        <v>492</v>
      </c>
      <c r="B162" t="s">
        <v>137</v>
      </c>
      <c r="C162" t="s">
        <v>15</v>
      </c>
      <c r="D162" s="10">
        <v>52.8</v>
      </c>
      <c r="E162" s="1">
        <v>45732</v>
      </c>
      <c r="F162" s="6" t="s">
        <v>16</v>
      </c>
      <c r="G162" s="11">
        <v>81</v>
      </c>
      <c r="H162" s="11">
        <v>2</v>
      </c>
      <c r="I162" t="str">
        <f t="shared" si="14"/>
        <v>marzo</v>
      </c>
      <c r="J162" t="str">
        <f t="shared" si="15"/>
        <v>domingo</v>
      </c>
    </row>
    <row r="163" spans="1:10" hidden="1" outlineLevel="2" x14ac:dyDescent="0.3">
      <c r="A163" s="3">
        <v>550</v>
      </c>
      <c r="B163" t="s">
        <v>157</v>
      </c>
      <c r="C163" t="s">
        <v>15</v>
      </c>
      <c r="D163" s="10">
        <v>68.099999999999994</v>
      </c>
      <c r="E163" s="1">
        <v>45744</v>
      </c>
      <c r="F163" s="6" t="s">
        <v>16</v>
      </c>
      <c r="G163" s="11">
        <v>100</v>
      </c>
      <c r="H163" s="11">
        <v>1</v>
      </c>
      <c r="I163" t="str">
        <f t="shared" si="14"/>
        <v>marzo</v>
      </c>
      <c r="J163" t="str">
        <f t="shared" si="15"/>
        <v>viernes</v>
      </c>
    </row>
    <row r="164" spans="1:10" hidden="1" outlineLevel="2" x14ac:dyDescent="0.3">
      <c r="A164" s="3">
        <v>556</v>
      </c>
      <c r="B164" t="s">
        <v>158</v>
      </c>
      <c r="C164" t="s">
        <v>19</v>
      </c>
      <c r="D164" s="10">
        <v>91.6</v>
      </c>
      <c r="E164" s="1">
        <v>45737</v>
      </c>
      <c r="F164" s="6" t="s">
        <v>20</v>
      </c>
      <c r="G164" s="11">
        <v>97</v>
      </c>
      <c r="H164" s="11">
        <v>2</v>
      </c>
      <c r="I164" t="str">
        <f t="shared" si="14"/>
        <v>marzo</v>
      </c>
      <c r="J164" t="str">
        <f t="shared" si="15"/>
        <v>viernes</v>
      </c>
    </row>
    <row r="165" spans="1:10" hidden="1" outlineLevel="2" x14ac:dyDescent="0.3">
      <c r="A165" s="3">
        <v>696</v>
      </c>
      <c r="B165" t="s">
        <v>184</v>
      </c>
      <c r="C165" t="s">
        <v>24</v>
      </c>
      <c r="D165" s="10">
        <v>52.9</v>
      </c>
      <c r="E165" s="1">
        <v>45725</v>
      </c>
      <c r="F165" s="6" t="s">
        <v>22</v>
      </c>
      <c r="G165" s="11">
        <v>72</v>
      </c>
      <c r="H165" s="11">
        <v>3</v>
      </c>
      <c r="I165" t="str">
        <f t="shared" si="14"/>
        <v>marzo</v>
      </c>
      <c r="J165" t="str">
        <f t="shared" si="15"/>
        <v>domingo</v>
      </c>
    </row>
    <row r="166" spans="1:10" hidden="1" outlineLevel="2" x14ac:dyDescent="0.3">
      <c r="A166" s="3">
        <v>709</v>
      </c>
      <c r="B166" t="s">
        <v>186</v>
      </c>
      <c r="C166" t="s">
        <v>19</v>
      </c>
      <c r="D166" s="10">
        <v>52.5</v>
      </c>
      <c r="E166" s="1">
        <v>45717</v>
      </c>
      <c r="F166" s="6" t="s">
        <v>22</v>
      </c>
      <c r="G166" s="11">
        <v>39</v>
      </c>
      <c r="H166" s="11">
        <v>1</v>
      </c>
      <c r="I166" t="str">
        <f t="shared" si="14"/>
        <v>marzo</v>
      </c>
      <c r="J166" t="str">
        <f t="shared" si="15"/>
        <v>sábado</v>
      </c>
    </row>
    <row r="167" spans="1:10" hidden="1" outlineLevel="2" x14ac:dyDescent="0.3">
      <c r="A167" s="3">
        <v>731</v>
      </c>
      <c r="B167" t="s">
        <v>191</v>
      </c>
      <c r="C167" t="s">
        <v>9</v>
      </c>
      <c r="D167" s="10">
        <v>79.7</v>
      </c>
      <c r="E167" s="1">
        <v>45718</v>
      </c>
      <c r="F167" s="6" t="s">
        <v>22</v>
      </c>
      <c r="G167" s="11">
        <v>69</v>
      </c>
      <c r="H167" s="11">
        <v>1</v>
      </c>
      <c r="I167" t="str">
        <f t="shared" si="14"/>
        <v>marzo</v>
      </c>
      <c r="J167" t="str">
        <f t="shared" si="15"/>
        <v>domingo</v>
      </c>
    </row>
    <row r="168" spans="1:10" hidden="1" outlineLevel="2" x14ac:dyDescent="0.3">
      <c r="A168" s="3">
        <v>777</v>
      </c>
      <c r="B168" t="s">
        <v>200</v>
      </c>
      <c r="C168" t="s">
        <v>19</v>
      </c>
      <c r="D168" s="10">
        <v>80.8</v>
      </c>
      <c r="E168" s="1">
        <v>45746</v>
      </c>
      <c r="F168" s="6" t="s">
        <v>22</v>
      </c>
      <c r="G168" s="11">
        <v>63</v>
      </c>
      <c r="H168" s="11">
        <v>1</v>
      </c>
      <c r="I168" t="str">
        <f t="shared" si="14"/>
        <v>marzo</v>
      </c>
      <c r="J168" t="str">
        <f t="shared" si="15"/>
        <v>domingo</v>
      </c>
    </row>
    <row r="169" spans="1:10" hidden="1" outlineLevel="2" x14ac:dyDescent="0.3">
      <c r="A169" s="3">
        <v>815</v>
      </c>
      <c r="B169" t="s">
        <v>209</v>
      </c>
      <c r="C169" t="s">
        <v>12</v>
      </c>
      <c r="D169" s="10">
        <v>52.3</v>
      </c>
      <c r="E169" s="1">
        <v>45718</v>
      </c>
      <c r="F169" s="6" t="s">
        <v>13</v>
      </c>
      <c r="G169" s="11">
        <v>55</v>
      </c>
      <c r="H169" s="11">
        <v>2</v>
      </c>
      <c r="I169" t="str">
        <f t="shared" si="14"/>
        <v>marzo</v>
      </c>
      <c r="J169" t="str">
        <f t="shared" si="15"/>
        <v>domingo</v>
      </c>
    </row>
    <row r="170" spans="1:10" hidden="1" outlineLevel="2" x14ac:dyDescent="0.3">
      <c r="A170" s="3">
        <v>849</v>
      </c>
      <c r="B170" t="s">
        <v>217</v>
      </c>
      <c r="C170" t="s">
        <v>9</v>
      </c>
      <c r="D170" s="10">
        <v>73.8</v>
      </c>
      <c r="E170" s="1">
        <v>45726</v>
      </c>
      <c r="F170" s="6" t="s">
        <v>22</v>
      </c>
      <c r="G170" s="11">
        <v>19</v>
      </c>
      <c r="H170" s="11">
        <v>3</v>
      </c>
      <c r="I170" t="str">
        <f t="shared" si="14"/>
        <v>marzo</v>
      </c>
      <c r="J170" t="str">
        <f t="shared" si="15"/>
        <v>lunes</v>
      </c>
    </row>
    <row r="171" spans="1:10" hidden="1" outlineLevel="2" x14ac:dyDescent="0.3">
      <c r="A171" s="3">
        <v>894</v>
      </c>
      <c r="B171" t="s">
        <v>232</v>
      </c>
      <c r="C171" t="s">
        <v>9</v>
      </c>
      <c r="D171" s="10">
        <v>62.9</v>
      </c>
      <c r="E171" s="1">
        <v>45746</v>
      </c>
      <c r="F171" s="6" t="s">
        <v>22</v>
      </c>
      <c r="G171" s="11">
        <v>53</v>
      </c>
      <c r="H171" s="11">
        <v>2</v>
      </c>
      <c r="I171" t="str">
        <f t="shared" si="14"/>
        <v>marzo</v>
      </c>
      <c r="J171" t="str">
        <f t="shared" si="15"/>
        <v>domingo</v>
      </c>
    </row>
    <row r="172" spans="1:10" hidden="1" outlineLevel="2" x14ac:dyDescent="0.3">
      <c r="A172" s="3">
        <v>988</v>
      </c>
      <c r="B172" t="s">
        <v>251</v>
      </c>
      <c r="C172" t="s">
        <v>24</v>
      </c>
      <c r="D172" s="10">
        <v>86</v>
      </c>
      <c r="E172" s="1">
        <v>45718</v>
      </c>
      <c r="F172" s="6" t="s">
        <v>22</v>
      </c>
      <c r="G172" s="11">
        <v>51</v>
      </c>
      <c r="H172" s="11">
        <v>2</v>
      </c>
      <c r="I172" t="str">
        <f t="shared" si="14"/>
        <v>marzo</v>
      </c>
      <c r="J172" t="str">
        <f t="shared" si="15"/>
        <v>domingo</v>
      </c>
    </row>
    <row r="173" spans="1:10" outlineLevel="1" collapsed="1" x14ac:dyDescent="0.3">
      <c r="A173" s="3"/>
      <c r="D173" s="10"/>
      <c r="H173" s="11">
        <f>SUBTOTAL(9,H154:H172)</f>
        <v>32</v>
      </c>
      <c r="I173" s="13" t="s">
        <v>263</v>
      </c>
    </row>
    <row r="174" spans="1:10" hidden="1" outlineLevel="2" x14ac:dyDescent="0.3">
      <c r="A174" s="3">
        <v>6</v>
      </c>
      <c r="B174" t="s">
        <v>11</v>
      </c>
      <c r="C174" t="s">
        <v>12</v>
      </c>
      <c r="D174" s="10">
        <v>87.6</v>
      </c>
      <c r="E174" s="1">
        <v>45803</v>
      </c>
      <c r="F174" s="6" t="s">
        <v>13</v>
      </c>
      <c r="G174" s="11">
        <v>73</v>
      </c>
      <c r="H174" s="11">
        <v>1</v>
      </c>
      <c r="I174" t="str">
        <f t="shared" ref="I174:I194" si="16">TEXT(E174,"MMMM")</f>
        <v>mayo</v>
      </c>
      <c r="J174" t="str">
        <f t="shared" ref="J174:J194" si="17">TEXT(E174,"DDDD")</f>
        <v>lunes</v>
      </c>
    </row>
    <row r="175" spans="1:10" hidden="1" outlineLevel="2" x14ac:dyDescent="0.3">
      <c r="A175" s="3">
        <v>29</v>
      </c>
      <c r="B175" t="s">
        <v>21</v>
      </c>
      <c r="C175" t="s">
        <v>9</v>
      </c>
      <c r="D175" s="10">
        <v>51.5</v>
      </c>
      <c r="E175" s="1">
        <v>45788</v>
      </c>
      <c r="F175" s="6" t="s">
        <v>22</v>
      </c>
      <c r="G175" s="11">
        <v>72</v>
      </c>
      <c r="H175" s="11">
        <v>1</v>
      </c>
      <c r="I175" t="str">
        <f t="shared" si="16"/>
        <v>mayo</v>
      </c>
      <c r="J175" t="str">
        <f t="shared" si="17"/>
        <v>domingo</v>
      </c>
    </row>
    <row r="176" spans="1:10" hidden="1" outlineLevel="2" x14ac:dyDescent="0.3">
      <c r="A176" s="3">
        <v>146</v>
      </c>
      <c r="B176" t="s">
        <v>53</v>
      </c>
      <c r="C176" t="s">
        <v>9</v>
      </c>
      <c r="D176" s="10">
        <v>83.1</v>
      </c>
      <c r="E176" s="1">
        <v>45799</v>
      </c>
      <c r="F176" s="6" t="s">
        <v>22</v>
      </c>
      <c r="G176" s="11">
        <v>22</v>
      </c>
      <c r="H176" s="11">
        <v>2</v>
      </c>
      <c r="I176" t="str">
        <f t="shared" si="16"/>
        <v>mayo</v>
      </c>
      <c r="J176" t="str">
        <f t="shared" si="17"/>
        <v>jueves</v>
      </c>
    </row>
    <row r="177" spans="1:10" hidden="1" outlineLevel="2" x14ac:dyDescent="0.3">
      <c r="A177" s="3">
        <v>157</v>
      </c>
      <c r="B177" t="s">
        <v>55</v>
      </c>
      <c r="C177" t="s">
        <v>24</v>
      </c>
      <c r="D177" s="10">
        <v>70.2</v>
      </c>
      <c r="E177" s="1">
        <v>45780</v>
      </c>
      <c r="F177" s="6" t="s">
        <v>22</v>
      </c>
      <c r="G177" s="11">
        <v>100</v>
      </c>
      <c r="H177" s="11">
        <v>1</v>
      </c>
      <c r="I177" t="str">
        <f t="shared" si="16"/>
        <v>mayo</v>
      </c>
      <c r="J177" t="str">
        <f t="shared" si="17"/>
        <v>sábado</v>
      </c>
    </row>
    <row r="178" spans="1:10" hidden="1" outlineLevel="2" x14ac:dyDescent="0.3">
      <c r="A178" s="3">
        <v>235</v>
      </c>
      <c r="B178" t="s">
        <v>71</v>
      </c>
      <c r="C178" t="s">
        <v>9</v>
      </c>
      <c r="D178" s="10">
        <v>63.7</v>
      </c>
      <c r="E178" s="1">
        <v>45779</v>
      </c>
      <c r="F178" s="6" t="s">
        <v>22</v>
      </c>
      <c r="G178" s="11">
        <v>51</v>
      </c>
      <c r="H178" s="11">
        <v>3</v>
      </c>
      <c r="I178" t="str">
        <f t="shared" si="16"/>
        <v>mayo</v>
      </c>
      <c r="J178" t="str">
        <f t="shared" si="17"/>
        <v>viernes</v>
      </c>
    </row>
    <row r="179" spans="1:10" hidden="1" outlineLevel="2" x14ac:dyDescent="0.3">
      <c r="A179" s="3">
        <v>244</v>
      </c>
      <c r="B179" t="s">
        <v>74</v>
      </c>
      <c r="C179" t="s">
        <v>19</v>
      </c>
      <c r="D179" s="10">
        <v>99.3</v>
      </c>
      <c r="E179" s="1">
        <v>45808</v>
      </c>
      <c r="F179" s="6" t="s">
        <v>22</v>
      </c>
      <c r="G179" s="11">
        <v>83</v>
      </c>
      <c r="H179" s="11">
        <v>3</v>
      </c>
      <c r="I179" t="str">
        <f t="shared" si="16"/>
        <v>mayo</v>
      </c>
      <c r="J179" t="str">
        <f t="shared" si="17"/>
        <v>sábado</v>
      </c>
    </row>
    <row r="180" spans="1:10" hidden="1" outlineLevel="2" x14ac:dyDescent="0.3">
      <c r="A180" s="3">
        <v>291</v>
      </c>
      <c r="B180" t="s">
        <v>87</v>
      </c>
      <c r="C180" t="s">
        <v>19</v>
      </c>
      <c r="D180" s="10">
        <v>70.599999999999994</v>
      </c>
      <c r="E180" s="1">
        <v>45806</v>
      </c>
      <c r="F180" s="6" t="s">
        <v>16</v>
      </c>
      <c r="G180" s="11">
        <v>12</v>
      </c>
      <c r="H180" s="11">
        <v>3</v>
      </c>
      <c r="I180" t="str">
        <f t="shared" si="16"/>
        <v>mayo</v>
      </c>
      <c r="J180" t="str">
        <f t="shared" si="17"/>
        <v>jueves</v>
      </c>
    </row>
    <row r="181" spans="1:10" hidden="1" outlineLevel="2" x14ac:dyDescent="0.3">
      <c r="A181" s="3">
        <v>296</v>
      </c>
      <c r="B181" t="s">
        <v>90</v>
      </c>
      <c r="C181" t="s">
        <v>24</v>
      </c>
      <c r="D181" s="10">
        <v>86.6</v>
      </c>
      <c r="E181" s="1">
        <v>45803</v>
      </c>
      <c r="F181" s="6" t="s">
        <v>22</v>
      </c>
      <c r="G181" s="11">
        <v>65</v>
      </c>
      <c r="H181" s="11">
        <v>3</v>
      </c>
      <c r="I181" t="str">
        <f t="shared" si="16"/>
        <v>mayo</v>
      </c>
      <c r="J181" t="str">
        <f t="shared" si="17"/>
        <v>lunes</v>
      </c>
    </row>
    <row r="182" spans="1:10" hidden="1" outlineLevel="2" x14ac:dyDescent="0.3">
      <c r="A182" s="3">
        <v>306</v>
      </c>
      <c r="B182" t="s">
        <v>92</v>
      </c>
      <c r="C182" t="s">
        <v>24</v>
      </c>
      <c r="D182" s="10">
        <v>72.8</v>
      </c>
      <c r="E182" s="1">
        <v>45779</v>
      </c>
      <c r="F182" s="6" t="s">
        <v>16</v>
      </c>
      <c r="G182" s="11">
        <v>90</v>
      </c>
      <c r="H182" s="11">
        <v>2</v>
      </c>
      <c r="I182" t="str">
        <f t="shared" si="16"/>
        <v>mayo</v>
      </c>
      <c r="J182" t="str">
        <f t="shared" si="17"/>
        <v>viernes</v>
      </c>
    </row>
    <row r="183" spans="1:10" hidden="1" outlineLevel="2" x14ac:dyDescent="0.3">
      <c r="A183" s="3">
        <v>309</v>
      </c>
      <c r="B183" t="s">
        <v>93</v>
      </c>
      <c r="C183" t="s">
        <v>15</v>
      </c>
      <c r="D183" s="10">
        <v>75</v>
      </c>
      <c r="E183" s="1">
        <v>45785</v>
      </c>
      <c r="F183" s="6" t="s">
        <v>16</v>
      </c>
      <c r="G183" s="11">
        <v>63</v>
      </c>
      <c r="H183" s="11">
        <v>3</v>
      </c>
      <c r="I183" t="str">
        <f t="shared" si="16"/>
        <v>mayo</v>
      </c>
      <c r="J183" t="str">
        <f t="shared" si="17"/>
        <v>jueves</v>
      </c>
    </row>
    <row r="184" spans="1:10" hidden="1" outlineLevel="2" x14ac:dyDescent="0.3">
      <c r="A184" s="3">
        <v>413</v>
      </c>
      <c r="B184" t="s">
        <v>119</v>
      </c>
      <c r="C184" t="s">
        <v>19</v>
      </c>
      <c r="D184" s="10">
        <v>75.8</v>
      </c>
      <c r="E184" s="1">
        <v>45784</v>
      </c>
      <c r="F184" s="6" t="s">
        <v>16</v>
      </c>
      <c r="G184" s="11">
        <v>65</v>
      </c>
      <c r="H184" s="11">
        <v>2</v>
      </c>
      <c r="I184" t="str">
        <f t="shared" si="16"/>
        <v>mayo</v>
      </c>
      <c r="J184" t="str">
        <f t="shared" si="17"/>
        <v>miércoles</v>
      </c>
    </row>
    <row r="185" spans="1:10" hidden="1" outlineLevel="2" x14ac:dyDescent="0.3">
      <c r="A185" s="3">
        <v>434</v>
      </c>
      <c r="B185" t="s">
        <v>124</v>
      </c>
      <c r="C185" t="s">
        <v>12</v>
      </c>
      <c r="D185" s="10">
        <v>70.400000000000006</v>
      </c>
      <c r="E185" s="1">
        <v>45805</v>
      </c>
      <c r="F185" s="6" t="s">
        <v>20</v>
      </c>
      <c r="G185" s="11">
        <v>72</v>
      </c>
      <c r="H185" s="11">
        <v>3</v>
      </c>
      <c r="I185" t="str">
        <f t="shared" si="16"/>
        <v>mayo</v>
      </c>
      <c r="J185" t="str">
        <f t="shared" si="17"/>
        <v>miércoles</v>
      </c>
    </row>
    <row r="186" spans="1:10" hidden="1" outlineLevel="2" x14ac:dyDescent="0.3">
      <c r="A186" s="3">
        <v>504</v>
      </c>
      <c r="B186" t="s">
        <v>140</v>
      </c>
      <c r="C186" t="s">
        <v>24</v>
      </c>
      <c r="D186" s="10">
        <v>57.2</v>
      </c>
      <c r="E186" s="1">
        <v>45792</v>
      </c>
      <c r="F186" s="6" t="s">
        <v>16</v>
      </c>
      <c r="G186" s="11">
        <v>92</v>
      </c>
      <c r="H186" s="11">
        <v>2</v>
      </c>
      <c r="I186" t="str">
        <f t="shared" si="16"/>
        <v>mayo</v>
      </c>
      <c r="J186" t="str">
        <f t="shared" si="17"/>
        <v>jueves</v>
      </c>
    </row>
    <row r="187" spans="1:10" hidden="1" outlineLevel="2" x14ac:dyDescent="0.3">
      <c r="A187" s="3">
        <v>509</v>
      </c>
      <c r="B187" t="s">
        <v>142</v>
      </c>
      <c r="C187" t="s">
        <v>15</v>
      </c>
      <c r="D187" s="10">
        <v>73.900000000000006</v>
      </c>
      <c r="E187" s="1">
        <v>45788</v>
      </c>
      <c r="F187" s="6" t="s">
        <v>16</v>
      </c>
      <c r="G187" s="11">
        <v>22</v>
      </c>
      <c r="H187" s="11">
        <v>3</v>
      </c>
      <c r="I187" t="str">
        <f t="shared" si="16"/>
        <v>mayo</v>
      </c>
      <c r="J187" t="str">
        <f t="shared" si="17"/>
        <v>domingo</v>
      </c>
    </row>
    <row r="188" spans="1:10" hidden="1" outlineLevel="2" x14ac:dyDescent="0.3">
      <c r="A188" s="3">
        <v>618</v>
      </c>
      <c r="B188" t="s">
        <v>167</v>
      </c>
      <c r="C188" t="s">
        <v>15</v>
      </c>
      <c r="D188" s="10">
        <v>66.400000000000006</v>
      </c>
      <c r="E188" s="1">
        <v>45806</v>
      </c>
      <c r="F188" s="6" t="s">
        <v>16</v>
      </c>
      <c r="G188" s="11">
        <v>68</v>
      </c>
      <c r="H188" s="11">
        <v>1</v>
      </c>
      <c r="I188" t="str">
        <f t="shared" si="16"/>
        <v>mayo</v>
      </c>
      <c r="J188" t="str">
        <f t="shared" si="17"/>
        <v>jueves</v>
      </c>
    </row>
    <row r="189" spans="1:10" hidden="1" outlineLevel="2" x14ac:dyDescent="0.3">
      <c r="A189" s="3">
        <v>620</v>
      </c>
      <c r="B189" t="s">
        <v>168</v>
      </c>
      <c r="C189" t="s">
        <v>12</v>
      </c>
      <c r="D189" s="10">
        <v>94.8</v>
      </c>
      <c r="E189" s="1">
        <v>45802</v>
      </c>
      <c r="F189" s="6" t="s">
        <v>20</v>
      </c>
      <c r="G189" s="11">
        <v>2</v>
      </c>
      <c r="H189" s="11">
        <v>3</v>
      </c>
      <c r="I189" t="str">
        <f t="shared" si="16"/>
        <v>mayo</v>
      </c>
      <c r="J189" t="str">
        <f t="shared" si="17"/>
        <v>domingo</v>
      </c>
    </row>
    <row r="190" spans="1:10" hidden="1" outlineLevel="2" x14ac:dyDescent="0.3">
      <c r="A190" s="3">
        <v>794</v>
      </c>
      <c r="B190" t="s">
        <v>205</v>
      </c>
      <c r="C190" t="s">
        <v>12</v>
      </c>
      <c r="D190" s="10">
        <v>75.8</v>
      </c>
      <c r="E190" s="1">
        <v>45799</v>
      </c>
      <c r="F190" s="6" t="s">
        <v>20</v>
      </c>
      <c r="G190" s="11">
        <v>97</v>
      </c>
      <c r="H190" s="11">
        <v>2</v>
      </c>
      <c r="I190" t="str">
        <f t="shared" si="16"/>
        <v>mayo</v>
      </c>
      <c r="J190" t="str">
        <f t="shared" si="17"/>
        <v>jueves</v>
      </c>
    </row>
    <row r="191" spans="1:10" hidden="1" outlineLevel="2" x14ac:dyDescent="0.3">
      <c r="A191" s="3">
        <v>820</v>
      </c>
      <c r="B191" t="s">
        <v>210</v>
      </c>
      <c r="C191" t="s">
        <v>24</v>
      </c>
      <c r="D191" s="10">
        <v>98.4</v>
      </c>
      <c r="E191" s="1">
        <v>45796</v>
      </c>
      <c r="F191" s="6" t="s">
        <v>16</v>
      </c>
      <c r="G191" s="11">
        <v>97</v>
      </c>
      <c r="H191" s="11">
        <v>2</v>
      </c>
      <c r="I191" t="str">
        <f t="shared" si="16"/>
        <v>mayo</v>
      </c>
      <c r="J191" t="str">
        <f t="shared" si="17"/>
        <v>lunes</v>
      </c>
    </row>
    <row r="192" spans="1:10" hidden="1" outlineLevel="2" x14ac:dyDescent="0.3">
      <c r="A192" s="3">
        <v>868</v>
      </c>
      <c r="B192" t="s">
        <v>222</v>
      </c>
      <c r="C192" t="s">
        <v>19</v>
      </c>
      <c r="D192" s="10">
        <v>50.8</v>
      </c>
      <c r="E192" s="1">
        <v>45780</v>
      </c>
      <c r="F192" s="6" t="s">
        <v>20</v>
      </c>
      <c r="G192" s="11">
        <v>81</v>
      </c>
      <c r="H192" s="11">
        <v>2</v>
      </c>
      <c r="I192" t="str">
        <f t="shared" si="16"/>
        <v>mayo</v>
      </c>
      <c r="J192" t="str">
        <f t="shared" si="17"/>
        <v>sábado</v>
      </c>
    </row>
    <row r="193" spans="1:10" hidden="1" outlineLevel="2" x14ac:dyDescent="0.3">
      <c r="A193" s="3">
        <v>971</v>
      </c>
      <c r="B193" t="s">
        <v>249</v>
      </c>
      <c r="C193" t="s">
        <v>19</v>
      </c>
      <c r="D193" s="10">
        <v>90.5</v>
      </c>
      <c r="E193" s="1">
        <v>45794</v>
      </c>
      <c r="F193" s="6" t="s">
        <v>22</v>
      </c>
      <c r="G193" s="11">
        <v>100</v>
      </c>
      <c r="H193" s="11">
        <v>1</v>
      </c>
      <c r="I193" t="str">
        <f t="shared" si="16"/>
        <v>mayo</v>
      </c>
      <c r="J193" t="str">
        <f t="shared" si="17"/>
        <v>sábado</v>
      </c>
    </row>
    <row r="194" spans="1:10" hidden="1" outlineLevel="2" x14ac:dyDescent="0.3">
      <c r="A194" s="3">
        <v>983</v>
      </c>
      <c r="B194" t="s">
        <v>250</v>
      </c>
      <c r="C194" t="s">
        <v>12</v>
      </c>
      <c r="D194" s="10">
        <v>65.900000000000006</v>
      </c>
      <c r="E194" s="1">
        <v>45788</v>
      </c>
      <c r="F194" s="6" t="s">
        <v>13</v>
      </c>
      <c r="G194" s="11">
        <v>27</v>
      </c>
      <c r="H194" s="11">
        <v>2</v>
      </c>
      <c r="I194" t="str">
        <f t="shared" si="16"/>
        <v>mayo</v>
      </c>
      <c r="J194" t="str">
        <f t="shared" si="17"/>
        <v>domingo</v>
      </c>
    </row>
    <row r="195" spans="1:10" outlineLevel="1" collapsed="1" x14ac:dyDescent="0.3">
      <c r="A195" s="3"/>
      <c r="D195" s="10"/>
      <c r="H195" s="11">
        <f>SUBTOTAL(9,H174:H194)</f>
        <v>45</v>
      </c>
      <c r="I195" s="13" t="s">
        <v>264</v>
      </c>
    </row>
    <row r="196" spans="1:10" hidden="1" outlineLevel="2" x14ac:dyDescent="0.3">
      <c r="A196" s="3">
        <v>25</v>
      </c>
      <c r="B196" t="s">
        <v>18</v>
      </c>
      <c r="C196" t="s">
        <v>12</v>
      </c>
      <c r="D196" s="10">
        <v>83.5</v>
      </c>
      <c r="E196" s="1">
        <v>45963</v>
      </c>
      <c r="F196" s="6" t="s">
        <v>13</v>
      </c>
      <c r="G196" s="11">
        <v>26</v>
      </c>
      <c r="H196" s="11">
        <v>3</v>
      </c>
      <c r="I196" t="str">
        <f t="shared" ref="I196:I215" si="18">TEXT(E196,"MMMM")</f>
        <v>noviembre</v>
      </c>
      <c r="J196" t="str">
        <f t="shared" ref="J196:J215" si="19">TEXT(E196,"DDDD")</f>
        <v>domingo</v>
      </c>
    </row>
    <row r="197" spans="1:10" hidden="1" outlineLevel="2" x14ac:dyDescent="0.3">
      <c r="A197" s="3">
        <v>25</v>
      </c>
      <c r="B197" t="s">
        <v>18</v>
      </c>
      <c r="C197" t="s">
        <v>19</v>
      </c>
      <c r="D197" s="10">
        <v>69.3</v>
      </c>
      <c r="E197" s="1">
        <v>45970</v>
      </c>
      <c r="F197" s="6" t="s">
        <v>20</v>
      </c>
      <c r="G197" s="11">
        <v>41</v>
      </c>
      <c r="H197" s="11">
        <v>2</v>
      </c>
      <c r="I197" t="str">
        <f t="shared" si="18"/>
        <v>noviembre</v>
      </c>
      <c r="J197" t="str">
        <f t="shared" si="19"/>
        <v>domingo</v>
      </c>
    </row>
    <row r="198" spans="1:10" hidden="1" outlineLevel="2" x14ac:dyDescent="0.3">
      <c r="A198" s="3">
        <v>115</v>
      </c>
      <c r="B198" t="s">
        <v>44</v>
      </c>
      <c r="C198" t="s">
        <v>19</v>
      </c>
      <c r="D198" s="10">
        <v>82.6</v>
      </c>
      <c r="E198" s="1">
        <v>45987</v>
      </c>
      <c r="F198" s="6" t="s">
        <v>20</v>
      </c>
      <c r="G198" s="11">
        <v>42</v>
      </c>
      <c r="H198" s="11">
        <v>3</v>
      </c>
      <c r="I198" t="str">
        <f t="shared" si="18"/>
        <v>noviembre</v>
      </c>
      <c r="J198" t="str">
        <f t="shared" si="19"/>
        <v>miércoles</v>
      </c>
    </row>
    <row r="199" spans="1:10" hidden="1" outlineLevel="2" x14ac:dyDescent="0.3">
      <c r="A199" s="3">
        <v>174</v>
      </c>
      <c r="B199" t="s">
        <v>59</v>
      </c>
      <c r="C199" t="s">
        <v>9</v>
      </c>
      <c r="D199" s="10">
        <v>83.4</v>
      </c>
      <c r="E199" s="1">
        <v>45963</v>
      </c>
      <c r="F199" s="6" t="s">
        <v>10</v>
      </c>
      <c r="G199" s="11">
        <v>14</v>
      </c>
      <c r="H199" s="11">
        <v>3</v>
      </c>
      <c r="I199" t="str">
        <f t="shared" si="18"/>
        <v>noviembre</v>
      </c>
      <c r="J199" t="str">
        <f t="shared" si="19"/>
        <v>domingo</v>
      </c>
    </row>
    <row r="200" spans="1:10" hidden="1" outlineLevel="2" x14ac:dyDescent="0.3">
      <c r="A200" s="3">
        <v>208</v>
      </c>
      <c r="B200" t="s">
        <v>65</v>
      </c>
      <c r="C200" t="s">
        <v>12</v>
      </c>
      <c r="D200" s="10">
        <v>89.9</v>
      </c>
      <c r="E200" s="1">
        <v>45983</v>
      </c>
      <c r="F200" s="6" t="s">
        <v>13</v>
      </c>
      <c r="G200" s="11">
        <v>22</v>
      </c>
      <c r="H200" s="11">
        <v>3</v>
      </c>
      <c r="I200" t="str">
        <f t="shared" si="18"/>
        <v>noviembre</v>
      </c>
      <c r="J200" t="str">
        <f t="shared" si="19"/>
        <v>sábado</v>
      </c>
    </row>
    <row r="201" spans="1:10" hidden="1" outlineLevel="2" x14ac:dyDescent="0.3">
      <c r="A201" s="3">
        <v>310</v>
      </c>
      <c r="B201" t="s">
        <v>94</v>
      </c>
      <c r="C201" t="s">
        <v>19</v>
      </c>
      <c r="D201" s="10">
        <v>57.7</v>
      </c>
      <c r="E201" s="1">
        <v>45970</v>
      </c>
      <c r="F201" s="6" t="s">
        <v>16</v>
      </c>
      <c r="G201" s="11">
        <v>100</v>
      </c>
      <c r="H201" s="11">
        <v>1</v>
      </c>
      <c r="I201" t="str">
        <f t="shared" si="18"/>
        <v>noviembre</v>
      </c>
      <c r="J201" t="str">
        <f t="shared" si="19"/>
        <v>domingo</v>
      </c>
    </row>
    <row r="202" spans="1:10" hidden="1" outlineLevel="2" x14ac:dyDescent="0.3">
      <c r="A202" s="3">
        <v>513</v>
      </c>
      <c r="B202" t="s">
        <v>144</v>
      </c>
      <c r="C202" t="s">
        <v>19</v>
      </c>
      <c r="D202" s="10">
        <v>64.7</v>
      </c>
      <c r="E202" s="1">
        <v>45991</v>
      </c>
      <c r="F202" s="6" t="s">
        <v>16</v>
      </c>
      <c r="G202" s="11">
        <v>44</v>
      </c>
      <c r="H202" s="11">
        <v>1</v>
      </c>
      <c r="I202" t="str">
        <f t="shared" si="18"/>
        <v>noviembre</v>
      </c>
      <c r="J202" t="str">
        <f t="shared" si="19"/>
        <v>domingo</v>
      </c>
    </row>
    <row r="203" spans="1:10" hidden="1" outlineLevel="2" x14ac:dyDescent="0.3">
      <c r="A203" s="3">
        <v>561</v>
      </c>
      <c r="B203" t="s">
        <v>160</v>
      </c>
      <c r="C203" t="s">
        <v>19</v>
      </c>
      <c r="D203" s="10">
        <v>82.6</v>
      </c>
      <c r="E203" s="1">
        <v>45972</v>
      </c>
      <c r="F203" s="6" t="s">
        <v>20</v>
      </c>
      <c r="G203" s="11">
        <v>87</v>
      </c>
      <c r="H203" s="11">
        <v>1</v>
      </c>
      <c r="I203" t="str">
        <f t="shared" si="18"/>
        <v>noviembre</v>
      </c>
      <c r="J203" t="str">
        <f t="shared" si="19"/>
        <v>martes</v>
      </c>
    </row>
    <row r="204" spans="1:10" hidden="1" outlineLevel="2" x14ac:dyDescent="0.3">
      <c r="A204" s="3">
        <v>582</v>
      </c>
      <c r="B204" t="s">
        <v>162</v>
      </c>
      <c r="C204" t="s">
        <v>12</v>
      </c>
      <c r="D204" s="10">
        <v>52</v>
      </c>
      <c r="E204" s="1">
        <v>45973</v>
      </c>
      <c r="F204" s="6" t="s">
        <v>13</v>
      </c>
      <c r="G204" s="11">
        <v>73</v>
      </c>
      <c r="H204" s="11">
        <v>2</v>
      </c>
      <c r="I204" t="str">
        <f t="shared" si="18"/>
        <v>noviembre</v>
      </c>
      <c r="J204" t="str">
        <f t="shared" si="19"/>
        <v>miércoles</v>
      </c>
    </row>
    <row r="205" spans="1:10" hidden="1" outlineLevel="2" x14ac:dyDescent="0.3">
      <c r="A205" s="3">
        <v>601</v>
      </c>
      <c r="B205" t="s">
        <v>164</v>
      </c>
      <c r="C205" t="s">
        <v>24</v>
      </c>
      <c r="D205" s="10">
        <v>83.5</v>
      </c>
      <c r="E205" s="1">
        <v>45976</v>
      </c>
      <c r="F205" s="6" t="s">
        <v>22</v>
      </c>
      <c r="G205" s="11">
        <v>89</v>
      </c>
      <c r="H205" s="11">
        <v>3</v>
      </c>
      <c r="I205" t="str">
        <f t="shared" si="18"/>
        <v>noviembre</v>
      </c>
      <c r="J205" t="str">
        <f t="shared" si="19"/>
        <v>sábado</v>
      </c>
    </row>
    <row r="206" spans="1:10" hidden="1" outlineLevel="2" x14ac:dyDescent="0.3">
      <c r="A206" s="3">
        <v>659</v>
      </c>
      <c r="B206" t="s">
        <v>177</v>
      </c>
      <c r="C206" t="s">
        <v>9</v>
      </c>
      <c r="D206" s="10">
        <v>98.3</v>
      </c>
      <c r="E206" s="1">
        <v>45986</v>
      </c>
      <c r="F206" s="6" t="s">
        <v>22</v>
      </c>
      <c r="G206" s="11">
        <v>97</v>
      </c>
      <c r="H206" s="11">
        <v>2</v>
      </c>
      <c r="I206" t="str">
        <f t="shared" si="18"/>
        <v>noviembre</v>
      </c>
      <c r="J206" t="str">
        <f t="shared" si="19"/>
        <v>martes</v>
      </c>
    </row>
    <row r="207" spans="1:10" hidden="1" outlineLevel="2" x14ac:dyDescent="0.3">
      <c r="A207" s="3">
        <v>673</v>
      </c>
      <c r="B207" t="s">
        <v>179</v>
      </c>
      <c r="C207" t="s">
        <v>15</v>
      </c>
      <c r="D207" s="10">
        <v>97.2</v>
      </c>
      <c r="E207" s="1">
        <v>45977</v>
      </c>
      <c r="F207" s="6" t="s">
        <v>16</v>
      </c>
      <c r="G207" s="11">
        <v>88</v>
      </c>
      <c r="H207" s="11">
        <v>1</v>
      </c>
      <c r="I207" t="str">
        <f t="shared" si="18"/>
        <v>noviembre</v>
      </c>
      <c r="J207" t="str">
        <f t="shared" si="19"/>
        <v>domingo</v>
      </c>
    </row>
    <row r="208" spans="1:10" hidden="1" outlineLevel="2" x14ac:dyDescent="0.3">
      <c r="A208" s="3">
        <v>716</v>
      </c>
      <c r="B208" t="s">
        <v>188</v>
      </c>
      <c r="C208" t="s">
        <v>19</v>
      </c>
      <c r="D208" s="10">
        <v>90.1</v>
      </c>
      <c r="E208" s="1">
        <v>45979</v>
      </c>
      <c r="F208" s="6" t="s">
        <v>20</v>
      </c>
      <c r="G208" s="11">
        <v>62</v>
      </c>
      <c r="H208" s="11">
        <v>1</v>
      </c>
      <c r="I208" t="str">
        <f t="shared" si="18"/>
        <v>noviembre</v>
      </c>
      <c r="J208" t="str">
        <f t="shared" si="19"/>
        <v>martes</v>
      </c>
    </row>
    <row r="209" spans="1:10" hidden="1" outlineLevel="2" x14ac:dyDescent="0.3">
      <c r="A209" s="3">
        <v>851</v>
      </c>
      <c r="B209" t="s">
        <v>218</v>
      </c>
      <c r="C209" t="s">
        <v>9</v>
      </c>
      <c r="D209" s="10">
        <v>99</v>
      </c>
      <c r="E209" s="1">
        <v>45965</v>
      </c>
      <c r="F209" s="6" t="s">
        <v>22</v>
      </c>
      <c r="G209" s="11">
        <v>49</v>
      </c>
      <c r="H209" s="11">
        <v>1</v>
      </c>
      <c r="I209" t="str">
        <f t="shared" si="18"/>
        <v>noviembre</v>
      </c>
      <c r="J209" t="str">
        <f t="shared" si="19"/>
        <v>martes</v>
      </c>
    </row>
    <row r="210" spans="1:10" hidden="1" outlineLevel="2" x14ac:dyDescent="0.3">
      <c r="A210" s="3">
        <v>886</v>
      </c>
      <c r="B210" t="s">
        <v>228</v>
      </c>
      <c r="C210" t="s">
        <v>24</v>
      </c>
      <c r="D210" s="10">
        <v>99.1</v>
      </c>
      <c r="E210" s="1">
        <v>45968</v>
      </c>
      <c r="F210" s="6" t="s">
        <v>22</v>
      </c>
      <c r="G210" s="11">
        <v>59</v>
      </c>
      <c r="H210" s="11">
        <v>1</v>
      </c>
      <c r="I210" t="str">
        <f t="shared" si="18"/>
        <v>noviembre</v>
      </c>
      <c r="J210" t="str">
        <f t="shared" si="19"/>
        <v>viernes</v>
      </c>
    </row>
    <row r="211" spans="1:10" hidden="1" outlineLevel="2" x14ac:dyDescent="0.3">
      <c r="A211" s="3">
        <v>894</v>
      </c>
      <c r="B211" t="s">
        <v>232</v>
      </c>
      <c r="C211" t="s">
        <v>15</v>
      </c>
      <c r="D211" s="10">
        <v>76.5</v>
      </c>
      <c r="E211" s="1">
        <v>45966</v>
      </c>
      <c r="F211" s="6" t="s">
        <v>16</v>
      </c>
      <c r="G211" s="11">
        <v>97</v>
      </c>
      <c r="H211" s="11">
        <v>2</v>
      </c>
      <c r="I211" t="str">
        <f t="shared" si="18"/>
        <v>noviembre</v>
      </c>
      <c r="J211" t="str">
        <f t="shared" si="19"/>
        <v>miércoles</v>
      </c>
    </row>
    <row r="212" spans="1:10" hidden="1" outlineLevel="2" x14ac:dyDescent="0.3">
      <c r="A212" s="3">
        <v>903</v>
      </c>
      <c r="B212" t="s">
        <v>234</v>
      </c>
      <c r="C212" t="s">
        <v>12</v>
      </c>
      <c r="D212" s="10">
        <v>89.8</v>
      </c>
      <c r="E212" s="1">
        <v>45962</v>
      </c>
      <c r="F212" s="6" t="s">
        <v>13</v>
      </c>
      <c r="G212" s="11">
        <v>71</v>
      </c>
      <c r="H212" s="11">
        <v>1</v>
      </c>
      <c r="I212" t="str">
        <f t="shared" si="18"/>
        <v>noviembre</v>
      </c>
      <c r="J212" t="str">
        <f t="shared" si="19"/>
        <v>sábado</v>
      </c>
    </row>
    <row r="213" spans="1:10" hidden="1" outlineLevel="2" x14ac:dyDescent="0.3">
      <c r="A213" s="3">
        <v>929</v>
      </c>
      <c r="B213" t="s">
        <v>242</v>
      </c>
      <c r="C213" t="s">
        <v>9</v>
      </c>
      <c r="D213" s="10">
        <v>83.2</v>
      </c>
      <c r="E213" s="1">
        <v>45973</v>
      </c>
      <c r="F213" s="6" t="s">
        <v>10</v>
      </c>
      <c r="G213" s="11">
        <v>74</v>
      </c>
      <c r="H213" s="11">
        <v>3</v>
      </c>
      <c r="I213" t="str">
        <f t="shared" si="18"/>
        <v>noviembre</v>
      </c>
      <c r="J213" t="str">
        <f t="shared" si="19"/>
        <v>miércoles</v>
      </c>
    </row>
    <row r="214" spans="1:10" hidden="1" outlineLevel="2" x14ac:dyDescent="0.3">
      <c r="A214" s="3">
        <v>930</v>
      </c>
      <c r="B214" t="s">
        <v>243</v>
      </c>
      <c r="C214" t="s">
        <v>9</v>
      </c>
      <c r="D214" s="10">
        <v>80.900000000000006</v>
      </c>
      <c r="E214" s="1">
        <v>45969</v>
      </c>
      <c r="F214" s="6" t="s">
        <v>22</v>
      </c>
      <c r="G214" s="11">
        <v>53</v>
      </c>
      <c r="H214" s="11">
        <v>3</v>
      </c>
      <c r="I214" t="str">
        <f t="shared" si="18"/>
        <v>noviembre</v>
      </c>
      <c r="J214" t="str">
        <f t="shared" si="19"/>
        <v>sábado</v>
      </c>
    </row>
    <row r="215" spans="1:10" hidden="1" outlineLevel="2" x14ac:dyDescent="0.3">
      <c r="A215" s="3">
        <v>940</v>
      </c>
      <c r="B215" t="s">
        <v>245</v>
      </c>
      <c r="C215" t="s">
        <v>9</v>
      </c>
      <c r="D215" s="10">
        <v>65.099999999999994</v>
      </c>
      <c r="E215" s="1">
        <v>45985</v>
      </c>
      <c r="F215" s="6" t="s">
        <v>10</v>
      </c>
      <c r="G215" s="11">
        <v>41</v>
      </c>
      <c r="H215" s="11">
        <v>3</v>
      </c>
      <c r="I215" t="str">
        <f t="shared" si="18"/>
        <v>noviembre</v>
      </c>
      <c r="J215" t="str">
        <f t="shared" si="19"/>
        <v>lunes</v>
      </c>
    </row>
    <row r="216" spans="1:10" outlineLevel="1" collapsed="1" x14ac:dyDescent="0.3">
      <c r="A216" s="3"/>
      <c r="D216" s="10"/>
      <c r="H216" s="11">
        <f>SUBTOTAL(9,H196:H215)</f>
        <v>40</v>
      </c>
      <c r="I216" s="13" t="s">
        <v>265</v>
      </c>
    </row>
    <row r="217" spans="1:10" hidden="1" outlineLevel="2" x14ac:dyDescent="0.3">
      <c r="A217" s="3">
        <v>25</v>
      </c>
      <c r="B217" t="s">
        <v>18</v>
      </c>
      <c r="C217" t="s">
        <v>9</v>
      </c>
      <c r="D217" s="10">
        <v>57.3</v>
      </c>
      <c r="E217" s="1">
        <v>45957</v>
      </c>
      <c r="F217" s="6" t="s">
        <v>10</v>
      </c>
      <c r="G217" s="11">
        <v>41</v>
      </c>
      <c r="H217" s="11">
        <v>2</v>
      </c>
      <c r="I217" t="str">
        <f t="shared" ref="I217:I239" si="20">TEXT(E217,"MMMM")</f>
        <v>octubre</v>
      </c>
      <c r="J217" t="str">
        <f t="shared" ref="J217:J239" si="21">TEXT(E217,"DDDD")</f>
        <v>lunes</v>
      </c>
    </row>
    <row r="218" spans="1:10" hidden="1" outlineLevel="2" x14ac:dyDescent="0.3">
      <c r="A218" s="3">
        <v>73</v>
      </c>
      <c r="B218" t="s">
        <v>34</v>
      </c>
      <c r="C218" t="s">
        <v>19</v>
      </c>
      <c r="D218" s="10">
        <v>97.8</v>
      </c>
      <c r="E218" s="1">
        <v>45942</v>
      </c>
      <c r="F218" s="6" t="s">
        <v>16</v>
      </c>
      <c r="G218" s="11">
        <v>87</v>
      </c>
      <c r="H218" s="11">
        <v>1</v>
      </c>
      <c r="I218" t="str">
        <f t="shared" si="20"/>
        <v>octubre</v>
      </c>
      <c r="J218" t="str">
        <f t="shared" si="21"/>
        <v>domingo</v>
      </c>
    </row>
    <row r="219" spans="1:10" hidden="1" outlineLevel="2" x14ac:dyDescent="0.3">
      <c r="A219" s="3">
        <v>86</v>
      </c>
      <c r="B219" t="s">
        <v>36</v>
      </c>
      <c r="C219" t="s">
        <v>12</v>
      </c>
      <c r="D219" s="10">
        <v>52.4</v>
      </c>
      <c r="E219" s="1">
        <v>45955</v>
      </c>
      <c r="F219" s="6" t="s">
        <v>13</v>
      </c>
      <c r="G219" s="11">
        <v>68</v>
      </c>
      <c r="H219" s="11">
        <v>3</v>
      </c>
      <c r="I219" t="str">
        <f t="shared" si="20"/>
        <v>octubre</v>
      </c>
      <c r="J219" t="str">
        <f t="shared" si="21"/>
        <v>sábado</v>
      </c>
    </row>
    <row r="220" spans="1:10" hidden="1" outlineLevel="2" x14ac:dyDescent="0.3">
      <c r="A220" s="3">
        <v>87</v>
      </c>
      <c r="B220" t="s">
        <v>37</v>
      </c>
      <c r="C220" t="s">
        <v>15</v>
      </c>
      <c r="D220" s="10">
        <v>60.6</v>
      </c>
      <c r="E220" s="1">
        <v>45936</v>
      </c>
      <c r="F220" s="6" t="s">
        <v>16</v>
      </c>
      <c r="G220" s="11">
        <v>80</v>
      </c>
      <c r="H220" s="11">
        <v>2</v>
      </c>
      <c r="I220" t="str">
        <f t="shared" si="20"/>
        <v>octubre</v>
      </c>
      <c r="J220" t="str">
        <f t="shared" si="21"/>
        <v>lunes</v>
      </c>
    </row>
    <row r="221" spans="1:10" hidden="1" outlineLevel="2" x14ac:dyDescent="0.3">
      <c r="A221" s="3">
        <v>121</v>
      </c>
      <c r="B221" t="s">
        <v>46</v>
      </c>
      <c r="C221" t="s">
        <v>15</v>
      </c>
      <c r="D221" s="10">
        <v>97.9</v>
      </c>
      <c r="E221" s="1">
        <v>45939</v>
      </c>
      <c r="F221" s="6" t="s">
        <v>16</v>
      </c>
      <c r="G221" s="11">
        <v>24</v>
      </c>
      <c r="H221" s="11">
        <v>3</v>
      </c>
      <c r="I221" t="str">
        <f t="shared" si="20"/>
        <v>octubre</v>
      </c>
      <c r="J221" t="str">
        <f t="shared" si="21"/>
        <v>jueves</v>
      </c>
    </row>
    <row r="222" spans="1:10" hidden="1" outlineLevel="2" x14ac:dyDescent="0.3">
      <c r="A222" s="3">
        <v>196</v>
      </c>
      <c r="B222" t="s">
        <v>63</v>
      </c>
      <c r="C222" t="s">
        <v>19</v>
      </c>
      <c r="D222" s="10">
        <v>90.6</v>
      </c>
      <c r="E222" s="1">
        <v>45958</v>
      </c>
      <c r="F222" s="6" t="s">
        <v>16</v>
      </c>
      <c r="G222" s="11">
        <v>10</v>
      </c>
      <c r="H222" s="11">
        <v>3</v>
      </c>
      <c r="I222" t="str">
        <f t="shared" si="20"/>
        <v>octubre</v>
      </c>
      <c r="J222" t="str">
        <f t="shared" si="21"/>
        <v>martes</v>
      </c>
    </row>
    <row r="223" spans="1:10" hidden="1" outlineLevel="2" x14ac:dyDescent="0.3">
      <c r="A223" s="3">
        <v>222</v>
      </c>
      <c r="B223" t="s">
        <v>68</v>
      </c>
      <c r="C223" t="s">
        <v>15</v>
      </c>
      <c r="D223" s="10">
        <v>85.7</v>
      </c>
      <c r="E223" s="1">
        <v>45947</v>
      </c>
      <c r="F223" s="6" t="s">
        <v>16</v>
      </c>
      <c r="G223" s="11">
        <v>58</v>
      </c>
      <c r="H223" s="11">
        <v>3</v>
      </c>
      <c r="I223" t="str">
        <f t="shared" si="20"/>
        <v>octubre</v>
      </c>
      <c r="J223" t="str">
        <f t="shared" si="21"/>
        <v>viernes</v>
      </c>
    </row>
    <row r="224" spans="1:10" hidden="1" outlineLevel="2" x14ac:dyDescent="0.3">
      <c r="A224" s="3">
        <v>258</v>
      </c>
      <c r="B224" t="s">
        <v>79</v>
      </c>
      <c r="C224" t="s">
        <v>9</v>
      </c>
      <c r="D224" s="10">
        <v>93.3</v>
      </c>
      <c r="E224" s="1">
        <v>45960</v>
      </c>
      <c r="F224" s="6" t="s">
        <v>22</v>
      </c>
      <c r="G224" s="11">
        <v>30</v>
      </c>
      <c r="H224" s="11">
        <v>3</v>
      </c>
      <c r="I224" t="str">
        <f t="shared" si="20"/>
        <v>octubre</v>
      </c>
      <c r="J224" t="str">
        <f t="shared" si="21"/>
        <v>jueves</v>
      </c>
    </row>
    <row r="225" spans="1:10" hidden="1" outlineLevel="2" x14ac:dyDescent="0.3">
      <c r="A225" s="3">
        <v>285</v>
      </c>
      <c r="B225" t="s">
        <v>84</v>
      </c>
      <c r="C225" t="s">
        <v>24</v>
      </c>
      <c r="D225" s="10">
        <v>77</v>
      </c>
      <c r="E225" s="1">
        <v>45957</v>
      </c>
      <c r="F225" s="6" t="s">
        <v>22</v>
      </c>
      <c r="G225" s="11">
        <v>89</v>
      </c>
      <c r="H225" s="11">
        <v>2</v>
      </c>
      <c r="I225" t="str">
        <f t="shared" si="20"/>
        <v>octubre</v>
      </c>
      <c r="J225" t="str">
        <f t="shared" si="21"/>
        <v>lunes</v>
      </c>
    </row>
    <row r="226" spans="1:10" hidden="1" outlineLevel="2" x14ac:dyDescent="0.3">
      <c r="A226" s="3">
        <v>289</v>
      </c>
      <c r="B226" t="s">
        <v>86</v>
      </c>
      <c r="C226" t="s">
        <v>9</v>
      </c>
      <c r="D226" s="10">
        <v>95.3</v>
      </c>
      <c r="E226" s="1">
        <v>45936</v>
      </c>
      <c r="F226" s="6" t="s">
        <v>10</v>
      </c>
      <c r="G226" s="11">
        <v>47</v>
      </c>
      <c r="H226" s="11">
        <v>1</v>
      </c>
      <c r="I226" t="str">
        <f t="shared" si="20"/>
        <v>octubre</v>
      </c>
      <c r="J226" t="str">
        <f t="shared" si="21"/>
        <v>lunes</v>
      </c>
    </row>
    <row r="227" spans="1:10" hidden="1" outlineLevel="2" x14ac:dyDescent="0.3">
      <c r="A227" s="3">
        <v>420</v>
      </c>
      <c r="B227" t="s">
        <v>121</v>
      </c>
      <c r="C227" t="s">
        <v>12</v>
      </c>
      <c r="D227" s="10">
        <v>52.4</v>
      </c>
      <c r="E227" s="1">
        <v>45951</v>
      </c>
      <c r="F227" s="6" t="s">
        <v>20</v>
      </c>
      <c r="G227" s="11">
        <v>24</v>
      </c>
      <c r="H227" s="11">
        <v>3</v>
      </c>
      <c r="I227" t="str">
        <f t="shared" si="20"/>
        <v>octubre</v>
      </c>
      <c r="J227" t="str">
        <f t="shared" si="21"/>
        <v>martes</v>
      </c>
    </row>
    <row r="228" spans="1:10" hidden="1" outlineLevel="2" x14ac:dyDescent="0.3">
      <c r="A228" s="3">
        <v>440</v>
      </c>
      <c r="B228" t="s">
        <v>128</v>
      </c>
      <c r="C228" t="s">
        <v>24</v>
      </c>
      <c r="D228" s="10">
        <v>74.599999999999994</v>
      </c>
      <c r="E228" s="1">
        <v>45941</v>
      </c>
      <c r="F228" s="6" t="s">
        <v>16</v>
      </c>
      <c r="G228" s="11">
        <v>41</v>
      </c>
      <c r="H228" s="11">
        <v>3</v>
      </c>
      <c r="I228" t="str">
        <f t="shared" si="20"/>
        <v>octubre</v>
      </c>
      <c r="J228" t="str">
        <f t="shared" si="21"/>
        <v>sábado</v>
      </c>
    </row>
    <row r="229" spans="1:10" hidden="1" outlineLevel="2" x14ac:dyDescent="0.3">
      <c r="A229" s="3">
        <v>494</v>
      </c>
      <c r="B229" t="s">
        <v>139</v>
      </c>
      <c r="C229" t="s">
        <v>12</v>
      </c>
      <c r="D229" s="10">
        <v>67.5</v>
      </c>
      <c r="E229" s="1">
        <v>45944</v>
      </c>
      <c r="F229" s="6" t="s">
        <v>13</v>
      </c>
      <c r="G229" s="11">
        <v>90</v>
      </c>
      <c r="H229" s="11">
        <v>3</v>
      </c>
      <c r="I229" t="str">
        <f t="shared" si="20"/>
        <v>octubre</v>
      </c>
      <c r="J229" t="str">
        <f t="shared" si="21"/>
        <v>martes</v>
      </c>
    </row>
    <row r="230" spans="1:10" hidden="1" outlineLevel="2" x14ac:dyDescent="0.3">
      <c r="A230" s="3">
        <v>537</v>
      </c>
      <c r="B230" t="s">
        <v>152</v>
      </c>
      <c r="C230" t="s">
        <v>12</v>
      </c>
      <c r="D230" s="10">
        <v>99.2</v>
      </c>
      <c r="E230" s="1">
        <v>45952</v>
      </c>
      <c r="F230" s="6" t="s">
        <v>13</v>
      </c>
      <c r="G230" s="11">
        <v>60</v>
      </c>
      <c r="H230" s="11">
        <v>3</v>
      </c>
      <c r="I230" t="str">
        <f t="shared" si="20"/>
        <v>octubre</v>
      </c>
      <c r="J230" t="str">
        <f t="shared" si="21"/>
        <v>miércoles</v>
      </c>
    </row>
    <row r="231" spans="1:10" hidden="1" outlineLevel="2" x14ac:dyDescent="0.3">
      <c r="A231" s="3">
        <v>538</v>
      </c>
      <c r="B231" t="s">
        <v>153</v>
      </c>
      <c r="C231" t="s">
        <v>15</v>
      </c>
      <c r="D231" s="10">
        <v>56.3</v>
      </c>
      <c r="E231" s="1">
        <v>45952</v>
      </c>
      <c r="F231" s="6" t="s">
        <v>16</v>
      </c>
      <c r="G231" s="11">
        <v>55</v>
      </c>
      <c r="H231" s="11">
        <v>3</v>
      </c>
      <c r="I231" t="str">
        <f t="shared" si="20"/>
        <v>octubre</v>
      </c>
      <c r="J231" t="str">
        <f t="shared" si="21"/>
        <v>miércoles</v>
      </c>
    </row>
    <row r="232" spans="1:10" hidden="1" outlineLevel="2" x14ac:dyDescent="0.3">
      <c r="A232" s="3">
        <v>542</v>
      </c>
      <c r="B232" t="s">
        <v>154</v>
      </c>
      <c r="C232" t="s">
        <v>12</v>
      </c>
      <c r="D232" s="10">
        <v>82.4</v>
      </c>
      <c r="E232" s="1">
        <v>45945</v>
      </c>
      <c r="F232" s="6" t="s">
        <v>13</v>
      </c>
      <c r="G232" s="11">
        <v>77</v>
      </c>
      <c r="H232" s="11">
        <v>2</v>
      </c>
      <c r="I232" t="str">
        <f t="shared" si="20"/>
        <v>octubre</v>
      </c>
      <c r="J232" t="str">
        <f t="shared" si="21"/>
        <v>miércoles</v>
      </c>
    </row>
    <row r="233" spans="1:10" hidden="1" outlineLevel="2" x14ac:dyDescent="0.3">
      <c r="A233" s="3">
        <v>592</v>
      </c>
      <c r="B233" t="s">
        <v>163</v>
      </c>
      <c r="C233" t="s">
        <v>15</v>
      </c>
      <c r="D233" s="10">
        <v>89</v>
      </c>
      <c r="E233" s="1">
        <v>45934</v>
      </c>
      <c r="F233" s="6" t="s">
        <v>16</v>
      </c>
      <c r="G233" s="11">
        <v>50</v>
      </c>
      <c r="H233" s="11">
        <v>2</v>
      </c>
      <c r="I233" t="str">
        <f t="shared" si="20"/>
        <v>octubre</v>
      </c>
      <c r="J233" t="str">
        <f t="shared" si="21"/>
        <v>sábado</v>
      </c>
    </row>
    <row r="234" spans="1:10" hidden="1" outlineLevel="2" x14ac:dyDescent="0.3">
      <c r="A234" s="3">
        <v>639</v>
      </c>
      <c r="B234" t="s">
        <v>172</v>
      </c>
      <c r="C234" t="s">
        <v>12</v>
      </c>
      <c r="D234" s="10">
        <v>72.900000000000006</v>
      </c>
      <c r="E234" s="1">
        <v>45938</v>
      </c>
      <c r="F234" s="6" t="s">
        <v>13</v>
      </c>
      <c r="G234" s="11">
        <v>76</v>
      </c>
      <c r="H234" s="11">
        <v>2</v>
      </c>
      <c r="I234" t="str">
        <f t="shared" si="20"/>
        <v>octubre</v>
      </c>
      <c r="J234" t="str">
        <f t="shared" si="21"/>
        <v>miércoles</v>
      </c>
    </row>
    <row r="235" spans="1:10" hidden="1" outlineLevel="2" x14ac:dyDescent="0.3">
      <c r="A235" s="3">
        <v>746</v>
      </c>
      <c r="B235" t="s">
        <v>193</v>
      </c>
      <c r="C235" t="s">
        <v>12</v>
      </c>
      <c r="D235" s="10">
        <v>83.8</v>
      </c>
      <c r="E235" s="1">
        <v>45954</v>
      </c>
      <c r="F235" s="6" t="s">
        <v>20</v>
      </c>
      <c r="G235" s="11">
        <v>71</v>
      </c>
      <c r="H235" s="11">
        <v>3</v>
      </c>
      <c r="I235" t="str">
        <f t="shared" si="20"/>
        <v>octubre</v>
      </c>
      <c r="J235" t="str">
        <f t="shared" si="21"/>
        <v>viernes</v>
      </c>
    </row>
    <row r="236" spans="1:10" hidden="1" outlineLevel="2" x14ac:dyDescent="0.3">
      <c r="A236" s="3">
        <v>778</v>
      </c>
      <c r="B236" t="s">
        <v>201</v>
      </c>
      <c r="C236" t="s">
        <v>19</v>
      </c>
      <c r="D236" s="10">
        <v>54.5</v>
      </c>
      <c r="E236" s="1">
        <v>45959</v>
      </c>
      <c r="F236" s="6" t="s">
        <v>22</v>
      </c>
      <c r="G236" s="11">
        <v>100</v>
      </c>
      <c r="H236" s="11">
        <v>2</v>
      </c>
      <c r="I236" t="str">
        <f t="shared" si="20"/>
        <v>octubre</v>
      </c>
      <c r="J236" t="str">
        <f t="shared" si="21"/>
        <v>miércoles</v>
      </c>
    </row>
    <row r="237" spans="1:10" hidden="1" outlineLevel="2" x14ac:dyDescent="0.3">
      <c r="A237" s="3">
        <v>848</v>
      </c>
      <c r="B237" t="s">
        <v>216</v>
      </c>
      <c r="C237" t="s">
        <v>24</v>
      </c>
      <c r="D237" s="10">
        <v>82.1</v>
      </c>
      <c r="E237" s="1">
        <v>45952</v>
      </c>
      <c r="F237" s="6" t="s">
        <v>16</v>
      </c>
      <c r="G237" s="11">
        <v>48</v>
      </c>
      <c r="H237" s="11">
        <v>1</v>
      </c>
      <c r="I237" t="str">
        <f t="shared" si="20"/>
        <v>octubre</v>
      </c>
      <c r="J237" t="str">
        <f t="shared" si="21"/>
        <v>miércoles</v>
      </c>
    </row>
    <row r="238" spans="1:10" hidden="1" outlineLevel="2" x14ac:dyDescent="0.3">
      <c r="A238" s="3">
        <v>909</v>
      </c>
      <c r="B238" t="s">
        <v>237</v>
      </c>
      <c r="C238" t="s">
        <v>19</v>
      </c>
      <c r="D238" s="10">
        <v>73.099999999999994</v>
      </c>
      <c r="E238" s="1">
        <v>45944</v>
      </c>
      <c r="F238" s="6" t="s">
        <v>20</v>
      </c>
      <c r="G238" s="11">
        <v>100</v>
      </c>
      <c r="H238" s="11">
        <v>1</v>
      </c>
      <c r="I238" t="str">
        <f t="shared" si="20"/>
        <v>octubre</v>
      </c>
      <c r="J238" t="str">
        <f t="shared" si="21"/>
        <v>martes</v>
      </c>
    </row>
    <row r="239" spans="1:10" hidden="1" outlineLevel="2" x14ac:dyDescent="0.3">
      <c r="A239" s="3">
        <v>927</v>
      </c>
      <c r="B239" t="s">
        <v>241</v>
      </c>
      <c r="C239" t="s">
        <v>19</v>
      </c>
      <c r="D239" s="10">
        <v>76.099999999999994</v>
      </c>
      <c r="E239" s="1">
        <v>45960</v>
      </c>
      <c r="F239" s="6" t="s">
        <v>22</v>
      </c>
      <c r="G239" s="11">
        <v>31</v>
      </c>
      <c r="H239" s="11">
        <v>1</v>
      </c>
      <c r="I239" t="str">
        <f t="shared" si="20"/>
        <v>octubre</v>
      </c>
      <c r="J239" t="str">
        <f t="shared" si="21"/>
        <v>jueves</v>
      </c>
    </row>
    <row r="240" spans="1:10" outlineLevel="1" collapsed="1" x14ac:dyDescent="0.3">
      <c r="A240" s="3"/>
      <c r="D240" s="10"/>
      <c r="H240" s="11">
        <f>SUBTOTAL(9,H217:H239)</f>
        <v>52</v>
      </c>
      <c r="I240" s="13" t="s">
        <v>266</v>
      </c>
    </row>
    <row r="241" spans="1:10" hidden="1" outlineLevel="2" x14ac:dyDescent="0.3">
      <c r="A241" s="3">
        <v>34</v>
      </c>
      <c r="B241" t="s">
        <v>23</v>
      </c>
      <c r="C241" t="s">
        <v>24</v>
      </c>
      <c r="D241" s="10">
        <v>58</v>
      </c>
      <c r="E241" s="1">
        <v>45910</v>
      </c>
      <c r="F241" s="6" t="s">
        <v>16</v>
      </c>
      <c r="G241" s="11">
        <v>78</v>
      </c>
      <c r="H241" s="11">
        <v>1</v>
      </c>
      <c r="I241" t="str">
        <f t="shared" ref="I241:I261" si="22">TEXT(E241,"MMMM")</f>
        <v>septiembre</v>
      </c>
      <c r="J241" t="str">
        <f t="shared" ref="J241:J261" si="23">TEXT(E241,"DDDD")</f>
        <v>miércoles</v>
      </c>
    </row>
    <row r="242" spans="1:10" hidden="1" outlineLevel="2" x14ac:dyDescent="0.3">
      <c r="A242" s="3">
        <v>36</v>
      </c>
      <c r="B242" t="s">
        <v>26</v>
      </c>
      <c r="C242" t="s">
        <v>15</v>
      </c>
      <c r="D242" s="10">
        <v>66.3</v>
      </c>
      <c r="E242" s="1">
        <v>45908</v>
      </c>
      <c r="F242" s="6" t="s">
        <v>16</v>
      </c>
      <c r="G242" s="11">
        <v>98</v>
      </c>
      <c r="H242" s="11">
        <v>1</v>
      </c>
      <c r="I242" t="str">
        <f t="shared" si="22"/>
        <v>septiembre</v>
      </c>
      <c r="J242" t="str">
        <f t="shared" si="23"/>
        <v>lunes</v>
      </c>
    </row>
    <row r="243" spans="1:10" hidden="1" outlineLevel="2" x14ac:dyDescent="0.3">
      <c r="A243" s="3">
        <v>63</v>
      </c>
      <c r="B243" t="s">
        <v>32</v>
      </c>
      <c r="C243" t="s">
        <v>24</v>
      </c>
      <c r="D243" s="10">
        <v>59.2</v>
      </c>
      <c r="E243" s="1">
        <v>45922</v>
      </c>
      <c r="F243" s="6" t="s">
        <v>22</v>
      </c>
      <c r="G243" s="11">
        <v>42</v>
      </c>
      <c r="H243" s="11">
        <v>1</v>
      </c>
      <c r="I243" t="str">
        <f t="shared" si="22"/>
        <v>septiembre</v>
      </c>
      <c r="J243" t="str">
        <f t="shared" si="23"/>
        <v>lunes</v>
      </c>
    </row>
    <row r="244" spans="1:10" hidden="1" outlineLevel="2" x14ac:dyDescent="0.3">
      <c r="A244" s="3">
        <v>128</v>
      </c>
      <c r="B244" t="s">
        <v>47</v>
      </c>
      <c r="C244" t="s">
        <v>24</v>
      </c>
      <c r="D244" s="10">
        <v>97.9</v>
      </c>
      <c r="E244" s="1">
        <v>45901</v>
      </c>
      <c r="F244" s="6" t="s">
        <v>16</v>
      </c>
      <c r="G244" s="11">
        <v>76</v>
      </c>
      <c r="H244" s="11">
        <v>3</v>
      </c>
      <c r="I244" t="str">
        <f t="shared" si="22"/>
        <v>septiembre</v>
      </c>
      <c r="J244" t="str">
        <f t="shared" si="23"/>
        <v>lunes</v>
      </c>
    </row>
    <row r="245" spans="1:10" hidden="1" outlineLevel="2" x14ac:dyDescent="0.3">
      <c r="A245" s="3">
        <v>139</v>
      </c>
      <c r="B245" t="s">
        <v>50</v>
      </c>
      <c r="C245" t="s">
        <v>24</v>
      </c>
      <c r="D245" s="10">
        <v>53.9</v>
      </c>
      <c r="E245" s="1">
        <v>45924</v>
      </c>
      <c r="F245" s="6" t="s">
        <v>22</v>
      </c>
      <c r="G245" s="11">
        <v>87</v>
      </c>
      <c r="H245" s="11">
        <v>1</v>
      </c>
      <c r="I245" t="str">
        <f t="shared" si="22"/>
        <v>septiembre</v>
      </c>
      <c r="J245" t="str">
        <f t="shared" si="23"/>
        <v>miércoles</v>
      </c>
    </row>
    <row r="246" spans="1:10" hidden="1" outlineLevel="2" x14ac:dyDescent="0.3">
      <c r="A246" s="3">
        <v>203</v>
      </c>
      <c r="B246" t="s">
        <v>64</v>
      </c>
      <c r="C246" t="s">
        <v>24</v>
      </c>
      <c r="D246" s="10">
        <v>63.9</v>
      </c>
      <c r="E246" s="1">
        <v>45928</v>
      </c>
      <c r="F246" s="6" t="s">
        <v>16</v>
      </c>
      <c r="G246" s="11">
        <v>90</v>
      </c>
      <c r="H246" s="11">
        <v>2</v>
      </c>
      <c r="I246" t="str">
        <f t="shared" si="22"/>
        <v>septiembre</v>
      </c>
      <c r="J246" t="str">
        <f t="shared" si="23"/>
        <v>domingo</v>
      </c>
    </row>
    <row r="247" spans="1:10" hidden="1" outlineLevel="2" x14ac:dyDescent="0.3">
      <c r="A247" s="3">
        <v>226</v>
      </c>
      <c r="B247" t="s">
        <v>69</v>
      </c>
      <c r="C247" t="s">
        <v>24</v>
      </c>
      <c r="D247" s="10">
        <v>78.3</v>
      </c>
      <c r="E247" s="1">
        <v>45913</v>
      </c>
      <c r="F247" s="6" t="s">
        <v>16</v>
      </c>
      <c r="G247" s="11">
        <v>36</v>
      </c>
      <c r="H247" s="11">
        <v>2</v>
      </c>
      <c r="I247" t="str">
        <f t="shared" si="22"/>
        <v>septiembre</v>
      </c>
      <c r="J247" t="str">
        <f t="shared" si="23"/>
        <v>sábado</v>
      </c>
    </row>
    <row r="248" spans="1:10" hidden="1" outlineLevel="2" x14ac:dyDescent="0.3">
      <c r="A248" s="3">
        <v>256</v>
      </c>
      <c r="B248" t="s">
        <v>78</v>
      </c>
      <c r="C248" t="s">
        <v>19</v>
      </c>
      <c r="D248" s="10">
        <v>50.3</v>
      </c>
      <c r="E248" s="1">
        <v>45907</v>
      </c>
      <c r="F248" s="6" t="s">
        <v>16</v>
      </c>
      <c r="G248" s="11">
        <v>75</v>
      </c>
      <c r="H248" s="11">
        <v>2</v>
      </c>
      <c r="I248" t="str">
        <f t="shared" si="22"/>
        <v>septiembre</v>
      </c>
      <c r="J248" t="str">
        <f t="shared" si="23"/>
        <v>domingo</v>
      </c>
    </row>
    <row r="249" spans="1:10" hidden="1" outlineLevel="2" x14ac:dyDescent="0.3">
      <c r="A249" s="3">
        <v>261</v>
      </c>
      <c r="B249" t="s">
        <v>80</v>
      </c>
      <c r="C249" t="s">
        <v>15</v>
      </c>
      <c r="D249" s="10">
        <v>66.599999999999994</v>
      </c>
      <c r="E249" s="1">
        <v>45905</v>
      </c>
      <c r="F249" s="6" t="s">
        <v>16</v>
      </c>
      <c r="G249" s="11">
        <v>79</v>
      </c>
      <c r="H249" s="11">
        <v>1</v>
      </c>
      <c r="I249" t="str">
        <f t="shared" si="22"/>
        <v>septiembre</v>
      </c>
      <c r="J249" t="str">
        <f t="shared" si="23"/>
        <v>viernes</v>
      </c>
    </row>
    <row r="250" spans="1:10" hidden="1" outlineLevel="2" x14ac:dyDescent="0.3">
      <c r="A250" s="3">
        <v>280</v>
      </c>
      <c r="B250" t="s">
        <v>83</v>
      </c>
      <c r="C250" t="s">
        <v>24</v>
      </c>
      <c r="D250" s="10">
        <v>95.3</v>
      </c>
      <c r="E250" s="1">
        <v>45918</v>
      </c>
      <c r="F250" s="6" t="s">
        <v>16</v>
      </c>
      <c r="G250" s="11">
        <v>54</v>
      </c>
      <c r="H250" s="11">
        <v>3</v>
      </c>
      <c r="I250" t="str">
        <f t="shared" si="22"/>
        <v>septiembre</v>
      </c>
      <c r="J250" t="str">
        <f t="shared" si="23"/>
        <v>jueves</v>
      </c>
    </row>
    <row r="251" spans="1:10" hidden="1" outlineLevel="2" x14ac:dyDescent="0.3">
      <c r="A251" s="3">
        <v>335</v>
      </c>
      <c r="B251" t="s">
        <v>102</v>
      </c>
      <c r="C251" t="s">
        <v>24</v>
      </c>
      <c r="D251" s="10">
        <v>75.900000000000006</v>
      </c>
      <c r="E251" s="1">
        <v>45930</v>
      </c>
      <c r="F251" s="6" t="s">
        <v>16</v>
      </c>
      <c r="G251" s="11">
        <v>87</v>
      </c>
      <c r="H251" s="11">
        <v>2</v>
      </c>
      <c r="I251" t="str">
        <f t="shared" si="22"/>
        <v>septiembre</v>
      </c>
      <c r="J251" t="str">
        <f t="shared" si="23"/>
        <v>martes</v>
      </c>
    </row>
    <row r="252" spans="1:10" hidden="1" outlineLevel="2" x14ac:dyDescent="0.3">
      <c r="A252" s="3">
        <v>444</v>
      </c>
      <c r="B252" t="s">
        <v>129</v>
      </c>
      <c r="C252" t="s">
        <v>9</v>
      </c>
      <c r="D252" s="10">
        <v>60.6</v>
      </c>
      <c r="E252" s="1">
        <v>45922</v>
      </c>
      <c r="F252" s="6" t="s">
        <v>22</v>
      </c>
      <c r="G252" s="11">
        <v>11</v>
      </c>
      <c r="H252" s="11">
        <v>3</v>
      </c>
      <c r="I252" t="str">
        <f t="shared" si="22"/>
        <v>septiembre</v>
      </c>
      <c r="J252" t="str">
        <f t="shared" si="23"/>
        <v>lunes</v>
      </c>
    </row>
    <row r="253" spans="1:10" hidden="1" outlineLevel="2" x14ac:dyDescent="0.3">
      <c r="A253" s="3">
        <v>480</v>
      </c>
      <c r="B253" t="s">
        <v>134</v>
      </c>
      <c r="C253" t="s">
        <v>12</v>
      </c>
      <c r="D253" s="10">
        <v>98.8</v>
      </c>
      <c r="E253" s="1">
        <v>45920</v>
      </c>
      <c r="F253" s="6" t="s">
        <v>20</v>
      </c>
      <c r="G253" s="11">
        <v>25</v>
      </c>
      <c r="H253" s="11">
        <v>1</v>
      </c>
      <c r="I253" t="str">
        <f t="shared" si="22"/>
        <v>septiembre</v>
      </c>
      <c r="J253" t="str">
        <f t="shared" si="23"/>
        <v>sábado</v>
      </c>
    </row>
    <row r="254" spans="1:10" hidden="1" outlineLevel="2" x14ac:dyDescent="0.3">
      <c r="A254" s="3">
        <v>505</v>
      </c>
      <c r="B254" t="s">
        <v>141</v>
      </c>
      <c r="C254" t="s">
        <v>24</v>
      </c>
      <c r="D254" s="10">
        <v>87.7</v>
      </c>
      <c r="E254" s="1">
        <v>45924</v>
      </c>
      <c r="F254" s="6" t="s">
        <v>22</v>
      </c>
      <c r="G254" s="11">
        <v>100</v>
      </c>
      <c r="H254" s="11">
        <v>1</v>
      </c>
      <c r="I254" t="str">
        <f t="shared" si="22"/>
        <v>septiembre</v>
      </c>
      <c r="J254" t="str">
        <f t="shared" si="23"/>
        <v>miércoles</v>
      </c>
    </row>
    <row r="255" spans="1:10" hidden="1" outlineLevel="2" x14ac:dyDescent="0.3">
      <c r="A255" s="3">
        <v>695</v>
      </c>
      <c r="B255" t="s">
        <v>183</v>
      </c>
      <c r="C255" t="s">
        <v>9</v>
      </c>
      <c r="D255" s="10">
        <v>70.8</v>
      </c>
      <c r="E255" s="1">
        <v>45927</v>
      </c>
      <c r="F255" s="6" t="s">
        <v>22</v>
      </c>
      <c r="G255" s="11">
        <v>53</v>
      </c>
      <c r="H255" s="11">
        <v>1</v>
      </c>
      <c r="I255" t="str">
        <f t="shared" si="22"/>
        <v>septiembre</v>
      </c>
      <c r="J255" t="str">
        <f t="shared" si="23"/>
        <v>sábado</v>
      </c>
    </row>
    <row r="256" spans="1:10" hidden="1" outlineLevel="2" x14ac:dyDescent="0.3">
      <c r="A256" s="3">
        <v>705</v>
      </c>
      <c r="B256" t="s">
        <v>185</v>
      </c>
      <c r="C256" t="s">
        <v>15</v>
      </c>
      <c r="D256" s="10">
        <v>97.5</v>
      </c>
      <c r="E256" s="1">
        <v>45903</v>
      </c>
      <c r="F256" s="6" t="s">
        <v>16</v>
      </c>
      <c r="G256" s="11">
        <v>60</v>
      </c>
      <c r="H256" s="11">
        <v>3</v>
      </c>
      <c r="I256" t="str">
        <f t="shared" si="22"/>
        <v>septiembre</v>
      </c>
      <c r="J256" t="str">
        <f t="shared" si="23"/>
        <v>miércoles</v>
      </c>
    </row>
    <row r="257" spans="1:10" hidden="1" outlineLevel="2" x14ac:dyDescent="0.3">
      <c r="A257" s="3">
        <v>793</v>
      </c>
      <c r="B257" t="s">
        <v>204</v>
      </c>
      <c r="C257" t="s">
        <v>9</v>
      </c>
      <c r="D257" s="10">
        <v>77.3</v>
      </c>
      <c r="E257" s="1">
        <v>45924</v>
      </c>
      <c r="F257" s="6" t="s">
        <v>22</v>
      </c>
      <c r="G257" s="11">
        <v>74</v>
      </c>
      <c r="H257" s="11">
        <v>3</v>
      </c>
      <c r="I257" t="str">
        <f t="shared" si="22"/>
        <v>septiembre</v>
      </c>
      <c r="J257" t="str">
        <f t="shared" si="23"/>
        <v>miércoles</v>
      </c>
    </row>
    <row r="258" spans="1:10" hidden="1" outlineLevel="2" x14ac:dyDescent="0.3">
      <c r="A258" s="3">
        <v>877</v>
      </c>
      <c r="B258" t="s">
        <v>224</v>
      </c>
      <c r="C258" t="s">
        <v>15</v>
      </c>
      <c r="D258" s="10">
        <v>54.6</v>
      </c>
      <c r="E258" s="1">
        <v>45912</v>
      </c>
      <c r="F258" s="6" t="s">
        <v>16</v>
      </c>
      <c r="G258" s="11">
        <v>48</v>
      </c>
      <c r="H258" s="11">
        <v>2</v>
      </c>
      <c r="I258" t="str">
        <f t="shared" si="22"/>
        <v>septiembre</v>
      </c>
      <c r="J258" t="str">
        <f t="shared" si="23"/>
        <v>viernes</v>
      </c>
    </row>
    <row r="259" spans="1:10" hidden="1" outlineLevel="2" x14ac:dyDescent="0.3">
      <c r="A259" s="3">
        <v>882</v>
      </c>
      <c r="B259" t="s">
        <v>226</v>
      </c>
      <c r="C259" t="s">
        <v>24</v>
      </c>
      <c r="D259" s="10">
        <v>76.2</v>
      </c>
      <c r="E259" s="1">
        <v>45924</v>
      </c>
      <c r="F259" s="6" t="s">
        <v>16</v>
      </c>
      <c r="G259" s="11">
        <v>100</v>
      </c>
      <c r="H259" s="11">
        <v>1</v>
      </c>
      <c r="I259" t="str">
        <f t="shared" si="22"/>
        <v>septiembre</v>
      </c>
      <c r="J259" t="str">
        <f t="shared" si="23"/>
        <v>miércoles</v>
      </c>
    </row>
    <row r="260" spans="1:10" hidden="1" outlineLevel="2" x14ac:dyDescent="0.3">
      <c r="A260" s="3">
        <v>887</v>
      </c>
      <c r="B260" t="s">
        <v>229</v>
      </c>
      <c r="C260" t="s">
        <v>9</v>
      </c>
      <c r="D260" s="10">
        <v>56.4</v>
      </c>
      <c r="E260" s="1">
        <v>45914</v>
      </c>
      <c r="F260" s="6" t="s">
        <v>22</v>
      </c>
      <c r="G260" s="11">
        <v>100</v>
      </c>
      <c r="H260" s="11">
        <v>1</v>
      </c>
      <c r="I260" t="str">
        <f t="shared" si="22"/>
        <v>septiembre</v>
      </c>
      <c r="J260" t="str">
        <f t="shared" si="23"/>
        <v>domingo</v>
      </c>
    </row>
    <row r="261" spans="1:10" hidden="1" outlineLevel="2" x14ac:dyDescent="0.3">
      <c r="A261" s="3">
        <v>916</v>
      </c>
      <c r="B261" t="s">
        <v>238</v>
      </c>
      <c r="C261" t="s">
        <v>19</v>
      </c>
      <c r="D261" s="10">
        <v>58.9</v>
      </c>
      <c r="E261" s="1">
        <v>45921</v>
      </c>
      <c r="F261" s="6" t="s">
        <v>22</v>
      </c>
      <c r="G261" s="11">
        <v>89</v>
      </c>
      <c r="H261" s="11">
        <v>2</v>
      </c>
      <c r="I261" t="str">
        <f t="shared" si="22"/>
        <v>septiembre</v>
      </c>
      <c r="J261" t="str">
        <f t="shared" si="23"/>
        <v>domingo</v>
      </c>
    </row>
    <row r="262" spans="1:10" outlineLevel="1" collapsed="1" x14ac:dyDescent="0.3">
      <c r="A262" s="3"/>
      <c r="D262" s="10"/>
      <c r="H262" s="11">
        <f>SUBTOTAL(9,H241:H261)</f>
        <v>37</v>
      </c>
      <c r="I262" s="13" t="s">
        <v>267</v>
      </c>
    </row>
    <row r="263" spans="1:10" x14ac:dyDescent="0.3">
      <c r="A263" s="3"/>
      <c r="D263" s="10"/>
      <c r="H263" s="11">
        <f>SUBTOTAL(9,H2:H261)</f>
        <v>489</v>
      </c>
      <c r="I263" s="13" t="s">
        <v>268</v>
      </c>
    </row>
  </sheetData>
  <autoFilter ref="A1:J1" xr:uid="{154BBF8B-0283-4E6A-99A5-96A99F04BCE0}">
    <sortState xmlns:xlrd2="http://schemas.microsoft.com/office/spreadsheetml/2017/richdata2" ref="A2:J250">
      <sortCondition ref="I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AE98-1CEB-497E-983B-AB06E733E1A8}">
  <sheetPr>
    <tabColor theme="5" tint="-0.249977111117893"/>
  </sheetPr>
  <dimension ref="A1:J256"/>
  <sheetViews>
    <sheetView topLeftCell="B1" workbookViewId="0">
      <selection activeCell="J255" sqref="J255"/>
    </sheetView>
  </sheetViews>
  <sheetFormatPr baseColWidth="10" defaultColWidth="11.44140625" defaultRowHeight="14.4" outlineLevelRow="2" x14ac:dyDescent="0.3"/>
  <cols>
    <col min="1" max="1" width="18.6640625" customWidth="1"/>
    <col min="2" max="2" width="23.33203125" bestFit="1" customWidth="1"/>
    <col min="3" max="3" width="13.21875" customWidth="1"/>
    <col min="4" max="4" width="13.109375" style="9" customWidth="1"/>
    <col min="5" max="5" width="17.6640625" style="1" customWidth="1"/>
    <col min="6" max="6" width="19.6640625" style="6" customWidth="1"/>
    <col min="7" max="7" width="14.44140625" style="11" customWidth="1"/>
    <col min="8" max="8" width="16.5546875" style="1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8" t="s">
        <v>3</v>
      </c>
      <c r="E1" s="7" t="s">
        <v>4</v>
      </c>
      <c r="F1" s="5" t="s">
        <v>5</v>
      </c>
      <c r="G1" s="12" t="s">
        <v>6</v>
      </c>
      <c r="H1" s="12" t="s">
        <v>7</v>
      </c>
      <c r="I1" s="2" t="s">
        <v>253</v>
      </c>
      <c r="J1" s="2" t="s">
        <v>254</v>
      </c>
    </row>
    <row r="2" spans="1:10" hidden="1" outlineLevel="2" x14ac:dyDescent="0.3">
      <c r="A2" s="3">
        <v>174</v>
      </c>
      <c r="B2" t="s">
        <v>59</v>
      </c>
      <c r="C2" t="s">
        <v>9</v>
      </c>
      <c r="D2" s="10">
        <v>83.4</v>
      </c>
      <c r="E2" s="1">
        <v>45963</v>
      </c>
      <c r="F2" s="6" t="s">
        <v>10</v>
      </c>
      <c r="G2" s="11">
        <v>14</v>
      </c>
      <c r="H2" s="11">
        <v>3</v>
      </c>
      <c r="I2" t="str">
        <f t="shared" ref="I2:I13" si="0">TEXT(E2,"MMMM")</f>
        <v>noviembre</v>
      </c>
      <c r="J2" t="str">
        <f t="shared" ref="J2:J13" si="1">TEXT(E2,"DDDD")</f>
        <v>domingo</v>
      </c>
    </row>
    <row r="3" spans="1:10" hidden="1" outlineLevel="2" x14ac:dyDescent="0.3">
      <c r="A3" s="3">
        <v>390</v>
      </c>
      <c r="B3" t="s">
        <v>114</v>
      </c>
      <c r="C3" t="s">
        <v>9</v>
      </c>
      <c r="D3" s="10">
        <v>86.2</v>
      </c>
      <c r="E3" s="1">
        <v>45846</v>
      </c>
      <c r="F3" s="6" t="s">
        <v>10</v>
      </c>
      <c r="G3" s="11">
        <v>39</v>
      </c>
      <c r="H3" s="11">
        <v>3</v>
      </c>
      <c r="I3" t="str">
        <f t="shared" si="0"/>
        <v>julio</v>
      </c>
      <c r="J3" t="str">
        <f t="shared" si="1"/>
        <v>martes</v>
      </c>
    </row>
    <row r="4" spans="1:10" hidden="1" outlineLevel="2" x14ac:dyDescent="0.3">
      <c r="A4" s="3">
        <v>25</v>
      </c>
      <c r="B4" t="s">
        <v>18</v>
      </c>
      <c r="C4" t="s">
        <v>9</v>
      </c>
      <c r="D4" s="10">
        <v>57.3</v>
      </c>
      <c r="E4" s="1">
        <v>45957</v>
      </c>
      <c r="F4" s="6" t="s">
        <v>10</v>
      </c>
      <c r="G4" s="11">
        <v>41</v>
      </c>
      <c r="H4" s="11">
        <v>2</v>
      </c>
      <c r="I4" t="str">
        <f t="shared" si="0"/>
        <v>octubre</v>
      </c>
      <c r="J4" t="str">
        <f t="shared" si="1"/>
        <v>lunes</v>
      </c>
    </row>
    <row r="5" spans="1:10" hidden="1" outlineLevel="2" x14ac:dyDescent="0.3">
      <c r="A5" s="3">
        <v>940</v>
      </c>
      <c r="B5" t="s">
        <v>245</v>
      </c>
      <c r="C5" t="s">
        <v>9</v>
      </c>
      <c r="D5" s="10">
        <v>65.099999999999994</v>
      </c>
      <c r="E5" s="1">
        <v>45985</v>
      </c>
      <c r="F5" s="6" t="s">
        <v>10</v>
      </c>
      <c r="G5" s="11">
        <v>41</v>
      </c>
      <c r="H5" s="11">
        <v>3</v>
      </c>
      <c r="I5" t="str">
        <f t="shared" si="0"/>
        <v>noviembre</v>
      </c>
      <c r="J5" t="str">
        <f t="shared" si="1"/>
        <v>lunes</v>
      </c>
    </row>
    <row r="6" spans="1:10" hidden="1" outlineLevel="2" x14ac:dyDescent="0.3">
      <c r="A6" s="3">
        <v>404</v>
      </c>
      <c r="B6" t="s">
        <v>117</v>
      </c>
      <c r="C6" t="s">
        <v>9</v>
      </c>
      <c r="D6" s="10">
        <v>86.9</v>
      </c>
      <c r="E6" s="1">
        <v>45857</v>
      </c>
      <c r="F6" s="6" t="s">
        <v>10</v>
      </c>
      <c r="G6" s="11">
        <v>44</v>
      </c>
      <c r="H6" s="11">
        <v>1</v>
      </c>
      <c r="I6" t="str">
        <f t="shared" si="0"/>
        <v>julio</v>
      </c>
      <c r="J6" t="str">
        <f t="shared" si="1"/>
        <v>sábado</v>
      </c>
    </row>
    <row r="7" spans="1:10" hidden="1" outlineLevel="2" x14ac:dyDescent="0.3">
      <c r="A7" s="3">
        <v>289</v>
      </c>
      <c r="B7" t="s">
        <v>86</v>
      </c>
      <c r="C7" t="s">
        <v>9</v>
      </c>
      <c r="D7" s="10">
        <v>95.3</v>
      </c>
      <c r="E7" s="1">
        <v>45936</v>
      </c>
      <c r="F7" s="6" t="s">
        <v>10</v>
      </c>
      <c r="G7" s="11">
        <v>47</v>
      </c>
      <c r="H7" s="11">
        <v>1</v>
      </c>
      <c r="I7" t="str">
        <f t="shared" si="0"/>
        <v>octubre</v>
      </c>
      <c r="J7" t="str">
        <f t="shared" si="1"/>
        <v>lunes</v>
      </c>
    </row>
    <row r="8" spans="1:10" hidden="1" outlineLevel="2" x14ac:dyDescent="0.3">
      <c r="A8" s="3">
        <v>2</v>
      </c>
      <c r="B8" t="s">
        <v>8</v>
      </c>
      <c r="C8" t="s">
        <v>9</v>
      </c>
      <c r="D8" s="10">
        <v>92.7</v>
      </c>
      <c r="E8" s="1">
        <v>45735</v>
      </c>
      <c r="F8" s="6" t="s">
        <v>10</v>
      </c>
      <c r="G8" s="11">
        <v>49</v>
      </c>
      <c r="H8" s="11">
        <v>1</v>
      </c>
      <c r="I8" t="str">
        <f t="shared" si="0"/>
        <v>marzo</v>
      </c>
      <c r="J8" t="str">
        <f t="shared" si="1"/>
        <v>miércoles</v>
      </c>
    </row>
    <row r="9" spans="1:10" hidden="1" outlineLevel="2" x14ac:dyDescent="0.3">
      <c r="A9" s="3">
        <v>830</v>
      </c>
      <c r="B9" t="s">
        <v>213</v>
      </c>
      <c r="C9" t="s">
        <v>9</v>
      </c>
      <c r="D9" s="10">
        <v>72.2</v>
      </c>
      <c r="E9" s="1">
        <v>45821</v>
      </c>
      <c r="F9" s="6" t="s">
        <v>10</v>
      </c>
      <c r="G9" s="11">
        <v>52</v>
      </c>
      <c r="H9" s="11">
        <v>2</v>
      </c>
      <c r="I9" t="str">
        <f t="shared" si="0"/>
        <v>junio</v>
      </c>
      <c r="J9" t="str">
        <f t="shared" si="1"/>
        <v>viernes</v>
      </c>
    </row>
    <row r="10" spans="1:10" hidden="1" outlineLevel="2" x14ac:dyDescent="0.3">
      <c r="A10" s="3">
        <v>859</v>
      </c>
      <c r="B10" t="s">
        <v>219</v>
      </c>
      <c r="C10" t="s">
        <v>9</v>
      </c>
      <c r="D10" s="10">
        <v>76.8</v>
      </c>
      <c r="E10" s="1">
        <v>45857</v>
      </c>
      <c r="F10" s="6" t="s">
        <v>10</v>
      </c>
      <c r="G10" s="11">
        <v>71</v>
      </c>
      <c r="H10" s="11">
        <v>2</v>
      </c>
      <c r="I10" t="str">
        <f t="shared" si="0"/>
        <v>julio</v>
      </c>
      <c r="J10" t="str">
        <f t="shared" si="1"/>
        <v>sábado</v>
      </c>
    </row>
    <row r="11" spans="1:10" hidden="1" outlineLevel="2" x14ac:dyDescent="0.3">
      <c r="A11" s="3">
        <v>929</v>
      </c>
      <c r="B11" t="s">
        <v>242</v>
      </c>
      <c r="C11" t="s">
        <v>9</v>
      </c>
      <c r="D11" s="10">
        <v>83.2</v>
      </c>
      <c r="E11" s="1">
        <v>45973</v>
      </c>
      <c r="F11" s="6" t="s">
        <v>10</v>
      </c>
      <c r="G11" s="11">
        <v>74</v>
      </c>
      <c r="H11" s="11">
        <v>3</v>
      </c>
      <c r="I11" t="str">
        <f t="shared" si="0"/>
        <v>noviembre</v>
      </c>
      <c r="J11" t="str">
        <f t="shared" si="1"/>
        <v>miércoles</v>
      </c>
    </row>
    <row r="12" spans="1:10" hidden="1" outlineLevel="2" x14ac:dyDescent="0.3">
      <c r="A12" s="3">
        <v>403</v>
      </c>
      <c r="B12" t="s">
        <v>116</v>
      </c>
      <c r="C12" t="s">
        <v>9</v>
      </c>
      <c r="D12" s="10">
        <v>71.400000000000006</v>
      </c>
      <c r="E12" s="1">
        <v>45864</v>
      </c>
      <c r="F12" s="6" t="s">
        <v>10</v>
      </c>
      <c r="G12" s="11">
        <v>90</v>
      </c>
      <c r="H12" s="11">
        <v>2</v>
      </c>
      <c r="I12" t="str">
        <f t="shared" si="0"/>
        <v>julio</v>
      </c>
      <c r="J12" t="str">
        <f t="shared" si="1"/>
        <v>sábado</v>
      </c>
    </row>
    <row r="13" spans="1:10" hidden="1" outlineLevel="2" x14ac:dyDescent="0.3">
      <c r="A13" s="3">
        <v>446</v>
      </c>
      <c r="B13" t="s">
        <v>130</v>
      </c>
      <c r="C13" t="s">
        <v>9</v>
      </c>
      <c r="D13" s="10">
        <v>64.599999999999994</v>
      </c>
      <c r="E13" s="1">
        <v>45672</v>
      </c>
      <c r="F13" s="6" t="s">
        <v>10</v>
      </c>
      <c r="G13" s="11">
        <v>90</v>
      </c>
      <c r="H13" s="11">
        <v>2</v>
      </c>
      <c r="I13" t="str">
        <f t="shared" si="0"/>
        <v>enero</v>
      </c>
      <c r="J13" t="str">
        <f t="shared" si="1"/>
        <v>miércoles</v>
      </c>
    </row>
    <row r="14" spans="1:10" outlineLevel="1" collapsed="1" x14ac:dyDescent="0.3">
      <c r="A14" s="3"/>
      <c r="D14" s="10"/>
      <c r="F14" s="15" t="s">
        <v>274</v>
      </c>
      <c r="G14" s="14">
        <f>SUBTOTAL(1,G2:G13)</f>
        <v>54.333333333333336</v>
      </c>
    </row>
    <row r="15" spans="1:10" hidden="1" outlineLevel="2" x14ac:dyDescent="0.3">
      <c r="A15" s="3">
        <v>750</v>
      </c>
      <c r="B15" t="s">
        <v>194</v>
      </c>
      <c r="C15" t="s">
        <v>12</v>
      </c>
      <c r="D15" s="10">
        <v>78.599999999999994</v>
      </c>
      <c r="E15" s="1">
        <v>45853</v>
      </c>
      <c r="F15" s="6" t="s">
        <v>13</v>
      </c>
      <c r="G15" s="11">
        <v>2</v>
      </c>
      <c r="H15" s="11">
        <v>3</v>
      </c>
      <c r="I15" t="str">
        <f t="shared" ref="I15:I46" si="2">TEXT(E15,"MMMM")</f>
        <v>julio</v>
      </c>
      <c r="J15" t="str">
        <f t="shared" ref="J15:J46" si="3">TEXT(E15,"DDDD")</f>
        <v>martes</v>
      </c>
    </row>
    <row r="16" spans="1:10" hidden="1" outlineLevel="2" x14ac:dyDescent="0.3">
      <c r="A16" s="3">
        <v>658</v>
      </c>
      <c r="B16" t="s">
        <v>176</v>
      </c>
      <c r="C16" t="s">
        <v>12</v>
      </c>
      <c r="D16" s="10">
        <v>52</v>
      </c>
      <c r="E16" s="1">
        <v>45644</v>
      </c>
      <c r="F16" s="6" t="s">
        <v>13</v>
      </c>
      <c r="G16" s="11">
        <v>4</v>
      </c>
      <c r="H16" s="11">
        <v>3</v>
      </c>
      <c r="I16" t="str">
        <f t="shared" si="2"/>
        <v>diciembre</v>
      </c>
      <c r="J16" t="str">
        <f t="shared" si="3"/>
        <v>miércoles</v>
      </c>
    </row>
    <row r="17" spans="1:10" hidden="1" outlineLevel="2" x14ac:dyDescent="0.3">
      <c r="A17" s="3">
        <v>208</v>
      </c>
      <c r="B17" t="s">
        <v>65</v>
      </c>
      <c r="C17" t="s">
        <v>12</v>
      </c>
      <c r="D17" s="10">
        <v>89.9</v>
      </c>
      <c r="E17" s="1">
        <v>45983</v>
      </c>
      <c r="F17" s="6" t="s">
        <v>13</v>
      </c>
      <c r="G17" s="11">
        <v>22</v>
      </c>
      <c r="H17" s="11">
        <v>3</v>
      </c>
      <c r="I17" t="str">
        <f t="shared" si="2"/>
        <v>noviembre</v>
      </c>
      <c r="J17" t="str">
        <f t="shared" si="3"/>
        <v>sábado</v>
      </c>
    </row>
    <row r="18" spans="1:10" hidden="1" outlineLevel="2" x14ac:dyDescent="0.3">
      <c r="A18" s="3">
        <v>25</v>
      </c>
      <c r="B18" t="s">
        <v>18</v>
      </c>
      <c r="C18" t="s">
        <v>12</v>
      </c>
      <c r="D18" s="10">
        <v>83.5</v>
      </c>
      <c r="E18" s="1">
        <v>45963</v>
      </c>
      <c r="F18" s="6" t="s">
        <v>13</v>
      </c>
      <c r="G18" s="11">
        <v>26</v>
      </c>
      <c r="H18" s="11">
        <v>3</v>
      </c>
      <c r="I18" t="str">
        <f t="shared" si="2"/>
        <v>noviembre</v>
      </c>
      <c r="J18" t="str">
        <f t="shared" si="3"/>
        <v>domingo</v>
      </c>
    </row>
    <row r="19" spans="1:10" hidden="1" outlineLevel="2" x14ac:dyDescent="0.3">
      <c r="A19" s="3">
        <v>983</v>
      </c>
      <c r="B19" t="s">
        <v>250</v>
      </c>
      <c r="C19" t="s">
        <v>12</v>
      </c>
      <c r="D19" s="10">
        <v>65.900000000000006</v>
      </c>
      <c r="E19" s="1">
        <v>45788</v>
      </c>
      <c r="F19" s="6" t="s">
        <v>13</v>
      </c>
      <c r="G19" s="11">
        <v>27</v>
      </c>
      <c r="H19" s="11">
        <v>2</v>
      </c>
      <c r="I19" t="str">
        <f t="shared" si="2"/>
        <v>mayo</v>
      </c>
      <c r="J19" t="str">
        <f t="shared" si="3"/>
        <v>domingo</v>
      </c>
    </row>
    <row r="20" spans="1:10" hidden="1" outlineLevel="2" x14ac:dyDescent="0.3">
      <c r="A20" s="3">
        <v>63</v>
      </c>
      <c r="B20" t="s">
        <v>32</v>
      </c>
      <c r="C20" t="s">
        <v>12</v>
      </c>
      <c r="D20" s="10">
        <v>93.4</v>
      </c>
      <c r="E20" s="1">
        <v>45631</v>
      </c>
      <c r="F20" s="6" t="s">
        <v>13</v>
      </c>
      <c r="G20" s="11">
        <v>38</v>
      </c>
      <c r="H20" s="11">
        <v>2</v>
      </c>
      <c r="I20" t="str">
        <f t="shared" si="2"/>
        <v>diciembre</v>
      </c>
      <c r="J20" t="str">
        <f t="shared" si="3"/>
        <v>jueves</v>
      </c>
    </row>
    <row r="21" spans="1:10" hidden="1" outlineLevel="2" x14ac:dyDescent="0.3">
      <c r="A21" s="3">
        <v>526</v>
      </c>
      <c r="B21" t="s">
        <v>148</v>
      </c>
      <c r="C21" t="s">
        <v>12</v>
      </c>
      <c r="D21" s="10">
        <v>65.599999999999994</v>
      </c>
      <c r="E21" s="1">
        <v>45750</v>
      </c>
      <c r="F21" s="6" t="s">
        <v>13</v>
      </c>
      <c r="G21" s="11">
        <v>42</v>
      </c>
      <c r="H21" s="11">
        <v>3</v>
      </c>
      <c r="I21" t="str">
        <f t="shared" si="2"/>
        <v>abril</v>
      </c>
      <c r="J21" t="str">
        <f t="shared" si="3"/>
        <v>jueves</v>
      </c>
    </row>
    <row r="22" spans="1:10" hidden="1" outlineLevel="2" x14ac:dyDescent="0.3">
      <c r="A22" s="3">
        <v>367</v>
      </c>
      <c r="B22" t="s">
        <v>107</v>
      </c>
      <c r="C22" t="s">
        <v>12</v>
      </c>
      <c r="D22" s="10">
        <v>54.6</v>
      </c>
      <c r="E22" s="1">
        <v>45770</v>
      </c>
      <c r="F22" s="6" t="s">
        <v>13</v>
      </c>
      <c r="G22" s="11">
        <v>47</v>
      </c>
      <c r="H22" s="11">
        <v>2</v>
      </c>
      <c r="I22" t="str">
        <f t="shared" si="2"/>
        <v>abril</v>
      </c>
      <c r="J22" t="str">
        <f t="shared" si="3"/>
        <v>miércoles</v>
      </c>
    </row>
    <row r="23" spans="1:10" hidden="1" outlineLevel="2" x14ac:dyDescent="0.3">
      <c r="A23" s="3">
        <v>729</v>
      </c>
      <c r="B23" t="s">
        <v>190</v>
      </c>
      <c r="C23" t="s">
        <v>12</v>
      </c>
      <c r="D23" s="10">
        <v>77.7</v>
      </c>
      <c r="E23" s="1">
        <v>45829</v>
      </c>
      <c r="F23" s="6" t="s">
        <v>13</v>
      </c>
      <c r="G23" s="11">
        <v>51</v>
      </c>
      <c r="H23" s="11">
        <v>1</v>
      </c>
      <c r="I23" t="str">
        <f t="shared" si="2"/>
        <v>junio</v>
      </c>
      <c r="J23" t="str">
        <f t="shared" si="3"/>
        <v>sábado</v>
      </c>
    </row>
    <row r="24" spans="1:10" hidden="1" outlineLevel="2" x14ac:dyDescent="0.3">
      <c r="A24" s="3">
        <v>815</v>
      </c>
      <c r="B24" t="s">
        <v>209</v>
      </c>
      <c r="C24" t="s">
        <v>12</v>
      </c>
      <c r="D24" s="10">
        <v>52.3</v>
      </c>
      <c r="E24" s="1">
        <v>45718</v>
      </c>
      <c r="F24" s="6" t="s">
        <v>13</v>
      </c>
      <c r="G24" s="11">
        <v>55</v>
      </c>
      <c r="H24" s="11">
        <v>2</v>
      </c>
      <c r="I24" t="str">
        <f t="shared" si="2"/>
        <v>marzo</v>
      </c>
      <c r="J24" t="str">
        <f t="shared" si="3"/>
        <v>domingo</v>
      </c>
    </row>
    <row r="25" spans="1:10" hidden="1" outlineLevel="2" x14ac:dyDescent="0.3">
      <c r="A25" s="3">
        <v>647</v>
      </c>
      <c r="B25" t="s">
        <v>174</v>
      </c>
      <c r="C25" t="s">
        <v>12</v>
      </c>
      <c r="D25" s="10">
        <v>55.3</v>
      </c>
      <c r="E25" s="1">
        <v>45823</v>
      </c>
      <c r="F25" s="6" t="s">
        <v>13</v>
      </c>
      <c r="G25" s="11">
        <v>57</v>
      </c>
      <c r="H25" s="11">
        <v>2</v>
      </c>
      <c r="I25" t="str">
        <f t="shared" si="2"/>
        <v>junio</v>
      </c>
      <c r="J25" t="str">
        <f t="shared" si="3"/>
        <v>domingo</v>
      </c>
    </row>
    <row r="26" spans="1:10" hidden="1" outlineLevel="2" x14ac:dyDescent="0.3">
      <c r="A26" s="3">
        <v>537</v>
      </c>
      <c r="B26" t="s">
        <v>152</v>
      </c>
      <c r="C26" t="s">
        <v>12</v>
      </c>
      <c r="D26" s="10">
        <v>99.2</v>
      </c>
      <c r="E26" s="1">
        <v>45952</v>
      </c>
      <c r="F26" s="6" t="s">
        <v>13</v>
      </c>
      <c r="G26" s="11">
        <v>60</v>
      </c>
      <c r="H26" s="11">
        <v>3</v>
      </c>
      <c r="I26" t="str">
        <f t="shared" si="2"/>
        <v>octubre</v>
      </c>
      <c r="J26" t="str">
        <f t="shared" si="3"/>
        <v>miércoles</v>
      </c>
    </row>
    <row r="27" spans="1:10" hidden="1" outlineLevel="2" x14ac:dyDescent="0.3">
      <c r="A27" s="3">
        <v>643</v>
      </c>
      <c r="B27" t="s">
        <v>173</v>
      </c>
      <c r="C27" t="s">
        <v>12</v>
      </c>
      <c r="D27" s="10">
        <v>75.900000000000006</v>
      </c>
      <c r="E27" s="1">
        <v>45649</v>
      </c>
      <c r="F27" s="6" t="s">
        <v>13</v>
      </c>
      <c r="G27" s="11">
        <v>63</v>
      </c>
      <c r="H27" s="11">
        <v>1</v>
      </c>
      <c r="I27" t="str">
        <f t="shared" si="2"/>
        <v>diciembre</v>
      </c>
      <c r="J27" t="str">
        <f t="shared" si="3"/>
        <v>lunes</v>
      </c>
    </row>
    <row r="28" spans="1:10" hidden="1" outlineLevel="2" x14ac:dyDescent="0.3">
      <c r="A28" s="3">
        <v>920</v>
      </c>
      <c r="B28" t="s">
        <v>239</v>
      </c>
      <c r="C28" t="s">
        <v>12</v>
      </c>
      <c r="D28" s="10">
        <v>97.4</v>
      </c>
      <c r="E28" s="1">
        <v>45689</v>
      </c>
      <c r="F28" s="6" t="s">
        <v>13</v>
      </c>
      <c r="G28" s="11">
        <v>63</v>
      </c>
      <c r="H28" s="11">
        <v>1</v>
      </c>
      <c r="I28" t="str">
        <f t="shared" si="2"/>
        <v>febrero</v>
      </c>
      <c r="J28" t="str">
        <f t="shared" si="3"/>
        <v>sábado</v>
      </c>
    </row>
    <row r="29" spans="1:10" hidden="1" outlineLevel="2" x14ac:dyDescent="0.3">
      <c r="A29" s="3">
        <v>376</v>
      </c>
      <c r="B29" t="s">
        <v>110</v>
      </c>
      <c r="C29" t="s">
        <v>12</v>
      </c>
      <c r="D29" s="10">
        <v>56.4</v>
      </c>
      <c r="E29" s="1">
        <v>45748</v>
      </c>
      <c r="F29" s="6" t="s">
        <v>13</v>
      </c>
      <c r="G29" s="11">
        <v>65</v>
      </c>
      <c r="H29" s="11">
        <v>2</v>
      </c>
      <c r="I29" t="str">
        <f t="shared" si="2"/>
        <v>abril</v>
      </c>
      <c r="J29" t="str">
        <f t="shared" si="3"/>
        <v>martes</v>
      </c>
    </row>
    <row r="30" spans="1:10" hidden="1" outlineLevel="2" x14ac:dyDescent="0.3">
      <c r="A30" s="3">
        <v>86</v>
      </c>
      <c r="B30" t="s">
        <v>36</v>
      </c>
      <c r="C30" t="s">
        <v>12</v>
      </c>
      <c r="D30" s="10">
        <v>52.4</v>
      </c>
      <c r="E30" s="1">
        <v>45955</v>
      </c>
      <c r="F30" s="6" t="s">
        <v>13</v>
      </c>
      <c r="G30" s="11">
        <v>68</v>
      </c>
      <c r="H30" s="11">
        <v>3</v>
      </c>
      <c r="I30" t="str">
        <f t="shared" si="2"/>
        <v>octubre</v>
      </c>
      <c r="J30" t="str">
        <f t="shared" si="3"/>
        <v>sábado</v>
      </c>
    </row>
    <row r="31" spans="1:10" hidden="1" outlineLevel="2" x14ac:dyDescent="0.3">
      <c r="A31" s="3">
        <v>354</v>
      </c>
      <c r="B31" t="s">
        <v>106</v>
      </c>
      <c r="C31" t="s">
        <v>12</v>
      </c>
      <c r="D31" s="10">
        <v>69.7</v>
      </c>
      <c r="E31" s="1">
        <v>45706</v>
      </c>
      <c r="F31" s="6" t="s">
        <v>13</v>
      </c>
      <c r="G31" s="11">
        <v>70</v>
      </c>
      <c r="H31" s="11">
        <v>3</v>
      </c>
      <c r="I31" t="str">
        <f t="shared" si="2"/>
        <v>febrero</v>
      </c>
      <c r="J31" t="str">
        <f t="shared" si="3"/>
        <v>martes</v>
      </c>
    </row>
    <row r="32" spans="1:10" hidden="1" outlineLevel="2" x14ac:dyDescent="0.3">
      <c r="A32" s="3">
        <v>954</v>
      </c>
      <c r="B32" t="s">
        <v>247</v>
      </c>
      <c r="C32" t="s">
        <v>12</v>
      </c>
      <c r="D32" s="10">
        <v>62.4</v>
      </c>
      <c r="E32" s="1">
        <v>45835</v>
      </c>
      <c r="F32" s="6" t="s">
        <v>13</v>
      </c>
      <c r="G32" s="11">
        <v>70</v>
      </c>
      <c r="H32" s="11">
        <v>1</v>
      </c>
      <c r="I32" t="str">
        <f t="shared" si="2"/>
        <v>junio</v>
      </c>
      <c r="J32" t="str">
        <f t="shared" si="3"/>
        <v>viernes</v>
      </c>
    </row>
    <row r="33" spans="1:10" hidden="1" outlineLevel="2" x14ac:dyDescent="0.3">
      <c r="A33" s="3">
        <v>903</v>
      </c>
      <c r="B33" t="s">
        <v>234</v>
      </c>
      <c r="C33" t="s">
        <v>12</v>
      </c>
      <c r="D33" s="10">
        <v>89.8</v>
      </c>
      <c r="E33" s="1">
        <v>45962</v>
      </c>
      <c r="F33" s="6" t="s">
        <v>13</v>
      </c>
      <c r="G33" s="11">
        <v>71</v>
      </c>
      <c r="H33" s="11">
        <v>1</v>
      </c>
      <c r="I33" t="str">
        <f t="shared" si="2"/>
        <v>noviembre</v>
      </c>
      <c r="J33" t="str">
        <f t="shared" si="3"/>
        <v>sábado</v>
      </c>
    </row>
    <row r="34" spans="1:10" hidden="1" outlineLevel="2" x14ac:dyDescent="0.3">
      <c r="A34" s="3">
        <v>6</v>
      </c>
      <c r="B34" t="s">
        <v>11</v>
      </c>
      <c r="C34" t="s">
        <v>12</v>
      </c>
      <c r="D34" s="10">
        <v>87.6</v>
      </c>
      <c r="E34" s="1">
        <v>45803</v>
      </c>
      <c r="F34" s="6" t="s">
        <v>13</v>
      </c>
      <c r="G34" s="11">
        <v>73</v>
      </c>
      <c r="H34" s="11">
        <v>1</v>
      </c>
      <c r="I34" t="str">
        <f t="shared" si="2"/>
        <v>mayo</v>
      </c>
      <c r="J34" t="str">
        <f t="shared" si="3"/>
        <v>lunes</v>
      </c>
    </row>
    <row r="35" spans="1:10" hidden="1" outlineLevel="2" x14ac:dyDescent="0.3">
      <c r="A35" s="3">
        <v>582</v>
      </c>
      <c r="B35" t="s">
        <v>162</v>
      </c>
      <c r="C35" t="s">
        <v>12</v>
      </c>
      <c r="D35" s="10">
        <v>52</v>
      </c>
      <c r="E35" s="1">
        <v>45973</v>
      </c>
      <c r="F35" s="6" t="s">
        <v>13</v>
      </c>
      <c r="G35" s="11">
        <v>73</v>
      </c>
      <c r="H35" s="11">
        <v>2</v>
      </c>
      <c r="I35" t="str">
        <f t="shared" si="2"/>
        <v>noviembre</v>
      </c>
      <c r="J35" t="str">
        <f t="shared" si="3"/>
        <v>miércoles</v>
      </c>
    </row>
    <row r="36" spans="1:10" hidden="1" outlineLevel="2" x14ac:dyDescent="0.3">
      <c r="A36" s="3">
        <v>244</v>
      </c>
      <c r="B36" t="s">
        <v>74</v>
      </c>
      <c r="C36" t="s">
        <v>12</v>
      </c>
      <c r="D36" s="10">
        <v>66.8</v>
      </c>
      <c r="E36" s="1">
        <v>45682</v>
      </c>
      <c r="F36" s="6" t="s">
        <v>13</v>
      </c>
      <c r="G36" s="11">
        <v>75</v>
      </c>
      <c r="H36" s="11">
        <v>3</v>
      </c>
      <c r="I36" t="str">
        <f t="shared" si="2"/>
        <v>enero</v>
      </c>
      <c r="J36" t="str">
        <f t="shared" si="3"/>
        <v>sábado</v>
      </c>
    </row>
    <row r="37" spans="1:10" hidden="1" outlineLevel="2" x14ac:dyDescent="0.3">
      <c r="A37" s="3">
        <v>639</v>
      </c>
      <c r="B37" t="s">
        <v>172</v>
      </c>
      <c r="C37" t="s">
        <v>12</v>
      </c>
      <c r="D37" s="10">
        <v>72.900000000000006</v>
      </c>
      <c r="E37" s="1">
        <v>45938</v>
      </c>
      <c r="F37" s="6" t="s">
        <v>13</v>
      </c>
      <c r="G37" s="11">
        <v>76</v>
      </c>
      <c r="H37" s="11">
        <v>2</v>
      </c>
      <c r="I37" t="str">
        <f t="shared" si="2"/>
        <v>octubre</v>
      </c>
      <c r="J37" t="str">
        <f t="shared" si="3"/>
        <v>miércoles</v>
      </c>
    </row>
    <row r="38" spans="1:10" hidden="1" outlineLevel="2" x14ac:dyDescent="0.3">
      <c r="A38" s="3">
        <v>542</v>
      </c>
      <c r="B38" t="s">
        <v>154</v>
      </c>
      <c r="C38" t="s">
        <v>12</v>
      </c>
      <c r="D38" s="10">
        <v>82.4</v>
      </c>
      <c r="E38" s="1">
        <v>45945</v>
      </c>
      <c r="F38" s="6" t="s">
        <v>13</v>
      </c>
      <c r="G38" s="11">
        <v>77</v>
      </c>
      <c r="H38" s="11">
        <v>2</v>
      </c>
      <c r="I38" t="str">
        <f t="shared" si="2"/>
        <v>octubre</v>
      </c>
      <c r="J38" t="str">
        <f t="shared" si="3"/>
        <v>miércoles</v>
      </c>
    </row>
    <row r="39" spans="1:10" hidden="1" outlineLevel="2" x14ac:dyDescent="0.3">
      <c r="A39" s="3">
        <v>933</v>
      </c>
      <c r="B39" t="s">
        <v>244</v>
      </c>
      <c r="C39" t="s">
        <v>12</v>
      </c>
      <c r="D39" s="10">
        <v>84.3</v>
      </c>
      <c r="E39" s="1">
        <v>45897</v>
      </c>
      <c r="F39" s="6" t="s">
        <v>13</v>
      </c>
      <c r="G39" s="11">
        <v>85</v>
      </c>
      <c r="H39" s="11">
        <v>2</v>
      </c>
      <c r="I39" t="str">
        <f t="shared" si="2"/>
        <v>agosto</v>
      </c>
      <c r="J39" t="str">
        <f t="shared" si="3"/>
        <v>jueves</v>
      </c>
    </row>
    <row r="40" spans="1:10" hidden="1" outlineLevel="2" x14ac:dyDescent="0.3">
      <c r="A40" s="3">
        <v>153</v>
      </c>
      <c r="B40" t="s">
        <v>54</v>
      </c>
      <c r="C40" t="s">
        <v>12</v>
      </c>
      <c r="D40" s="10">
        <v>86.7</v>
      </c>
      <c r="E40" s="1">
        <v>45664</v>
      </c>
      <c r="F40" s="6" t="s">
        <v>13</v>
      </c>
      <c r="G40" s="11">
        <v>89</v>
      </c>
      <c r="H40" s="11">
        <v>2</v>
      </c>
      <c r="I40" t="str">
        <f t="shared" si="2"/>
        <v>enero</v>
      </c>
      <c r="J40" t="str">
        <f t="shared" si="3"/>
        <v>martes</v>
      </c>
    </row>
    <row r="41" spans="1:10" hidden="1" outlineLevel="2" x14ac:dyDescent="0.3">
      <c r="A41" s="3">
        <v>494</v>
      </c>
      <c r="B41" t="s">
        <v>139</v>
      </c>
      <c r="C41" t="s">
        <v>12</v>
      </c>
      <c r="D41" s="10">
        <v>67.5</v>
      </c>
      <c r="E41" s="1">
        <v>45944</v>
      </c>
      <c r="F41" s="6" t="s">
        <v>13</v>
      </c>
      <c r="G41" s="11">
        <v>90</v>
      </c>
      <c r="H41" s="11">
        <v>3</v>
      </c>
      <c r="I41" t="str">
        <f t="shared" si="2"/>
        <v>octubre</v>
      </c>
      <c r="J41" t="str">
        <f t="shared" si="3"/>
        <v>martes</v>
      </c>
    </row>
    <row r="42" spans="1:10" hidden="1" outlineLevel="2" x14ac:dyDescent="0.3">
      <c r="A42" s="3">
        <v>311</v>
      </c>
      <c r="B42" t="s">
        <v>95</v>
      </c>
      <c r="C42" t="s">
        <v>12</v>
      </c>
      <c r="D42" s="10">
        <v>98.8</v>
      </c>
      <c r="E42" s="1">
        <v>45767</v>
      </c>
      <c r="F42" s="6" t="s">
        <v>13</v>
      </c>
      <c r="G42" s="11">
        <v>96</v>
      </c>
      <c r="H42" s="11">
        <v>3</v>
      </c>
      <c r="I42" t="str">
        <f t="shared" si="2"/>
        <v>abril</v>
      </c>
      <c r="J42" t="str">
        <f t="shared" si="3"/>
        <v>domingo</v>
      </c>
    </row>
    <row r="43" spans="1:10" hidden="1" outlineLevel="2" x14ac:dyDescent="0.3">
      <c r="A43" s="3">
        <v>466</v>
      </c>
      <c r="B43" t="s">
        <v>132</v>
      </c>
      <c r="C43" t="s">
        <v>12</v>
      </c>
      <c r="D43" s="10">
        <v>53.7</v>
      </c>
      <c r="E43" s="1">
        <v>45712</v>
      </c>
      <c r="F43" s="6" t="s">
        <v>13</v>
      </c>
      <c r="G43" s="11">
        <v>96</v>
      </c>
      <c r="H43" s="11">
        <v>1</v>
      </c>
      <c r="I43" t="str">
        <f t="shared" si="2"/>
        <v>febrero</v>
      </c>
      <c r="J43" t="str">
        <f t="shared" si="3"/>
        <v>lunes</v>
      </c>
    </row>
    <row r="44" spans="1:10" hidden="1" outlineLevel="2" x14ac:dyDescent="0.3">
      <c r="A44" s="3">
        <v>23</v>
      </c>
      <c r="B44" t="s">
        <v>17</v>
      </c>
      <c r="C44" t="s">
        <v>12</v>
      </c>
      <c r="D44" s="10">
        <v>85.3</v>
      </c>
      <c r="E44" s="1">
        <v>45739</v>
      </c>
      <c r="F44" s="6" t="s">
        <v>13</v>
      </c>
      <c r="G44" s="11">
        <v>100</v>
      </c>
      <c r="H44" s="11">
        <v>1</v>
      </c>
      <c r="I44" t="str">
        <f t="shared" si="2"/>
        <v>marzo</v>
      </c>
      <c r="J44" t="str">
        <f t="shared" si="3"/>
        <v>domingo</v>
      </c>
    </row>
    <row r="45" spans="1:10" hidden="1" outlineLevel="2" x14ac:dyDescent="0.3">
      <c r="A45" s="3">
        <v>330</v>
      </c>
      <c r="B45" t="s">
        <v>101</v>
      </c>
      <c r="C45" t="s">
        <v>12</v>
      </c>
      <c r="D45" s="10">
        <v>65.099999999999994</v>
      </c>
      <c r="E45" s="1">
        <v>45872</v>
      </c>
      <c r="F45" s="6" t="s">
        <v>13</v>
      </c>
      <c r="G45" s="11">
        <v>100</v>
      </c>
      <c r="H45" s="11">
        <v>1</v>
      </c>
      <c r="I45" t="str">
        <f t="shared" si="2"/>
        <v>agosto</v>
      </c>
      <c r="J45" t="str">
        <f t="shared" si="3"/>
        <v>domingo</v>
      </c>
    </row>
    <row r="46" spans="1:10" hidden="1" outlineLevel="2" x14ac:dyDescent="0.3">
      <c r="A46" s="3">
        <v>548</v>
      </c>
      <c r="B46" t="s">
        <v>156</v>
      </c>
      <c r="C46" t="s">
        <v>12</v>
      </c>
      <c r="D46" s="10">
        <v>94.2</v>
      </c>
      <c r="E46" s="1">
        <v>45887</v>
      </c>
      <c r="F46" s="6" t="s">
        <v>13</v>
      </c>
      <c r="G46" s="11">
        <v>100</v>
      </c>
      <c r="H46" s="11">
        <v>1</v>
      </c>
      <c r="I46" t="str">
        <f t="shared" si="2"/>
        <v>agosto</v>
      </c>
      <c r="J46" t="str">
        <f t="shared" si="3"/>
        <v>lunes</v>
      </c>
    </row>
    <row r="47" spans="1:10" outlineLevel="1" collapsed="1" x14ac:dyDescent="0.3">
      <c r="A47" s="3"/>
      <c r="D47" s="10"/>
      <c r="F47" s="15" t="s">
        <v>275</v>
      </c>
      <c r="G47" s="10">
        <f>SUBTOTAL(1,G15:G46)</f>
        <v>63.46875</v>
      </c>
    </row>
    <row r="48" spans="1:10" hidden="1" outlineLevel="2" x14ac:dyDescent="0.3">
      <c r="A48" s="3">
        <v>824</v>
      </c>
      <c r="B48" t="s">
        <v>211</v>
      </c>
      <c r="C48" t="s">
        <v>19</v>
      </c>
      <c r="D48" s="10">
        <v>90.2</v>
      </c>
      <c r="E48" s="1">
        <v>45817</v>
      </c>
      <c r="F48" s="6" t="s">
        <v>22</v>
      </c>
      <c r="G48" s="11">
        <v>2</v>
      </c>
      <c r="H48" s="11">
        <v>3</v>
      </c>
      <c r="I48" t="str">
        <f t="shared" ref="I48:I79" si="4">TEXT(E48,"MMMM")</f>
        <v>junio</v>
      </c>
      <c r="J48" t="str">
        <f t="shared" ref="J48:J79" si="5">TEXT(E48,"DDDD")</f>
        <v>lunes</v>
      </c>
    </row>
    <row r="49" spans="1:10" hidden="1" outlineLevel="2" x14ac:dyDescent="0.3">
      <c r="A49" s="3">
        <v>847</v>
      </c>
      <c r="B49" t="s">
        <v>215</v>
      </c>
      <c r="C49" t="s">
        <v>9</v>
      </c>
      <c r="D49" s="10">
        <v>59.3</v>
      </c>
      <c r="E49" s="1">
        <v>45662</v>
      </c>
      <c r="F49" s="6" t="s">
        <v>22</v>
      </c>
      <c r="G49" s="11">
        <v>3</v>
      </c>
      <c r="H49" s="11">
        <v>3</v>
      </c>
      <c r="I49" t="str">
        <f t="shared" si="4"/>
        <v>enero</v>
      </c>
      <c r="J49" t="str">
        <f t="shared" si="5"/>
        <v>domingo</v>
      </c>
    </row>
    <row r="50" spans="1:10" hidden="1" outlineLevel="2" x14ac:dyDescent="0.3">
      <c r="A50" s="3">
        <v>444</v>
      </c>
      <c r="B50" t="s">
        <v>129</v>
      </c>
      <c r="C50" t="s">
        <v>9</v>
      </c>
      <c r="D50" s="10">
        <v>60.6</v>
      </c>
      <c r="E50" s="1">
        <v>45922</v>
      </c>
      <c r="F50" s="6" t="s">
        <v>22</v>
      </c>
      <c r="G50" s="11">
        <v>11</v>
      </c>
      <c r="H50" s="11">
        <v>3</v>
      </c>
      <c r="I50" t="str">
        <f t="shared" si="4"/>
        <v>septiembre</v>
      </c>
      <c r="J50" t="str">
        <f t="shared" si="5"/>
        <v>lunes</v>
      </c>
    </row>
    <row r="51" spans="1:10" hidden="1" outlineLevel="2" x14ac:dyDescent="0.3">
      <c r="A51" s="3">
        <v>424</v>
      </c>
      <c r="B51" t="s">
        <v>122</v>
      </c>
      <c r="C51" t="s">
        <v>19</v>
      </c>
      <c r="D51" s="10">
        <v>97.6</v>
      </c>
      <c r="E51" s="1">
        <v>45756</v>
      </c>
      <c r="F51" s="6" t="s">
        <v>22</v>
      </c>
      <c r="G51" s="11">
        <v>14</v>
      </c>
      <c r="H51" s="11">
        <v>3</v>
      </c>
      <c r="I51" t="str">
        <f t="shared" si="4"/>
        <v>abril</v>
      </c>
      <c r="J51" t="str">
        <f t="shared" si="5"/>
        <v>miércoles</v>
      </c>
    </row>
    <row r="52" spans="1:10" hidden="1" outlineLevel="2" x14ac:dyDescent="0.3">
      <c r="A52" s="3">
        <v>521</v>
      </c>
      <c r="B52" t="s">
        <v>146</v>
      </c>
      <c r="C52" t="s">
        <v>9</v>
      </c>
      <c r="D52" s="10">
        <v>82.4</v>
      </c>
      <c r="E52" s="1">
        <v>45832</v>
      </c>
      <c r="F52" s="6" t="s">
        <v>22</v>
      </c>
      <c r="G52" s="11">
        <v>17</v>
      </c>
      <c r="H52" s="11">
        <v>3</v>
      </c>
      <c r="I52" t="str">
        <f t="shared" si="4"/>
        <v>junio</v>
      </c>
      <c r="J52" t="str">
        <f t="shared" si="5"/>
        <v>martes</v>
      </c>
    </row>
    <row r="53" spans="1:10" hidden="1" outlineLevel="2" x14ac:dyDescent="0.3">
      <c r="A53" s="3">
        <v>143</v>
      </c>
      <c r="B53" t="s">
        <v>51</v>
      </c>
      <c r="C53" t="s">
        <v>24</v>
      </c>
      <c r="D53" s="10">
        <v>87.2</v>
      </c>
      <c r="E53" s="1">
        <v>45640</v>
      </c>
      <c r="F53" s="6" t="s">
        <v>22</v>
      </c>
      <c r="G53" s="11">
        <v>18</v>
      </c>
      <c r="H53" s="11">
        <v>3</v>
      </c>
      <c r="I53" t="str">
        <f t="shared" si="4"/>
        <v>diciembre</v>
      </c>
      <c r="J53" t="str">
        <f t="shared" si="5"/>
        <v>sábado</v>
      </c>
    </row>
    <row r="54" spans="1:10" hidden="1" outlineLevel="2" x14ac:dyDescent="0.3">
      <c r="A54" s="3">
        <v>849</v>
      </c>
      <c r="B54" t="s">
        <v>217</v>
      </c>
      <c r="C54" t="s">
        <v>9</v>
      </c>
      <c r="D54" s="10">
        <v>73.8</v>
      </c>
      <c r="E54" s="1">
        <v>45726</v>
      </c>
      <c r="F54" s="6" t="s">
        <v>22</v>
      </c>
      <c r="G54" s="11">
        <v>19</v>
      </c>
      <c r="H54" s="11">
        <v>3</v>
      </c>
      <c r="I54" t="str">
        <f t="shared" si="4"/>
        <v>marzo</v>
      </c>
      <c r="J54" t="str">
        <f t="shared" si="5"/>
        <v>lunes</v>
      </c>
    </row>
    <row r="55" spans="1:10" hidden="1" outlineLevel="2" x14ac:dyDescent="0.3">
      <c r="A55" s="3">
        <v>146</v>
      </c>
      <c r="B55" t="s">
        <v>53</v>
      </c>
      <c r="C55" t="s">
        <v>9</v>
      </c>
      <c r="D55" s="10">
        <v>83.1</v>
      </c>
      <c r="E55" s="1">
        <v>45799</v>
      </c>
      <c r="F55" s="6" t="s">
        <v>22</v>
      </c>
      <c r="G55" s="11">
        <v>22</v>
      </c>
      <c r="H55" s="11">
        <v>2</v>
      </c>
      <c r="I55" t="str">
        <f t="shared" si="4"/>
        <v>mayo</v>
      </c>
      <c r="J55" t="str">
        <f t="shared" si="5"/>
        <v>jueves</v>
      </c>
    </row>
    <row r="56" spans="1:10" hidden="1" outlineLevel="2" x14ac:dyDescent="0.3">
      <c r="A56" s="3">
        <v>295</v>
      </c>
      <c r="B56" t="s">
        <v>89</v>
      </c>
      <c r="C56" t="s">
        <v>9</v>
      </c>
      <c r="D56" s="10">
        <v>98.1</v>
      </c>
      <c r="E56" s="1">
        <v>45846</v>
      </c>
      <c r="F56" s="6" t="s">
        <v>22</v>
      </c>
      <c r="G56" s="11">
        <v>24</v>
      </c>
      <c r="H56" s="11">
        <v>3</v>
      </c>
      <c r="I56" t="str">
        <f t="shared" si="4"/>
        <v>julio</v>
      </c>
      <c r="J56" t="str">
        <f t="shared" si="5"/>
        <v>martes</v>
      </c>
    </row>
    <row r="57" spans="1:10" hidden="1" outlineLevel="2" x14ac:dyDescent="0.3">
      <c r="A57" s="3">
        <v>62</v>
      </c>
      <c r="B57" t="s">
        <v>31</v>
      </c>
      <c r="C57" t="s">
        <v>9</v>
      </c>
      <c r="D57" s="10">
        <v>81.3</v>
      </c>
      <c r="E57" s="1">
        <v>45647</v>
      </c>
      <c r="F57" s="6" t="s">
        <v>22</v>
      </c>
      <c r="G57" s="11">
        <v>26</v>
      </c>
      <c r="H57" s="11">
        <v>2</v>
      </c>
      <c r="I57" t="str">
        <f t="shared" si="4"/>
        <v>diciembre</v>
      </c>
      <c r="J57" t="str">
        <f t="shared" si="5"/>
        <v>sábado</v>
      </c>
    </row>
    <row r="58" spans="1:10" hidden="1" outlineLevel="2" x14ac:dyDescent="0.3">
      <c r="A58" s="3">
        <v>258</v>
      </c>
      <c r="B58" t="s">
        <v>79</v>
      </c>
      <c r="C58" t="s">
        <v>9</v>
      </c>
      <c r="D58" s="10">
        <v>93.3</v>
      </c>
      <c r="E58" s="1">
        <v>45960</v>
      </c>
      <c r="F58" s="6" t="s">
        <v>22</v>
      </c>
      <c r="G58" s="11">
        <v>30</v>
      </c>
      <c r="H58" s="11">
        <v>3</v>
      </c>
      <c r="I58" t="str">
        <f t="shared" si="4"/>
        <v>octubre</v>
      </c>
      <c r="J58" t="str">
        <f t="shared" si="5"/>
        <v>jueves</v>
      </c>
    </row>
    <row r="59" spans="1:10" hidden="1" outlineLevel="2" x14ac:dyDescent="0.3">
      <c r="A59" s="3">
        <v>927</v>
      </c>
      <c r="B59" t="s">
        <v>241</v>
      </c>
      <c r="C59" t="s">
        <v>19</v>
      </c>
      <c r="D59" s="10">
        <v>76.099999999999994</v>
      </c>
      <c r="E59" s="1">
        <v>45960</v>
      </c>
      <c r="F59" s="6" t="s">
        <v>22</v>
      </c>
      <c r="G59" s="11">
        <v>31</v>
      </c>
      <c r="H59" s="11">
        <v>1</v>
      </c>
      <c r="I59" t="str">
        <f t="shared" si="4"/>
        <v>octubre</v>
      </c>
      <c r="J59" t="str">
        <f t="shared" si="5"/>
        <v>jueves</v>
      </c>
    </row>
    <row r="60" spans="1:10" hidden="1" outlineLevel="2" x14ac:dyDescent="0.3">
      <c r="A60" s="3">
        <v>734</v>
      </c>
      <c r="B60" t="s">
        <v>192</v>
      </c>
      <c r="C60" t="s">
        <v>9</v>
      </c>
      <c r="D60" s="10">
        <v>71.2</v>
      </c>
      <c r="E60" s="1">
        <v>45655</v>
      </c>
      <c r="F60" s="6" t="s">
        <v>22</v>
      </c>
      <c r="G60" s="11">
        <v>34</v>
      </c>
      <c r="H60" s="11">
        <v>2</v>
      </c>
      <c r="I60" t="str">
        <f t="shared" si="4"/>
        <v>diciembre</v>
      </c>
      <c r="J60" t="str">
        <f t="shared" si="5"/>
        <v>domingo</v>
      </c>
    </row>
    <row r="61" spans="1:10" hidden="1" outlineLevel="2" x14ac:dyDescent="0.3">
      <c r="A61" s="3">
        <v>179</v>
      </c>
      <c r="B61" t="s">
        <v>62</v>
      </c>
      <c r="C61" t="s">
        <v>9</v>
      </c>
      <c r="D61" s="10">
        <v>63.4</v>
      </c>
      <c r="E61" s="1">
        <v>45888</v>
      </c>
      <c r="F61" s="6" t="s">
        <v>22</v>
      </c>
      <c r="G61" s="11">
        <v>35</v>
      </c>
      <c r="H61" s="11">
        <v>1</v>
      </c>
      <c r="I61" t="str">
        <f t="shared" si="4"/>
        <v>agosto</v>
      </c>
      <c r="J61" t="str">
        <f t="shared" si="5"/>
        <v>martes</v>
      </c>
    </row>
    <row r="62" spans="1:10" hidden="1" outlineLevel="2" x14ac:dyDescent="0.3">
      <c r="A62" s="3">
        <v>253</v>
      </c>
      <c r="B62" t="s">
        <v>76</v>
      </c>
      <c r="C62" t="s">
        <v>9</v>
      </c>
      <c r="D62" s="10">
        <v>62.3</v>
      </c>
      <c r="E62" s="1">
        <v>45692</v>
      </c>
      <c r="F62" s="6" t="s">
        <v>22</v>
      </c>
      <c r="G62" s="11">
        <v>35</v>
      </c>
      <c r="H62" s="11">
        <v>2</v>
      </c>
      <c r="I62" t="str">
        <f t="shared" si="4"/>
        <v>febrero</v>
      </c>
      <c r="J62" t="str">
        <f t="shared" si="5"/>
        <v>martes</v>
      </c>
    </row>
    <row r="63" spans="1:10" hidden="1" outlineLevel="2" x14ac:dyDescent="0.3">
      <c r="A63" s="3">
        <v>709</v>
      </c>
      <c r="B63" t="s">
        <v>186</v>
      </c>
      <c r="C63" t="s">
        <v>19</v>
      </c>
      <c r="D63" s="10">
        <v>52.5</v>
      </c>
      <c r="E63" s="1">
        <v>45717</v>
      </c>
      <c r="F63" s="6" t="s">
        <v>22</v>
      </c>
      <c r="G63" s="11">
        <v>39</v>
      </c>
      <c r="H63" s="11">
        <v>1</v>
      </c>
      <c r="I63" t="str">
        <f t="shared" si="4"/>
        <v>marzo</v>
      </c>
      <c r="J63" t="str">
        <f t="shared" si="5"/>
        <v>sábado</v>
      </c>
    </row>
    <row r="64" spans="1:10" hidden="1" outlineLevel="2" x14ac:dyDescent="0.3">
      <c r="A64" s="3">
        <v>63</v>
      </c>
      <c r="B64" t="s">
        <v>32</v>
      </c>
      <c r="C64" t="s">
        <v>24</v>
      </c>
      <c r="D64" s="10">
        <v>59.2</v>
      </c>
      <c r="E64" s="1">
        <v>45922</v>
      </c>
      <c r="F64" s="6" t="s">
        <v>22</v>
      </c>
      <c r="G64" s="11">
        <v>42</v>
      </c>
      <c r="H64" s="11">
        <v>1</v>
      </c>
      <c r="I64" t="str">
        <f t="shared" si="4"/>
        <v>septiembre</v>
      </c>
      <c r="J64" t="str">
        <f t="shared" si="5"/>
        <v>lunes</v>
      </c>
    </row>
    <row r="65" spans="1:10" hidden="1" outlineLevel="2" x14ac:dyDescent="0.3">
      <c r="A65" s="3">
        <v>439</v>
      </c>
      <c r="B65" t="s">
        <v>127</v>
      </c>
      <c r="C65" t="s">
        <v>9</v>
      </c>
      <c r="D65" s="10">
        <v>97.3</v>
      </c>
      <c r="E65" s="1">
        <v>45843</v>
      </c>
      <c r="F65" s="6" t="s">
        <v>22</v>
      </c>
      <c r="G65" s="11">
        <v>42</v>
      </c>
      <c r="H65" s="11">
        <v>3</v>
      </c>
      <c r="I65" t="str">
        <f t="shared" si="4"/>
        <v>julio</v>
      </c>
      <c r="J65" t="str">
        <f t="shared" si="5"/>
        <v>sábado</v>
      </c>
    </row>
    <row r="66" spans="1:10" hidden="1" outlineLevel="2" x14ac:dyDescent="0.3">
      <c r="A66" s="3">
        <v>379</v>
      </c>
      <c r="B66" t="s">
        <v>111</v>
      </c>
      <c r="C66" t="s">
        <v>9</v>
      </c>
      <c r="D66" s="10">
        <v>91.7</v>
      </c>
      <c r="E66" s="1">
        <v>45739</v>
      </c>
      <c r="F66" s="6" t="s">
        <v>22</v>
      </c>
      <c r="G66" s="11">
        <v>46</v>
      </c>
      <c r="H66" s="11">
        <v>3</v>
      </c>
      <c r="I66" t="str">
        <f t="shared" si="4"/>
        <v>marzo</v>
      </c>
      <c r="J66" t="str">
        <f t="shared" si="5"/>
        <v>domingo</v>
      </c>
    </row>
    <row r="67" spans="1:10" hidden="1" outlineLevel="2" x14ac:dyDescent="0.3">
      <c r="A67" s="3">
        <v>851</v>
      </c>
      <c r="B67" t="s">
        <v>218</v>
      </c>
      <c r="C67" t="s">
        <v>9</v>
      </c>
      <c r="D67" s="10">
        <v>99</v>
      </c>
      <c r="E67" s="1">
        <v>45965</v>
      </c>
      <c r="F67" s="6" t="s">
        <v>22</v>
      </c>
      <c r="G67" s="11">
        <v>49</v>
      </c>
      <c r="H67" s="11">
        <v>1</v>
      </c>
      <c r="I67" t="str">
        <f t="shared" si="4"/>
        <v>noviembre</v>
      </c>
      <c r="J67" t="str">
        <f t="shared" si="5"/>
        <v>martes</v>
      </c>
    </row>
    <row r="68" spans="1:10" hidden="1" outlineLevel="2" x14ac:dyDescent="0.3">
      <c r="A68" s="3">
        <v>235</v>
      </c>
      <c r="B68" t="s">
        <v>71</v>
      </c>
      <c r="C68" t="s">
        <v>9</v>
      </c>
      <c r="D68" s="10">
        <v>63.7</v>
      </c>
      <c r="E68" s="1">
        <v>45779</v>
      </c>
      <c r="F68" s="6" t="s">
        <v>22</v>
      </c>
      <c r="G68" s="11">
        <v>51</v>
      </c>
      <c r="H68" s="11">
        <v>3</v>
      </c>
      <c r="I68" t="str">
        <f t="shared" si="4"/>
        <v>mayo</v>
      </c>
      <c r="J68" t="str">
        <f t="shared" si="5"/>
        <v>viernes</v>
      </c>
    </row>
    <row r="69" spans="1:10" hidden="1" outlineLevel="2" x14ac:dyDescent="0.3">
      <c r="A69" s="3">
        <v>881</v>
      </c>
      <c r="B69" t="s">
        <v>225</v>
      </c>
      <c r="C69" t="s">
        <v>19</v>
      </c>
      <c r="D69" s="10">
        <v>88</v>
      </c>
      <c r="E69" s="1">
        <v>45856</v>
      </c>
      <c r="F69" s="6" t="s">
        <v>22</v>
      </c>
      <c r="G69" s="11">
        <v>51</v>
      </c>
      <c r="H69" s="11">
        <v>1</v>
      </c>
      <c r="I69" t="str">
        <f t="shared" si="4"/>
        <v>julio</v>
      </c>
      <c r="J69" t="str">
        <f t="shared" si="5"/>
        <v>viernes</v>
      </c>
    </row>
    <row r="70" spans="1:10" hidden="1" outlineLevel="2" x14ac:dyDescent="0.3">
      <c r="A70" s="3">
        <v>988</v>
      </c>
      <c r="B70" t="s">
        <v>251</v>
      </c>
      <c r="C70" t="s">
        <v>24</v>
      </c>
      <c r="D70" s="10">
        <v>86</v>
      </c>
      <c r="E70" s="1">
        <v>45718</v>
      </c>
      <c r="F70" s="6" t="s">
        <v>22</v>
      </c>
      <c r="G70" s="11">
        <v>51</v>
      </c>
      <c r="H70" s="11">
        <v>2</v>
      </c>
      <c r="I70" t="str">
        <f t="shared" si="4"/>
        <v>marzo</v>
      </c>
      <c r="J70" t="str">
        <f t="shared" si="5"/>
        <v>domingo</v>
      </c>
    </row>
    <row r="71" spans="1:10" hidden="1" outlineLevel="2" x14ac:dyDescent="0.3">
      <c r="A71" s="3">
        <v>245</v>
      </c>
      <c r="B71" t="s">
        <v>75</v>
      </c>
      <c r="C71" t="s">
        <v>19</v>
      </c>
      <c r="D71" s="10">
        <v>59.6</v>
      </c>
      <c r="E71" s="1">
        <v>45849</v>
      </c>
      <c r="F71" s="6" t="s">
        <v>22</v>
      </c>
      <c r="G71" s="11">
        <v>52</v>
      </c>
      <c r="H71" s="11">
        <v>1</v>
      </c>
      <c r="I71" t="str">
        <f t="shared" si="4"/>
        <v>julio</v>
      </c>
      <c r="J71" t="str">
        <f t="shared" si="5"/>
        <v>viernes</v>
      </c>
    </row>
    <row r="72" spans="1:10" hidden="1" outlineLevel="2" x14ac:dyDescent="0.3">
      <c r="A72" s="3">
        <v>695</v>
      </c>
      <c r="B72" t="s">
        <v>183</v>
      </c>
      <c r="C72" t="s">
        <v>9</v>
      </c>
      <c r="D72" s="10">
        <v>70.8</v>
      </c>
      <c r="E72" s="1">
        <v>45927</v>
      </c>
      <c r="F72" s="6" t="s">
        <v>22</v>
      </c>
      <c r="G72" s="11">
        <v>53</v>
      </c>
      <c r="H72" s="11">
        <v>1</v>
      </c>
      <c r="I72" t="str">
        <f t="shared" si="4"/>
        <v>septiembre</v>
      </c>
      <c r="J72" t="str">
        <f t="shared" si="5"/>
        <v>sábado</v>
      </c>
    </row>
    <row r="73" spans="1:10" hidden="1" outlineLevel="2" x14ac:dyDescent="0.3">
      <c r="A73" s="3">
        <v>894</v>
      </c>
      <c r="B73" t="s">
        <v>232</v>
      </c>
      <c r="C73" t="s">
        <v>9</v>
      </c>
      <c r="D73" s="10">
        <v>62.9</v>
      </c>
      <c r="E73" s="1">
        <v>45746</v>
      </c>
      <c r="F73" s="6" t="s">
        <v>22</v>
      </c>
      <c r="G73" s="11">
        <v>53</v>
      </c>
      <c r="H73" s="11">
        <v>2</v>
      </c>
      <c r="I73" t="str">
        <f t="shared" si="4"/>
        <v>marzo</v>
      </c>
      <c r="J73" t="str">
        <f t="shared" si="5"/>
        <v>domingo</v>
      </c>
    </row>
    <row r="74" spans="1:10" hidden="1" outlineLevel="2" x14ac:dyDescent="0.3">
      <c r="A74" s="3">
        <v>930</v>
      </c>
      <c r="B74" t="s">
        <v>243</v>
      </c>
      <c r="C74" t="s">
        <v>9</v>
      </c>
      <c r="D74" s="10">
        <v>80.900000000000006</v>
      </c>
      <c r="E74" s="1">
        <v>45969</v>
      </c>
      <c r="F74" s="6" t="s">
        <v>22</v>
      </c>
      <c r="G74" s="11">
        <v>53</v>
      </c>
      <c r="H74" s="11">
        <v>3</v>
      </c>
      <c r="I74" t="str">
        <f t="shared" si="4"/>
        <v>noviembre</v>
      </c>
      <c r="J74" t="str">
        <f t="shared" si="5"/>
        <v>sábado</v>
      </c>
    </row>
    <row r="75" spans="1:10" hidden="1" outlineLevel="2" x14ac:dyDescent="0.3">
      <c r="A75" s="3">
        <v>268</v>
      </c>
      <c r="B75" t="s">
        <v>81</v>
      </c>
      <c r="C75" t="s">
        <v>9</v>
      </c>
      <c r="D75" s="10">
        <v>68.599999999999994</v>
      </c>
      <c r="E75" s="1">
        <v>45628</v>
      </c>
      <c r="F75" s="6" t="s">
        <v>22</v>
      </c>
      <c r="G75" s="11">
        <v>54</v>
      </c>
      <c r="H75" s="11">
        <v>2</v>
      </c>
      <c r="I75" t="str">
        <f t="shared" si="4"/>
        <v>diciembre</v>
      </c>
      <c r="J75" t="str">
        <f t="shared" si="5"/>
        <v>lunes</v>
      </c>
    </row>
    <row r="76" spans="1:10" hidden="1" outlineLevel="2" x14ac:dyDescent="0.3">
      <c r="A76" s="3">
        <v>242</v>
      </c>
      <c r="B76" t="s">
        <v>72</v>
      </c>
      <c r="C76" t="s">
        <v>9</v>
      </c>
      <c r="D76" s="10">
        <v>94.7</v>
      </c>
      <c r="E76" s="1">
        <v>45681</v>
      </c>
      <c r="F76" s="6" t="s">
        <v>22</v>
      </c>
      <c r="G76" s="11">
        <v>58</v>
      </c>
      <c r="H76" s="11">
        <v>3</v>
      </c>
      <c r="I76" t="str">
        <f t="shared" si="4"/>
        <v>enero</v>
      </c>
      <c r="J76" t="str">
        <f t="shared" si="5"/>
        <v>viernes</v>
      </c>
    </row>
    <row r="77" spans="1:10" hidden="1" outlineLevel="2" x14ac:dyDescent="0.3">
      <c r="A77" s="3">
        <v>886</v>
      </c>
      <c r="B77" t="s">
        <v>228</v>
      </c>
      <c r="C77" t="s">
        <v>24</v>
      </c>
      <c r="D77" s="10">
        <v>99.1</v>
      </c>
      <c r="E77" s="1">
        <v>45968</v>
      </c>
      <c r="F77" s="6" t="s">
        <v>22</v>
      </c>
      <c r="G77" s="11">
        <v>59</v>
      </c>
      <c r="H77" s="11">
        <v>1</v>
      </c>
      <c r="I77" t="str">
        <f t="shared" si="4"/>
        <v>noviembre</v>
      </c>
      <c r="J77" t="str">
        <f t="shared" si="5"/>
        <v>viernes</v>
      </c>
    </row>
    <row r="78" spans="1:10" hidden="1" outlineLevel="2" x14ac:dyDescent="0.3">
      <c r="A78" s="3">
        <v>244</v>
      </c>
      <c r="B78" t="s">
        <v>74</v>
      </c>
      <c r="C78" t="s">
        <v>9</v>
      </c>
      <c r="D78" s="10">
        <v>95.4</v>
      </c>
      <c r="E78" s="1">
        <v>45889</v>
      </c>
      <c r="F78" s="6" t="s">
        <v>22</v>
      </c>
      <c r="G78" s="11">
        <v>61</v>
      </c>
      <c r="H78" s="11">
        <v>2</v>
      </c>
      <c r="I78" t="str">
        <f t="shared" si="4"/>
        <v>agosto</v>
      </c>
      <c r="J78" t="str">
        <f t="shared" si="5"/>
        <v>miércoles</v>
      </c>
    </row>
    <row r="79" spans="1:10" hidden="1" outlineLevel="2" x14ac:dyDescent="0.3">
      <c r="A79" s="3">
        <v>178</v>
      </c>
      <c r="B79" t="s">
        <v>61</v>
      </c>
      <c r="C79" t="s">
        <v>24</v>
      </c>
      <c r="D79" s="10">
        <v>95.5</v>
      </c>
      <c r="E79" s="1">
        <v>45746</v>
      </c>
      <c r="F79" s="6" t="s">
        <v>22</v>
      </c>
      <c r="G79" s="11">
        <v>62</v>
      </c>
      <c r="H79" s="11">
        <v>1</v>
      </c>
      <c r="I79" t="str">
        <f t="shared" si="4"/>
        <v>marzo</v>
      </c>
      <c r="J79" t="str">
        <f t="shared" si="5"/>
        <v>domingo</v>
      </c>
    </row>
    <row r="80" spans="1:10" hidden="1" outlineLevel="2" x14ac:dyDescent="0.3">
      <c r="A80" s="3">
        <v>777</v>
      </c>
      <c r="B80" t="s">
        <v>200</v>
      </c>
      <c r="C80" t="s">
        <v>19</v>
      </c>
      <c r="D80" s="10">
        <v>80.8</v>
      </c>
      <c r="E80" s="1">
        <v>45746</v>
      </c>
      <c r="F80" s="6" t="s">
        <v>22</v>
      </c>
      <c r="G80" s="11">
        <v>63</v>
      </c>
      <c r="H80" s="11">
        <v>1</v>
      </c>
      <c r="I80" t="str">
        <f t="shared" ref="I80:I115" si="6">TEXT(E80,"MMMM")</f>
        <v>marzo</v>
      </c>
      <c r="J80" t="str">
        <f t="shared" ref="J80:J115" si="7">TEXT(E80,"DDDD")</f>
        <v>domingo</v>
      </c>
    </row>
    <row r="81" spans="1:10" hidden="1" outlineLevel="2" x14ac:dyDescent="0.3">
      <c r="A81" s="3">
        <v>106</v>
      </c>
      <c r="B81" t="s">
        <v>42</v>
      </c>
      <c r="C81" t="s">
        <v>9</v>
      </c>
      <c r="D81" s="10">
        <v>53.3</v>
      </c>
      <c r="E81" s="1">
        <v>45646</v>
      </c>
      <c r="F81" s="6" t="s">
        <v>22</v>
      </c>
      <c r="G81" s="11">
        <v>65</v>
      </c>
      <c r="H81" s="11">
        <v>1</v>
      </c>
      <c r="I81" t="str">
        <f t="shared" si="6"/>
        <v>diciembre</v>
      </c>
      <c r="J81" t="str">
        <f t="shared" si="7"/>
        <v>viernes</v>
      </c>
    </row>
    <row r="82" spans="1:10" hidden="1" outlineLevel="2" x14ac:dyDescent="0.3">
      <c r="A82" s="3">
        <v>296</v>
      </c>
      <c r="B82" t="s">
        <v>90</v>
      </c>
      <c r="C82" t="s">
        <v>24</v>
      </c>
      <c r="D82" s="10">
        <v>86.6</v>
      </c>
      <c r="E82" s="1">
        <v>45803</v>
      </c>
      <c r="F82" s="6" t="s">
        <v>22</v>
      </c>
      <c r="G82" s="11">
        <v>65</v>
      </c>
      <c r="H82" s="11">
        <v>3</v>
      </c>
      <c r="I82" t="str">
        <f t="shared" si="6"/>
        <v>mayo</v>
      </c>
      <c r="J82" t="str">
        <f t="shared" si="7"/>
        <v>lunes</v>
      </c>
    </row>
    <row r="83" spans="1:10" hidden="1" outlineLevel="2" x14ac:dyDescent="0.3">
      <c r="A83" s="3">
        <v>522</v>
      </c>
      <c r="B83" t="s">
        <v>147</v>
      </c>
      <c r="C83" t="s">
        <v>9</v>
      </c>
      <c r="D83" s="10">
        <v>75.400000000000006</v>
      </c>
      <c r="E83" s="1">
        <v>45646</v>
      </c>
      <c r="F83" s="6" t="s">
        <v>22</v>
      </c>
      <c r="G83" s="11">
        <v>67</v>
      </c>
      <c r="H83" s="11">
        <v>1</v>
      </c>
      <c r="I83" t="str">
        <f t="shared" si="6"/>
        <v>diciembre</v>
      </c>
      <c r="J83" t="str">
        <f t="shared" si="7"/>
        <v>viernes</v>
      </c>
    </row>
    <row r="84" spans="1:10" hidden="1" outlineLevel="2" x14ac:dyDescent="0.3">
      <c r="A84" s="3">
        <v>731</v>
      </c>
      <c r="B84" t="s">
        <v>191</v>
      </c>
      <c r="C84" t="s">
        <v>9</v>
      </c>
      <c r="D84" s="10">
        <v>79.7</v>
      </c>
      <c r="E84" s="1">
        <v>45718</v>
      </c>
      <c r="F84" s="6" t="s">
        <v>22</v>
      </c>
      <c r="G84" s="11">
        <v>69</v>
      </c>
      <c r="H84" s="11">
        <v>1</v>
      </c>
      <c r="I84" t="str">
        <f t="shared" si="6"/>
        <v>marzo</v>
      </c>
      <c r="J84" t="str">
        <f t="shared" si="7"/>
        <v>domingo</v>
      </c>
    </row>
    <row r="85" spans="1:10" hidden="1" outlineLevel="2" x14ac:dyDescent="0.3">
      <c r="A85" s="3">
        <v>29</v>
      </c>
      <c r="B85" t="s">
        <v>21</v>
      </c>
      <c r="C85" t="s">
        <v>9</v>
      </c>
      <c r="D85" s="10">
        <v>51.5</v>
      </c>
      <c r="E85" s="1">
        <v>45788</v>
      </c>
      <c r="F85" s="6" t="s">
        <v>22</v>
      </c>
      <c r="G85" s="11">
        <v>72</v>
      </c>
      <c r="H85" s="11">
        <v>1</v>
      </c>
      <c r="I85" t="str">
        <f t="shared" si="6"/>
        <v>mayo</v>
      </c>
      <c r="J85" t="str">
        <f t="shared" si="7"/>
        <v>domingo</v>
      </c>
    </row>
    <row r="86" spans="1:10" hidden="1" outlineLevel="2" x14ac:dyDescent="0.3">
      <c r="A86" s="3">
        <v>696</v>
      </c>
      <c r="B86" t="s">
        <v>184</v>
      </c>
      <c r="C86" t="s">
        <v>24</v>
      </c>
      <c r="D86" s="10">
        <v>52.9</v>
      </c>
      <c r="E86" s="1">
        <v>45725</v>
      </c>
      <c r="F86" s="6" t="s">
        <v>22</v>
      </c>
      <c r="G86" s="11">
        <v>72</v>
      </c>
      <c r="H86" s="11">
        <v>3</v>
      </c>
      <c r="I86" t="str">
        <f t="shared" si="6"/>
        <v>marzo</v>
      </c>
      <c r="J86" t="str">
        <f t="shared" si="7"/>
        <v>domingo</v>
      </c>
    </row>
    <row r="87" spans="1:10" hidden="1" outlineLevel="2" x14ac:dyDescent="0.3">
      <c r="A87" s="3">
        <v>686</v>
      </c>
      <c r="B87" t="s">
        <v>181</v>
      </c>
      <c r="C87" t="s">
        <v>24</v>
      </c>
      <c r="D87" s="10">
        <v>94.2</v>
      </c>
      <c r="E87" s="1">
        <v>45765</v>
      </c>
      <c r="F87" s="6" t="s">
        <v>22</v>
      </c>
      <c r="G87" s="11">
        <v>74</v>
      </c>
      <c r="H87" s="11">
        <v>1</v>
      </c>
      <c r="I87" t="str">
        <f t="shared" si="6"/>
        <v>abril</v>
      </c>
      <c r="J87" t="str">
        <f t="shared" si="7"/>
        <v>viernes</v>
      </c>
    </row>
    <row r="88" spans="1:10" hidden="1" outlineLevel="2" x14ac:dyDescent="0.3">
      <c r="A88" s="3">
        <v>793</v>
      </c>
      <c r="B88" t="s">
        <v>204</v>
      </c>
      <c r="C88" t="s">
        <v>9</v>
      </c>
      <c r="D88" s="10">
        <v>77.3</v>
      </c>
      <c r="E88" s="1">
        <v>45924</v>
      </c>
      <c r="F88" s="6" t="s">
        <v>22</v>
      </c>
      <c r="G88" s="11">
        <v>74</v>
      </c>
      <c r="H88" s="11">
        <v>3</v>
      </c>
      <c r="I88" t="str">
        <f t="shared" si="6"/>
        <v>septiembre</v>
      </c>
      <c r="J88" t="str">
        <f t="shared" si="7"/>
        <v>miércoles</v>
      </c>
    </row>
    <row r="89" spans="1:10" hidden="1" outlineLevel="2" x14ac:dyDescent="0.3">
      <c r="A89" s="3">
        <v>728</v>
      </c>
      <c r="B89" t="s">
        <v>189</v>
      </c>
      <c r="C89" t="s">
        <v>9</v>
      </c>
      <c r="D89" s="10">
        <v>96.8</v>
      </c>
      <c r="E89" s="1">
        <v>45660</v>
      </c>
      <c r="F89" s="6" t="s">
        <v>22</v>
      </c>
      <c r="G89" s="11">
        <v>76</v>
      </c>
      <c r="H89" s="11">
        <v>3</v>
      </c>
      <c r="I89" t="str">
        <f t="shared" si="6"/>
        <v>enero</v>
      </c>
      <c r="J89" t="str">
        <f t="shared" si="7"/>
        <v>viernes</v>
      </c>
    </row>
    <row r="90" spans="1:10" hidden="1" outlineLevel="2" x14ac:dyDescent="0.3">
      <c r="A90" s="3">
        <v>113</v>
      </c>
      <c r="B90" t="s">
        <v>43</v>
      </c>
      <c r="C90" t="s">
        <v>9</v>
      </c>
      <c r="D90" s="10">
        <v>79.5</v>
      </c>
      <c r="E90" s="1">
        <v>45846</v>
      </c>
      <c r="F90" s="6" t="s">
        <v>22</v>
      </c>
      <c r="G90" s="11">
        <v>78</v>
      </c>
      <c r="H90" s="11">
        <v>3</v>
      </c>
      <c r="I90" t="str">
        <f t="shared" si="6"/>
        <v>julio</v>
      </c>
      <c r="J90" t="str">
        <f t="shared" si="7"/>
        <v>martes</v>
      </c>
    </row>
    <row r="91" spans="1:10" hidden="1" outlineLevel="2" x14ac:dyDescent="0.3">
      <c r="A91" s="3">
        <v>613</v>
      </c>
      <c r="B91" t="s">
        <v>166</v>
      </c>
      <c r="C91" t="s">
        <v>9</v>
      </c>
      <c r="D91" s="10">
        <v>63</v>
      </c>
      <c r="E91" s="1">
        <v>45841</v>
      </c>
      <c r="F91" s="6" t="s">
        <v>22</v>
      </c>
      <c r="G91" s="11">
        <v>81</v>
      </c>
      <c r="H91" s="11">
        <v>2</v>
      </c>
      <c r="I91" t="str">
        <f t="shared" si="6"/>
        <v>julio</v>
      </c>
      <c r="J91" t="str">
        <f t="shared" si="7"/>
        <v>jueves</v>
      </c>
    </row>
    <row r="92" spans="1:10" hidden="1" outlineLevel="2" x14ac:dyDescent="0.3">
      <c r="A92" s="3">
        <v>244</v>
      </c>
      <c r="B92" t="s">
        <v>74</v>
      </c>
      <c r="C92" t="s">
        <v>19</v>
      </c>
      <c r="D92" s="10">
        <v>99.3</v>
      </c>
      <c r="E92" s="1">
        <v>45808</v>
      </c>
      <c r="F92" s="6" t="s">
        <v>22</v>
      </c>
      <c r="G92" s="11">
        <v>83</v>
      </c>
      <c r="H92" s="11">
        <v>3</v>
      </c>
      <c r="I92" t="str">
        <f t="shared" si="6"/>
        <v>mayo</v>
      </c>
      <c r="J92" t="str">
        <f t="shared" si="7"/>
        <v>sábado</v>
      </c>
    </row>
    <row r="93" spans="1:10" hidden="1" outlineLevel="2" x14ac:dyDescent="0.3">
      <c r="A93" s="3">
        <v>960</v>
      </c>
      <c r="B93" t="s">
        <v>248</v>
      </c>
      <c r="C93" t="s">
        <v>19</v>
      </c>
      <c r="D93" s="10">
        <v>95.3</v>
      </c>
      <c r="E93" s="1">
        <v>45768</v>
      </c>
      <c r="F93" s="6" t="s">
        <v>22</v>
      </c>
      <c r="G93" s="11">
        <v>84</v>
      </c>
      <c r="H93" s="11">
        <v>1</v>
      </c>
      <c r="I93" t="str">
        <f t="shared" si="6"/>
        <v>abril</v>
      </c>
      <c r="J93" t="str">
        <f t="shared" si="7"/>
        <v>lunes</v>
      </c>
    </row>
    <row r="94" spans="1:10" hidden="1" outlineLevel="2" x14ac:dyDescent="0.3">
      <c r="A94" s="3">
        <v>165</v>
      </c>
      <c r="B94" t="s">
        <v>58</v>
      </c>
      <c r="C94" t="s">
        <v>19</v>
      </c>
      <c r="D94" s="10">
        <v>93.4</v>
      </c>
      <c r="E94" s="1">
        <v>45718</v>
      </c>
      <c r="F94" s="6" t="s">
        <v>22</v>
      </c>
      <c r="G94" s="11">
        <v>85</v>
      </c>
      <c r="H94" s="11">
        <v>3</v>
      </c>
      <c r="I94" t="str">
        <f t="shared" si="6"/>
        <v>marzo</v>
      </c>
      <c r="J94" t="str">
        <f t="shared" si="7"/>
        <v>domingo</v>
      </c>
    </row>
    <row r="95" spans="1:10" hidden="1" outlineLevel="2" x14ac:dyDescent="0.3">
      <c r="A95" s="3">
        <v>631</v>
      </c>
      <c r="B95" t="s">
        <v>171</v>
      </c>
      <c r="C95" t="s">
        <v>24</v>
      </c>
      <c r="D95" s="10">
        <v>81.5</v>
      </c>
      <c r="E95" s="1">
        <v>45710</v>
      </c>
      <c r="F95" s="6" t="s">
        <v>22</v>
      </c>
      <c r="G95" s="11">
        <v>86</v>
      </c>
      <c r="H95" s="11">
        <v>2</v>
      </c>
      <c r="I95" t="str">
        <f t="shared" si="6"/>
        <v>febrero</v>
      </c>
      <c r="J95" t="str">
        <f t="shared" si="7"/>
        <v>sábado</v>
      </c>
    </row>
    <row r="96" spans="1:10" hidden="1" outlineLevel="2" x14ac:dyDescent="0.3">
      <c r="A96" s="3">
        <v>139</v>
      </c>
      <c r="B96" t="s">
        <v>50</v>
      </c>
      <c r="C96" t="s">
        <v>24</v>
      </c>
      <c r="D96" s="10">
        <v>53.9</v>
      </c>
      <c r="E96" s="1">
        <v>45924</v>
      </c>
      <c r="F96" s="6" t="s">
        <v>22</v>
      </c>
      <c r="G96" s="11">
        <v>87</v>
      </c>
      <c r="H96" s="11">
        <v>1</v>
      </c>
      <c r="I96" t="str">
        <f t="shared" si="6"/>
        <v>septiembre</v>
      </c>
      <c r="J96" t="str">
        <f t="shared" si="7"/>
        <v>miércoles</v>
      </c>
    </row>
    <row r="97" spans="1:10" hidden="1" outlineLevel="2" x14ac:dyDescent="0.3">
      <c r="A97" s="3">
        <v>318</v>
      </c>
      <c r="B97" t="s">
        <v>97</v>
      </c>
      <c r="C97" t="s">
        <v>9</v>
      </c>
      <c r="D97" s="10">
        <v>69.900000000000006</v>
      </c>
      <c r="E97" s="1">
        <v>45854</v>
      </c>
      <c r="F97" s="6" t="s">
        <v>22</v>
      </c>
      <c r="G97" s="11">
        <v>87</v>
      </c>
      <c r="H97" s="11">
        <v>1</v>
      </c>
      <c r="I97" t="str">
        <f t="shared" si="6"/>
        <v>julio</v>
      </c>
      <c r="J97" t="str">
        <f t="shared" si="7"/>
        <v>miércoles</v>
      </c>
    </row>
    <row r="98" spans="1:10" hidden="1" outlineLevel="2" x14ac:dyDescent="0.3">
      <c r="A98" s="3">
        <v>429</v>
      </c>
      <c r="B98" t="s">
        <v>123</v>
      </c>
      <c r="C98" t="s">
        <v>24</v>
      </c>
      <c r="D98" s="10">
        <v>89.3</v>
      </c>
      <c r="E98" s="1">
        <v>45763</v>
      </c>
      <c r="F98" s="6" t="s">
        <v>22</v>
      </c>
      <c r="G98" s="11">
        <v>87</v>
      </c>
      <c r="H98" s="11">
        <v>1</v>
      </c>
      <c r="I98" t="str">
        <f t="shared" si="6"/>
        <v>abril</v>
      </c>
      <c r="J98" t="str">
        <f t="shared" si="7"/>
        <v>miércoles</v>
      </c>
    </row>
    <row r="99" spans="1:10" hidden="1" outlineLevel="2" x14ac:dyDescent="0.3">
      <c r="A99" s="3">
        <v>808</v>
      </c>
      <c r="B99" t="s">
        <v>208</v>
      </c>
      <c r="C99" t="s">
        <v>19</v>
      </c>
      <c r="D99" s="10">
        <v>61.8</v>
      </c>
      <c r="E99" s="1">
        <v>45874</v>
      </c>
      <c r="F99" s="6" t="s">
        <v>22</v>
      </c>
      <c r="G99" s="11">
        <v>88</v>
      </c>
      <c r="H99" s="11">
        <v>1</v>
      </c>
      <c r="I99" t="str">
        <f t="shared" si="6"/>
        <v>agosto</v>
      </c>
      <c r="J99" t="str">
        <f t="shared" si="7"/>
        <v>martes</v>
      </c>
    </row>
    <row r="100" spans="1:10" hidden="1" outlineLevel="2" x14ac:dyDescent="0.3">
      <c r="A100" s="3">
        <v>285</v>
      </c>
      <c r="B100" t="s">
        <v>84</v>
      </c>
      <c r="C100" t="s">
        <v>24</v>
      </c>
      <c r="D100" s="10">
        <v>77</v>
      </c>
      <c r="E100" s="1">
        <v>45957</v>
      </c>
      <c r="F100" s="6" t="s">
        <v>22</v>
      </c>
      <c r="G100" s="11">
        <v>89</v>
      </c>
      <c r="H100" s="11">
        <v>2</v>
      </c>
      <c r="I100" t="str">
        <f t="shared" si="6"/>
        <v>octubre</v>
      </c>
      <c r="J100" t="str">
        <f t="shared" si="7"/>
        <v>lunes</v>
      </c>
    </row>
    <row r="101" spans="1:10" hidden="1" outlineLevel="2" x14ac:dyDescent="0.3">
      <c r="A101" s="3">
        <v>601</v>
      </c>
      <c r="B101" t="s">
        <v>164</v>
      </c>
      <c r="C101" t="s">
        <v>24</v>
      </c>
      <c r="D101" s="10">
        <v>83.5</v>
      </c>
      <c r="E101" s="1">
        <v>45976</v>
      </c>
      <c r="F101" s="6" t="s">
        <v>22</v>
      </c>
      <c r="G101" s="11">
        <v>89</v>
      </c>
      <c r="H101" s="11">
        <v>3</v>
      </c>
      <c r="I101" t="str">
        <f t="shared" si="6"/>
        <v>noviembre</v>
      </c>
      <c r="J101" t="str">
        <f t="shared" si="7"/>
        <v>sábado</v>
      </c>
    </row>
    <row r="102" spans="1:10" hidden="1" outlineLevel="2" x14ac:dyDescent="0.3">
      <c r="A102" s="3">
        <v>916</v>
      </c>
      <c r="B102" t="s">
        <v>238</v>
      </c>
      <c r="C102" t="s">
        <v>19</v>
      </c>
      <c r="D102" s="10">
        <v>58.9</v>
      </c>
      <c r="E102" s="1">
        <v>45921</v>
      </c>
      <c r="F102" s="6" t="s">
        <v>22</v>
      </c>
      <c r="G102" s="11">
        <v>89</v>
      </c>
      <c r="H102" s="11">
        <v>2</v>
      </c>
      <c r="I102" t="str">
        <f t="shared" si="6"/>
        <v>septiembre</v>
      </c>
      <c r="J102" t="str">
        <f t="shared" si="7"/>
        <v>domingo</v>
      </c>
    </row>
    <row r="103" spans="1:10" hidden="1" outlineLevel="2" x14ac:dyDescent="0.3">
      <c r="A103" s="3">
        <v>164</v>
      </c>
      <c r="B103" t="s">
        <v>57</v>
      </c>
      <c r="C103" t="s">
        <v>19</v>
      </c>
      <c r="D103" s="10">
        <v>99.1</v>
      </c>
      <c r="E103" s="1">
        <v>45708</v>
      </c>
      <c r="F103" s="6" t="s">
        <v>22</v>
      </c>
      <c r="G103" s="11">
        <v>92</v>
      </c>
      <c r="H103" s="11">
        <v>2</v>
      </c>
      <c r="I103" t="str">
        <f t="shared" si="6"/>
        <v>febrero</v>
      </c>
      <c r="J103" t="str">
        <f t="shared" si="7"/>
        <v>jueves</v>
      </c>
    </row>
    <row r="104" spans="1:10" hidden="1" outlineLevel="2" x14ac:dyDescent="0.3">
      <c r="A104" s="3">
        <v>145</v>
      </c>
      <c r="B104" t="s">
        <v>52</v>
      </c>
      <c r="C104" t="s">
        <v>9</v>
      </c>
      <c r="D104" s="10">
        <v>87.3</v>
      </c>
      <c r="E104" s="1">
        <v>45878</v>
      </c>
      <c r="F104" s="6" t="s">
        <v>22</v>
      </c>
      <c r="G104" s="11">
        <v>95</v>
      </c>
      <c r="H104" s="11">
        <v>2</v>
      </c>
      <c r="I104" t="str">
        <f t="shared" si="6"/>
        <v>agosto</v>
      </c>
      <c r="J104" t="str">
        <f t="shared" si="7"/>
        <v>sábado</v>
      </c>
    </row>
    <row r="105" spans="1:10" hidden="1" outlineLevel="2" x14ac:dyDescent="0.3">
      <c r="A105" s="3">
        <v>558</v>
      </c>
      <c r="B105" t="s">
        <v>159</v>
      </c>
      <c r="C105" t="s">
        <v>24</v>
      </c>
      <c r="D105" s="10">
        <v>96.3</v>
      </c>
      <c r="E105" s="1">
        <v>45647</v>
      </c>
      <c r="F105" s="6" t="s">
        <v>22</v>
      </c>
      <c r="G105" s="11">
        <v>96</v>
      </c>
      <c r="H105" s="11">
        <v>1</v>
      </c>
      <c r="I105" t="str">
        <f t="shared" si="6"/>
        <v>diciembre</v>
      </c>
      <c r="J105" t="str">
        <f t="shared" si="7"/>
        <v>sábado</v>
      </c>
    </row>
    <row r="106" spans="1:10" hidden="1" outlineLevel="2" x14ac:dyDescent="0.3">
      <c r="A106" s="3">
        <v>659</v>
      </c>
      <c r="B106" t="s">
        <v>177</v>
      </c>
      <c r="C106" t="s">
        <v>9</v>
      </c>
      <c r="D106" s="10">
        <v>98.3</v>
      </c>
      <c r="E106" s="1">
        <v>45986</v>
      </c>
      <c r="F106" s="6" t="s">
        <v>22</v>
      </c>
      <c r="G106" s="11">
        <v>97</v>
      </c>
      <c r="H106" s="11">
        <v>2</v>
      </c>
      <c r="I106" t="str">
        <f t="shared" si="6"/>
        <v>noviembre</v>
      </c>
      <c r="J106" t="str">
        <f t="shared" si="7"/>
        <v>martes</v>
      </c>
    </row>
    <row r="107" spans="1:10" hidden="1" outlineLevel="2" x14ac:dyDescent="0.3">
      <c r="A107" s="3">
        <v>712</v>
      </c>
      <c r="B107" t="s">
        <v>187</v>
      </c>
      <c r="C107" t="s">
        <v>24</v>
      </c>
      <c r="D107" s="10">
        <v>87.6</v>
      </c>
      <c r="E107" s="1">
        <v>45712</v>
      </c>
      <c r="F107" s="6" t="s">
        <v>22</v>
      </c>
      <c r="G107" s="11">
        <v>97</v>
      </c>
      <c r="H107" s="11">
        <v>1</v>
      </c>
      <c r="I107" t="str">
        <f t="shared" si="6"/>
        <v>febrero</v>
      </c>
      <c r="J107" t="str">
        <f t="shared" si="7"/>
        <v>lunes</v>
      </c>
    </row>
    <row r="108" spans="1:10" hidden="1" outlineLevel="2" x14ac:dyDescent="0.3">
      <c r="A108" s="3">
        <v>861</v>
      </c>
      <c r="B108" t="s">
        <v>220</v>
      </c>
      <c r="C108" t="s">
        <v>19</v>
      </c>
      <c r="D108" s="10">
        <v>56.4</v>
      </c>
      <c r="E108" s="1">
        <v>45664</v>
      </c>
      <c r="F108" s="6" t="s">
        <v>22</v>
      </c>
      <c r="G108" s="11">
        <v>97</v>
      </c>
      <c r="H108" s="11">
        <v>2</v>
      </c>
      <c r="I108" t="str">
        <f t="shared" si="6"/>
        <v>enero</v>
      </c>
      <c r="J108" t="str">
        <f t="shared" si="7"/>
        <v>martes</v>
      </c>
    </row>
    <row r="109" spans="1:10" hidden="1" outlineLevel="2" x14ac:dyDescent="0.3">
      <c r="A109" s="3">
        <v>890</v>
      </c>
      <c r="B109" t="s">
        <v>230</v>
      </c>
      <c r="C109" t="s">
        <v>9</v>
      </c>
      <c r="D109" s="10">
        <v>81.7</v>
      </c>
      <c r="E109" s="1">
        <v>45870</v>
      </c>
      <c r="F109" s="6" t="s">
        <v>22</v>
      </c>
      <c r="G109" s="11">
        <v>97</v>
      </c>
      <c r="H109" s="11">
        <v>2</v>
      </c>
      <c r="I109" t="str">
        <f t="shared" si="6"/>
        <v>agosto</v>
      </c>
      <c r="J109" t="str">
        <f t="shared" si="7"/>
        <v>viernes</v>
      </c>
    </row>
    <row r="110" spans="1:10" hidden="1" outlineLevel="2" x14ac:dyDescent="0.3">
      <c r="A110" s="3">
        <v>569</v>
      </c>
      <c r="B110" t="s">
        <v>161</v>
      </c>
      <c r="C110" t="s">
        <v>9</v>
      </c>
      <c r="D110" s="10">
        <v>89.1</v>
      </c>
      <c r="E110" s="1">
        <v>45665</v>
      </c>
      <c r="F110" s="6" t="s">
        <v>22</v>
      </c>
      <c r="G110" s="11">
        <v>99</v>
      </c>
      <c r="H110" s="11">
        <v>1</v>
      </c>
      <c r="I110" t="str">
        <f t="shared" si="6"/>
        <v>enero</v>
      </c>
      <c r="J110" t="str">
        <f t="shared" si="7"/>
        <v>miércoles</v>
      </c>
    </row>
    <row r="111" spans="1:10" hidden="1" outlineLevel="2" x14ac:dyDescent="0.3">
      <c r="A111" s="3">
        <v>157</v>
      </c>
      <c r="B111" t="s">
        <v>55</v>
      </c>
      <c r="C111" t="s">
        <v>24</v>
      </c>
      <c r="D111" s="10">
        <v>70.2</v>
      </c>
      <c r="E111" s="1">
        <v>45780</v>
      </c>
      <c r="F111" s="6" t="s">
        <v>22</v>
      </c>
      <c r="G111" s="11">
        <v>100</v>
      </c>
      <c r="H111" s="11">
        <v>1</v>
      </c>
      <c r="I111" t="str">
        <f t="shared" si="6"/>
        <v>mayo</v>
      </c>
      <c r="J111" t="str">
        <f t="shared" si="7"/>
        <v>sábado</v>
      </c>
    </row>
    <row r="112" spans="1:10" hidden="1" outlineLevel="2" x14ac:dyDescent="0.3">
      <c r="A112" s="3">
        <v>505</v>
      </c>
      <c r="B112" t="s">
        <v>141</v>
      </c>
      <c r="C112" t="s">
        <v>24</v>
      </c>
      <c r="D112" s="10">
        <v>87.7</v>
      </c>
      <c r="E112" s="1">
        <v>45924</v>
      </c>
      <c r="F112" s="6" t="s">
        <v>22</v>
      </c>
      <c r="G112" s="11">
        <v>100</v>
      </c>
      <c r="H112" s="11">
        <v>1</v>
      </c>
      <c r="I112" t="str">
        <f t="shared" si="6"/>
        <v>septiembre</v>
      </c>
      <c r="J112" t="str">
        <f t="shared" si="7"/>
        <v>miércoles</v>
      </c>
    </row>
    <row r="113" spans="1:10" hidden="1" outlineLevel="2" x14ac:dyDescent="0.3">
      <c r="A113" s="3">
        <v>778</v>
      </c>
      <c r="B113" t="s">
        <v>201</v>
      </c>
      <c r="C113" t="s">
        <v>19</v>
      </c>
      <c r="D113" s="10">
        <v>54.5</v>
      </c>
      <c r="E113" s="1">
        <v>45959</v>
      </c>
      <c r="F113" s="6" t="s">
        <v>22</v>
      </c>
      <c r="G113" s="11">
        <v>100</v>
      </c>
      <c r="H113" s="11">
        <v>2</v>
      </c>
      <c r="I113" t="str">
        <f t="shared" si="6"/>
        <v>octubre</v>
      </c>
      <c r="J113" t="str">
        <f t="shared" si="7"/>
        <v>miércoles</v>
      </c>
    </row>
    <row r="114" spans="1:10" hidden="1" outlineLevel="2" x14ac:dyDescent="0.3">
      <c r="A114" s="3">
        <v>887</v>
      </c>
      <c r="B114" t="s">
        <v>229</v>
      </c>
      <c r="C114" t="s">
        <v>9</v>
      </c>
      <c r="D114" s="10">
        <v>56.4</v>
      </c>
      <c r="E114" s="1">
        <v>45914</v>
      </c>
      <c r="F114" s="6" t="s">
        <v>22</v>
      </c>
      <c r="G114" s="11">
        <v>100</v>
      </c>
      <c r="H114" s="11">
        <v>1</v>
      </c>
      <c r="I114" t="str">
        <f t="shared" si="6"/>
        <v>septiembre</v>
      </c>
      <c r="J114" t="str">
        <f t="shared" si="7"/>
        <v>domingo</v>
      </c>
    </row>
    <row r="115" spans="1:10" hidden="1" outlineLevel="2" x14ac:dyDescent="0.3">
      <c r="A115" s="3">
        <v>971</v>
      </c>
      <c r="B115" t="s">
        <v>249</v>
      </c>
      <c r="C115" t="s">
        <v>19</v>
      </c>
      <c r="D115" s="10">
        <v>90.5</v>
      </c>
      <c r="E115" s="1">
        <v>45794</v>
      </c>
      <c r="F115" s="6" t="s">
        <v>22</v>
      </c>
      <c r="G115" s="11">
        <v>100</v>
      </c>
      <c r="H115" s="11">
        <v>1</v>
      </c>
      <c r="I115" t="str">
        <f t="shared" si="6"/>
        <v>mayo</v>
      </c>
      <c r="J115" t="str">
        <f t="shared" si="7"/>
        <v>sábado</v>
      </c>
    </row>
    <row r="116" spans="1:10" outlineLevel="1" collapsed="1" x14ac:dyDescent="0.3">
      <c r="A116" s="3"/>
      <c r="D116" s="10"/>
      <c r="F116" s="15" t="s">
        <v>276</v>
      </c>
      <c r="G116" s="10">
        <f>SUBTOTAL(1,G48:G115)</f>
        <v>62.897058823529413</v>
      </c>
    </row>
    <row r="117" spans="1:10" hidden="1" outlineLevel="2" x14ac:dyDescent="0.3">
      <c r="A117" s="3">
        <v>621</v>
      </c>
      <c r="B117" t="s">
        <v>169</v>
      </c>
      <c r="C117" t="s">
        <v>12</v>
      </c>
      <c r="D117" s="10">
        <v>67</v>
      </c>
      <c r="E117" s="1">
        <v>45698</v>
      </c>
      <c r="F117" s="6" t="s">
        <v>20</v>
      </c>
      <c r="G117" s="11">
        <v>0</v>
      </c>
      <c r="H117" s="11">
        <v>2</v>
      </c>
      <c r="I117" t="str">
        <f t="shared" ref="I117:I159" si="8">TEXT(E117,"MMMM")</f>
        <v>febrero</v>
      </c>
      <c r="J117" t="str">
        <f t="shared" ref="J117:J159" si="9">TEXT(E117,"DDDD")</f>
        <v>lunes</v>
      </c>
    </row>
    <row r="118" spans="1:10" hidden="1" outlineLevel="2" x14ac:dyDescent="0.3">
      <c r="A118" s="3">
        <v>629</v>
      </c>
      <c r="B118" t="s">
        <v>170</v>
      </c>
      <c r="C118" t="s">
        <v>12</v>
      </c>
      <c r="D118" s="10">
        <v>91.7</v>
      </c>
      <c r="E118" s="1">
        <v>45687</v>
      </c>
      <c r="F118" s="6" t="s">
        <v>20</v>
      </c>
      <c r="G118" s="11">
        <v>0</v>
      </c>
      <c r="H118" s="11">
        <v>3</v>
      </c>
      <c r="I118" t="str">
        <f t="shared" si="8"/>
        <v>enero</v>
      </c>
      <c r="J118" t="str">
        <f t="shared" si="9"/>
        <v>jueves</v>
      </c>
    </row>
    <row r="119" spans="1:10" hidden="1" outlineLevel="2" x14ac:dyDescent="0.3">
      <c r="A119" s="3">
        <v>620</v>
      </c>
      <c r="B119" t="s">
        <v>168</v>
      </c>
      <c r="C119" t="s">
        <v>12</v>
      </c>
      <c r="D119" s="10">
        <v>94.8</v>
      </c>
      <c r="E119" s="1">
        <v>45802</v>
      </c>
      <c r="F119" s="6" t="s">
        <v>20</v>
      </c>
      <c r="G119" s="11">
        <v>2</v>
      </c>
      <c r="H119" s="11">
        <v>3</v>
      </c>
      <c r="I119" t="str">
        <f t="shared" si="8"/>
        <v>mayo</v>
      </c>
      <c r="J119" t="str">
        <f t="shared" si="9"/>
        <v>domingo</v>
      </c>
    </row>
    <row r="120" spans="1:10" hidden="1" outlineLevel="2" x14ac:dyDescent="0.3">
      <c r="A120" s="3">
        <v>420</v>
      </c>
      <c r="B120" t="s">
        <v>121</v>
      </c>
      <c r="C120" t="s">
        <v>12</v>
      </c>
      <c r="D120" s="10">
        <v>52.4</v>
      </c>
      <c r="E120" s="1">
        <v>45951</v>
      </c>
      <c r="F120" s="6" t="s">
        <v>20</v>
      </c>
      <c r="G120" s="11">
        <v>24</v>
      </c>
      <c r="H120" s="11">
        <v>3</v>
      </c>
      <c r="I120" t="str">
        <f t="shared" si="8"/>
        <v>octubre</v>
      </c>
      <c r="J120" t="str">
        <f t="shared" si="9"/>
        <v>martes</v>
      </c>
    </row>
    <row r="121" spans="1:10" hidden="1" outlineLevel="2" x14ac:dyDescent="0.3">
      <c r="A121" s="3">
        <v>480</v>
      </c>
      <c r="B121" t="s">
        <v>134</v>
      </c>
      <c r="C121" t="s">
        <v>12</v>
      </c>
      <c r="D121" s="10">
        <v>98.8</v>
      </c>
      <c r="E121" s="1">
        <v>45920</v>
      </c>
      <c r="F121" s="6" t="s">
        <v>20</v>
      </c>
      <c r="G121" s="11">
        <v>25</v>
      </c>
      <c r="H121" s="11">
        <v>1</v>
      </c>
      <c r="I121" t="str">
        <f t="shared" si="8"/>
        <v>septiembre</v>
      </c>
      <c r="J121" t="str">
        <f t="shared" si="9"/>
        <v>sábado</v>
      </c>
    </row>
    <row r="122" spans="1:10" hidden="1" outlineLevel="2" x14ac:dyDescent="0.3">
      <c r="A122" s="3">
        <v>70</v>
      </c>
      <c r="B122" t="s">
        <v>33</v>
      </c>
      <c r="C122" t="s">
        <v>19</v>
      </c>
      <c r="D122" s="10">
        <v>52.7</v>
      </c>
      <c r="E122" s="1">
        <v>45766</v>
      </c>
      <c r="F122" s="6" t="s">
        <v>20</v>
      </c>
      <c r="G122" s="11">
        <v>34</v>
      </c>
      <c r="H122" s="11">
        <v>3</v>
      </c>
      <c r="I122" t="str">
        <f t="shared" si="8"/>
        <v>abril</v>
      </c>
      <c r="J122" t="str">
        <f t="shared" si="9"/>
        <v>sábado</v>
      </c>
    </row>
    <row r="123" spans="1:10" hidden="1" outlineLevel="2" x14ac:dyDescent="0.3">
      <c r="A123" s="3">
        <v>316</v>
      </c>
      <c r="B123" t="s">
        <v>96</v>
      </c>
      <c r="C123" t="s">
        <v>19</v>
      </c>
      <c r="D123" s="10">
        <v>72.599999999999994</v>
      </c>
      <c r="E123" s="1">
        <v>45866</v>
      </c>
      <c r="F123" s="6" t="s">
        <v>20</v>
      </c>
      <c r="G123" s="11">
        <v>34</v>
      </c>
      <c r="H123" s="11">
        <v>1</v>
      </c>
      <c r="I123" t="str">
        <f t="shared" si="8"/>
        <v>julio</v>
      </c>
      <c r="J123" t="str">
        <f t="shared" si="9"/>
        <v>lunes</v>
      </c>
    </row>
    <row r="124" spans="1:10" hidden="1" outlineLevel="2" x14ac:dyDescent="0.3">
      <c r="A124" s="3">
        <v>483</v>
      </c>
      <c r="B124" t="s">
        <v>135</v>
      </c>
      <c r="C124" t="s">
        <v>19</v>
      </c>
      <c r="D124" s="10">
        <v>56.7</v>
      </c>
      <c r="E124" s="1">
        <v>45704</v>
      </c>
      <c r="F124" s="6" t="s">
        <v>20</v>
      </c>
      <c r="G124" s="11">
        <v>38</v>
      </c>
      <c r="H124" s="11">
        <v>3</v>
      </c>
      <c r="I124" t="str">
        <f t="shared" si="8"/>
        <v>febrero</v>
      </c>
      <c r="J124" t="str">
        <f t="shared" si="9"/>
        <v>domingo</v>
      </c>
    </row>
    <row r="125" spans="1:10" hidden="1" outlineLevel="2" x14ac:dyDescent="0.3">
      <c r="A125" s="3">
        <v>925</v>
      </c>
      <c r="B125" t="s">
        <v>240</v>
      </c>
      <c r="C125" t="s">
        <v>12</v>
      </c>
      <c r="D125" s="10">
        <v>75</v>
      </c>
      <c r="E125" s="1">
        <v>45698</v>
      </c>
      <c r="F125" s="6" t="s">
        <v>20</v>
      </c>
      <c r="G125" s="11">
        <v>38</v>
      </c>
      <c r="H125" s="11">
        <v>2</v>
      </c>
      <c r="I125" t="str">
        <f t="shared" si="8"/>
        <v>febrero</v>
      </c>
      <c r="J125" t="str">
        <f t="shared" si="9"/>
        <v>lunes</v>
      </c>
    </row>
    <row r="126" spans="1:10" hidden="1" outlineLevel="2" x14ac:dyDescent="0.3">
      <c r="A126" s="3">
        <v>400</v>
      </c>
      <c r="B126" t="s">
        <v>115</v>
      </c>
      <c r="C126" t="s">
        <v>19</v>
      </c>
      <c r="D126" s="10">
        <v>69.8</v>
      </c>
      <c r="E126" s="1">
        <v>45633</v>
      </c>
      <c r="F126" s="6" t="s">
        <v>20</v>
      </c>
      <c r="G126" s="11">
        <v>39</v>
      </c>
      <c r="H126" s="11">
        <v>3</v>
      </c>
      <c r="I126" t="str">
        <f t="shared" si="8"/>
        <v>diciembre</v>
      </c>
      <c r="J126" t="str">
        <f t="shared" si="9"/>
        <v>sábado</v>
      </c>
    </row>
    <row r="127" spans="1:10" hidden="1" outlineLevel="2" x14ac:dyDescent="0.3">
      <c r="A127" s="3">
        <v>25</v>
      </c>
      <c r="B127" t="s">
        <v>18</v>
      </c>
      <c r="C127" t="s">
        <v>19</v>
      </c>
      <c r="D127" s="10">
        <v>69.3</v>
      </c>
      <c r="E127" s="1">
        <v>45970</v>
      </c>
      <c r="F127" s="6" t="s">
        <v>20</v>
      </c>
      <c r="G127" s="11">
        <v>41</v>
      </c>
      <c r="H127" s="11">
        <v>2</v>
      </c>
      <c r="I127" t="str">
        <f t="shared" si="8"/>
        <v>noviembre</v>
      </c>
      <c r="J127" t="str">
        <f t="shared" si="9"/>
        <v>domingo</v>
      </c>
    </row>
    <row r="128" spans="1:10" hidden="1" outlineLevel="2" x14ac:dyDescent="0.3">
      <c r="A128" s="3">
        <v>115</v>
      </c>
      <c r="B128" t="s">
        <v>44</v>
      </c>
      <c r="C128" t="s">
        <v>19</v>
      </c>
      <c r="D128" s="10">
        <v>82.6</v>
      </c>
      <c r="E128" s="1">
        <v>45987</v>
      </c>
      <c r="F128" s="6" t="s">
        <v>20</v>
      </c>
      <c r="G128" s="11">
        <v>42</v>
      </c>
      <c r="H128" s="11">
        <v>3</v>
      </c>
      <c r="I128" t="str">
        <f t="shared" si="8"/>
        <v>noviembre</v>
      </c>
      <c r="J128" t="str">
        <f t="shared" si="9"/>
        <v>miércoles</v>
      </c>
    </row>
    <row r="129" spans="1:10" hidden="1" outlineLevel="2" x14ac:dyDescent="0.3">
      <c r="A129" s="3">
        <v>179</v>
      </c>
      <c r="B129" t="s">
        <v>62</v>
      </c>
      <c r="C129" t="s">
        <v>19</v>
      </c>
      <c r="D129" s="10">
        <v>71.400000000000006</v>
      </c>
      <c r="E129" s="1">
        <v>45667</v>
      </c>
      <c r="F129" s="6" t="s">
        <v>20</v>
      </c>
      <c r="G129" s="11">
        <v>45</v>
      </c>
      <c r="H129" s="11">
        <v>1</v>
      </c>
      <c r="I129" t="str">
        <f t="shared" si="8"/>
        <v>enero</v>
      </c>
      <c r="J129" t="str">
        <f t="shared" si="9"/>
        <v>viernes</v>
      </c>
    </row>
    <row r="130" spans="1:10" hidden="1" outlineLevel="2" x14ac:dyDescent="0.3">
      <c r="A130" s="3">
        <v>100</v>
      </c>
      <c r="B130" t="s">
        <v>41</v>
      </c>
      <c r="C130" t="s">
        <v>12</v>
      </c>
      <c r="D130" s="10">
        <v>70.3</v>
      </c>
      <c r="E130" s="1">
        <v>45835</v>
      </c>
      <c r="F130" s="6" t="s">
        <v>20</v>
      </c>
      <c r="G130" s="11">
        <v>55</v>
      </c>
      <c r="H130" s="11">
        <v>1</v>
      </c>
      <c r="I130" t="str">
        <f t="shared" si="8"/>
        <v>junio</v>
      </c>
      <c r="J130" t="str">
        <f t="shared" si="9"/>
        <v>viernes</v>
      </c>
    </row>
    <row r="131" spans="1:10" hidden="1" outlineLevel="2" x14ac:dyDescent="0.3">
      <c r="A131" s="3">
        <v>870</v>
      </c>
      <c r="B131" t="s">
        <v>223</v>
      </c>
      <c r="C131" t="s">
        <v>19</v>
      </c>
      <c r="D131" s="10">
        <v>56.1</v>
      </c>
      <c r="E131" s="1">
        <v>45675</v>
      </c>
      <c r="F131" s="6" t="s">
        <v>20</v>
      </c>
      <c r="G131" s="11">
        <v>55</v>
      </c>
      <c r="H131" s="11">
        <v>3</v>
      </c>
      <c r="I131" t="str">
        <f t="shared" si="8"/>
        <v>enero</v>
      </c>
      <c r="J131" t="str">
        <f t="shared" si="9"/>
        <v>sábado</v>
      </c>
    </row>
    <row r="132" spans="1:10" hidden="1" outlineLevel="2" x14ac:dyDescent="0.3">
      <c r="A132" s="3">
        <v>46</v>
      </c>
      <c r="B132" t="s">
        <v>28</v>
      </c>
      <c r="C132" t="s">
        <v>12</v>
      </c>
      <c r="D132" s="10">
        <v>98.8</v>
      </c>
      <c r="E132" s="1">
        <v>45770</v>
      </c>
      <c r="F132" s="6" t="s">
        <v>20</v>
      </c>
      <c r="G132" s="11">
        <v>59</v>
      </c>
      <c r="H132" s="11">
        <v>1</v>
      </c>
      <c r="I132" t="str">
        <f t="shared" si="8"/>
        <v>abril</v>
      </c>
      <c r="J132" t="str">
        <f t="shared" si="9"/>
        <v>miércoles</v>
      </c>
    </row>
    <row r="133" spans="1:10" hidden="1" outlineLevel="2" x14ac:dyDescent="0.3">
      <c r="A133" s="3">
        <v>213</v>
      </c>
      <c r="B133" t="s">
        <v>66</v>
      </c>
      <c r="C133" t="s">
        <v>12</v>
      </c>
      <c r="D133" s="10">
        <v>91.4</v>
      </c>
      <c r="E133" s="1">
        <v>45702</v>
      </c>
      <c r="F133" s="6" t="s">
        <v>20</v>
      </c>
      <c r="G133" s="11">
        <v>60</v>
      </c>
      <c r="H133" s="11">
        <v>3</v>
      </c>
      <c r="I133" t="str">
        <f t="shared" si="8"/>
        <v>febrero</v>
      </c>
      <c r="J133" t="str">
        <f t="shared" si="9"/>
        <v>viernes</v>
      </c>
    </row>
    <row r="134" spans="1:10" hidden="1" outlineLevel="2" x14ac:dyDescent="0.3">
      <c r="A134" s="3">
        <v>904</v>
      </c>
      <c r="B134" t="s">
        <v>235</v>
      </c>
      <c r="C134" t="s">
        <v>12</v>
      </c>
      <c r="D134" s="10">
        <v>79.7</v>
      </c>
      <c r="E134" s="1">
        <v>45679</v>
      </c>
      <c r="F134" s="6" t="s">
        <v>20</v>
      </c>
      <c r="G134" s="11">
        <v>61</v>
      </c>
      <c r="H134" s="11">
        <v>1</v>
      </c>
      <c r="I134" t="str">
        <f t="shared" si="8"/>
        <v>enero</v>
      </c>
      <c r="J134" t="str">
        <f t="shared" si="9"/>
        <v>miércoles</v>
      </c>
    </row>
    <row r="135" spans="1:10" hidden="1" outlineLevel="2" x14ac:dyDescent="0.3">
      <c r="A135" s="3">
        <v>469</v>
      </c>
      <c r="B135" t="s">
        <v>133</v>
      </c>
      <c r="C135" t="s">
        <v>12</v>
      </c>
      <c r="D135" s="10">
        <v>72.2</v>
      </c>
      <c r="E135" s="1">
        <v>45700</v>
      </c>
      <c r="F135" s="6" t="s">
        <v>20</v>
      </c>
      <c r="G135" s="11">
        <v>62</v>
      </c>
      <c r="H135" s="11">
        <v>1</v>
      </c>
      <c r="I135" t="str">
        <f t="shared" si="8"/>
        <v>febrero</v>
      </c>
      <c r="J135" t="str">
        <f t="shared" si="9"/>
        <v>miércoles</v>
      </c>
    </row>
    <row r="136" spans="1:10" hidden="1" outlineLevel="2" x14ac:dyDescent="0.3">
      <c r="A136" s="3">
        <v>716</v>
      </c>
      <c r="B136" t="s">
        <v>188</v>
      </c>
      <c r="C136" t="s">
        <v>19</v>
      </c>
      <c r="D136" s="10">
        <v>90.1</v>
      </c>
      <c r="E136" s="1">
        <v>45979</v>
      </c>
      <c r="F136" s="6" t="s">
        <v>20</v>
      </c>
      <c r="G136" s="11">
        <v>62</v>
      </c>
      <c r="H136" s="11">
        <v>1</v>
      </c>
      <c r="I136" t="str">
        <f t="shared" si="8"/>
        <v>noviembre</v>
      </c>
      <c r="J136" t="str">
        <f t="shared" si="9"/>
        <v>martes</v>
      </c>
    </row>
    <row r="137" spans="1:10" hidden="1" outlineLevel="2" x14ac:dyDescent="0.3">
      <c r="A137" s="3">
        <v>292</v>
      </c>
      <c r="B137" t="s">
        <v>88</v>
      </c>
      <c r="C137" t="s">
        <v>19</v>
      </c>
      <c r="D137" s="10">
        <v>54.7</v>
      </c>
      <c r="E137" s="1">
        <v>45659</v>
      </c>
      <c r="F137" s="6" t="s">
        <v>20</v>
      </c>
      <c r="G137" s="11">
        <v>70</v>
      </c>
      <c r="H137" s="11">
        <v>3</v>
      </c>
      <c r="I137" t="str">
        <f t="shared" si="8"/>
        <v>enero</v>
      </c>
      <c r="J137" t="str">
        <f t="shared" si="9"/>
        <v>jueves</v>
      </c>
    </row>
    <row r="138" spans="1:10" hidden="1" outlineLevel="2" x14ac:dyDescent="0.3">
      <c r="A138" s="3">
        <v>746</v>
      </c>
      <c r="B138" t="s">
        <v>193</v>
      </c>
      <c r="C138" t="s">
        <v>12</v>
      </c>
      <c r="D138" s="10">
        <v>83.8</v>
      </c>
      <c r="E138" s="1">
        <v>45954</v>
      </c>
      <c r="F138" s="6" t="s">
        <v>20</v>
      </c>
      <c r="G138" s="11">
        <v>71</v>
      </c>
      <c r="H138" s="11">
        <v>3</v>
      </c>
      <c r="I138" t="str">
        <f t="shared" si="8"/>
        <v>octubre</v>
      </c>
      <c r="J138" t="str">
        <f t="shared" si="9"/>
        <v>viernes</v>
      </c>
    </row>
    <row r="139" spans="1:10" hidden="1" outlineLevel="2" x14ac:dyDescent="0.3">
      <c r="A139" s="3">
        <v>134</v>
      </c>
      <c r="B139" t="s">
        <v>49</v>
      </c>
      <c r="C139" t="s">
        <v>12</v>
      </c>
      <c r="D139" s="10">
        <v>50.9</v>
      </c>
      <c r="E139" s="1">
        <v>45873</v>
      </c>
      <c r="F139" s="6" t="s">
        <v>20</v>
      </c>
      <c r="G139" s="11">
        <v>72</v>
      </c>
      <c r="H139" s="11">
        <v>2</v>
      </c>
      <c r="I139" t="str">
        <f t="shared" si="8"/>
        <v>agosto</v>
      </c>
      <c r="J139" t="str">
        <f t="shared" si="9"/>
        <v>lunes</v>
      </c>
    </row>
    <row r="140" spans="1:10" hidden="1" outlineLevel="2" x14ac:dyDescent="0.3">
      <c r="A140" s="3">
        <v>434</v>
      </c>
      <c r="B140" t="s">
        <v>124</v>
      </c>
      <c r="C140" t="s">
        <v>12</v>
      </c>
      <c r="D140" s="10">
        <v>70.400000000000006</v>
      </c>
      <c r="E140" s="1">
        <v>45805</v>
      </c>
      <c r="F140" s="6" t="s">
        <v>20</v>
      </c>
      <c r="G140" s="11">
        <v>72</v>
      </c>
      <c r="H140" s="11">
        <v>3</v>
      </c>
      <c r="I140" t="str">
        <f t="shared" si="8"/>
        <v>mayo</v>
      </c>
      <c r="J140" t="str">
        <f t="shared" si="9"/>
        <v>miércoles</v>
      </c>
    </row>
    <row r="141" spans="1:10" hidden="1" outlineLevel="2" x14ac:dyDescent="0.3">
      <c r="A141" s="3">
        <v>522</v>
      </c>
      <c r="B141" t="s">
        <v>147</v>
      </c>
      <c r="C141" t="s">
        <v>12</v>
      </c>
      <c r="D141" s="10">
        <v>92.3</v>
      </c>
      <c r="E141" s="1">
        <v>45874</v>
      </c>
      <c r="F141" s="6" t="s">
        <v>20</v>
      </c>
      <c r="G141" s="11">
        <v>80</v>
      </c>
      <c r="H141" s="11">
        <v>1</v>
      </c>
      <c r="I141" t="str">
        <f t="shared" si="8"/>
        <v>agosto</v>
      </c>
      <c r="J141" t="str">
        <f t="shared" si="9"/>
        <v>martes</v>
      </c>
    </row>
    <row r="142" spans="1:10" hidden="1" outlineLevel="2" x14ac:dyDescent="0.3">
      <c r="A142" s="3">
        <v>797</v>
      </c>
      <c r="B142" t="s">
        <v>206</v>
      </c>
      <c r="C142" t="s">
        <v>12</v>
      </c>
      <c r="D142" s="10">
        <v>67</v>
      </c>
      <c r="E142" s="1">
        <v>45875</v>
      </c>
      <c r="F142" s="6" t="s">
        <v>20</v>
      </c>
      <c r="G142" s="11">
        <v>80</v>
      </c>
      <c r="H142" s="11">
        <v>3</v>
      </c>
      <c r="I142" t="str">
        <f t="shared" si="8"/>
        <v>agosto</v>
      </c>
      <c r="J142" t="str">
        <f t="shared" si="9"/>
        <v>miércoles</v>
      </c>
    </row>
    <row r="143" spans="1:10" hidden="1" outlineLevel="2" x14ac:dyDescent="0.3">
      <c r="A143" s="3">
        <v>868</v>
      </c>
      <c r="B143" t="s">
        <v>222</v>
      </c>
      <c r="C143" t="s">
        <v>19</v>
      </c>
      <c r="D143" s="10">
        <v>50.8</v>
      </c>
      <c r="E143" s="1">
        <v>45780</v>
      </c>
      <c r="F143" s="6" t="s">
        <v>20</v>
      </c>
      <c r="G143" s="11">
        <v>81</v>
      </c>
      <c r="H143" s="11">
        <v>2</v>
      </c>
      <c r="I143" t="str">
        <f t="shared" si="8"/>
        <v>mayo</v>
      </c>
      <c r="J143" t="str">
        <f t="shared" si="9"/>
        <v>sábado</v>
      </c>
    </row>
    <row r="144" spans="1:10" hidden="1" outlineLevel="2" x14ac:dyDescent="0.3">
      <c r="A144" s="3">
        <v>520</v>
      </c>
      <c r="B144" t="s">
        <v>145</v>
      </c>
      <c r="C144" t="s">
        <v>12</v>
      </c>
      <c r="D144" s="10">
        <v>72.099999999999994</v>
      </c>
      <c r="E144" s="1">
        <v>45857</v>
      </c>
      <c r="F144" s="6" t="s">
        <v>20</v>
      </c>
      <c r="G144" s="11">
        <v>86</v>
      </c>
      <c r="H144" s="11">
        <v>3</v>
      </c>
      <c r="I144" t="str">
        <f t="shared" si="8"/>
        <v>julio</v>
      </c>
      <c r="J144" t="str">
        <f t="shared" si="9"/>
        <v>sábado</v>
      </c>
    </row>
    <row r="145" spans="1:10" hidden="1" outlineLevel="2" x14ac:dyDescent="0.3">
      <c r="A145" s="3">
        <v>561</v>
      </c>
      <c r="B145" t="s">
        <v>160</v>
      </c>
      <c r="C145" t="s">
        <v>19</v>
      </c>
      <c r="D145" s="10">
        <v>82.6</v>
      </c>
      <c r="E145" s="1">
        <v>45972</v>
      </c>
      <c r="F145" s="6" t="s">
        <v>20</v>
      </c>
      <c r="G145" s="11">
        <v>87</v>
      </c>
      <c r="H145" s="11">
        <v>1</v>
      </c>
      <c r="I145" t="str">
        <f t="shared" si="8"/>
        <v>noviembre</v>
      </c>
      <c r="J145" t="str">
        <f t="shared" si="9"/>
        <v>martes</v>
      </c>
    </row>
    <row r="146" spans="1:10" hidden="1" outlineLevel="2" x14ac:dyDescent="0.3">
      <c r="A146" s="3">
        <v>216</v>
      </c>
      <c r="B146" t="s">
        <v>67</v>
      </c>
      <c r="C146" t="s">
        <v>19</v>
      </c>
      <c r="D146" s="10">
        <v>65.099999999999994</v>
      </c>
      <c r="E146" s="1">
        <v>45678</v>
      </c>
      <c r="F146" s="6" t="s">
        <v>20</v>
      </c>
      <c r="G146" s="11">
        <v>88</v>
      </c>
      <c r="H146" s="11">
        <v>1</v>
      </c>
      <c r="I146" t="str">
        <f t="shared" si="8"/>
        <v>enero</v>
      </c>
      <c r="J146" t="str">
        <f t="shared" si="9"/>
        <v>martes</v>
      </c>
    </row>
    <row r="147" spans="1:10" hidden="1" outlineLevel="2" x14ac:dyDescent="0.3">
      <c r="A147" s="3">
        <v>522</v>
      </c>
      <c r="B147" t="s">
        <v>147</v>
      </c>
      <c r="C147" t="s">
        <v>19</v>
      </c>
      <c r="D147" s="10">
        <v>97.7</v>
      </c>
      <c r="E147" s="1">
        <v>45821</v>
      </c>
      <c r="F147" s="6" t="s">
        <v>20</v>
      </c>
      <c r="G147" s="11">
        <v>89</v>
      </c>
      <c r="H147" s="11">
        <v>1</v>
      </c>
      <c r="I147" t="str">
        <f t="shared" si="8"/>
        <v>junio</v>
      </c>
      <c r="J147" t="str">
        <f t="shared" si="9"/>
        <v>viernes</v>
      </c>
    </row>
    <row r="148" spans="1:10" hidden="1" outlineLevel="2" x14ac:dyDescent="0.3">
      <c r="A148" s="3">
        <v>89</v>
      </c>
      <c r="B148" t="s">
        <v>38</v>
      </c>
      <c r="C148" t="s">
        <v>12</v>
      </c>
      <c r="D148" s="10">
        <v>81.7</v>
      </c>
      <c r="E148" s="1">
        <v>45660</v>
      </c>
      <c r="F148" s="6" t="s">
        <v>20</v>
      </c>
      <c r="G148" s="11">
        <v>90</v>
      </c>
      <c r="H148" s="11">
        <v>2</v>
      </c>
      <c r="I148" t="str">
        <f t="shared" si="8"/>
        <v>enero</v>
      </c>
      <c r="J148" t="str">
        <f t="shared" si="9"/>
        <v>viernes</v>
      </c>
    </row>
    <row r="149" spans="1:10" hidden="1" outlineLevel="2" x14ac:dyDescent="0.3">
      <c r="A149" s="3">
        <v>242</v>
      </c>
      <c r="B149" t="s">
        <v>72</v>
      </c>
      <c r="C149" t="s">
        <v>12</v>
      </c>
      <c r="D149" s="10">
        <v>73</v>
      </c>
      <c r="E149" s="1">
        <v>45656</v>
      </c>
      <c r="F149" s="6" t="s">
        <v>20</v>
      </c>
      <c r="G149" s="11">
        <v>90</v>
      </c>
      <c r="H149" s="11">
        <v>2</v>
      </c>
      <c r="I149" t="str">
        <f t="shared" si="8"/>
        <v>diciembre</v>
      </c>
      <c r="J149" t="str">
        <f t="shared" si="9"/>
        <v>lunes</v>
      </c>
    </row>
    <row r="150" spans="1:10" hidden="1" outlineLevel="2" x14ac:dyDescent="0.3">
      <c r="A150" s="3">
        <v>324</v>
      </c>
      <c r="B150" t="s">
        <v>99</v>
      </c>
      <c r="C150" t="s">
        <v>12</v>
      </c>
      <c r="D150" s="10">
        <v>75.900000000000006</v>
      </c>
      <c r="E150" s="1">
        <v>45683</v>
      </c>
      <c r="F150" s="6" t="s">
        <v>20</v>
      </c>
      <c r="G150" s="11">
        <v>90</v>
      </c>
      <c r="H150" s="11">
        <v>2</v>
      </c>
      <c r="I150" t="str">
        <f t="shared" si="8"/>
        <v>enero</v>
      </c>
      <c r="J150" t="str">
        <f t="shared" si="9"/>
        <v>domingo</v>
      </c>
    </row>
    <row r="151" spans="1:10" hidden="1" outlineLevel="2" x14ac:dyDescent="0.3">
      <c r="A151" s="3">
        <v>786</v>
      </c>
      <c r="B151" t="s">
        <v>202</v>
      </c>
      <c r="C151" t="s">
        <v>12</v>
      </c>
      <c r="D151" s="10">
        <v>61.2</v>
      </c>
      <c r="E151" s="1">
        <v>45833</v>
      </c>
      <c r="F151" s="6" t="s">
        <v>20</v>
      </c>
      <c r="G151" s="11">
        <v>94</v>
      </c>
      <c r="H151" s="11">
        <v>3</v>
      </c>
      <c r="I151" t="str">
        <f t="shared" si="8"/>
        <v>junio</v>
      </c>
      <c r="J151" t="str">
        <f t="shared" si="9"/>
        <v>miércoles</v>
      </c>
    </row>
    <row r="152" spans="1:10" hidden="1" outlineLevel="2" x14ac:dyDescent="0.3">
      <c r="A152" s="3">
        <v>556</v>
      </c>
      <c r="B152" t="s">
        <v>158</v>
      </c>
      <c r="C152" t="s">
        <v>19</v>
      </c>
      <c r="D152" s="10">
        <v>91.6</v>
      </c>
      <c r="E152" s="1">
        <v>45737</v>
      </c>
      <c r="F152" s="6" t="s">
        <v>20</v>
      </c>
      <c r="G152" s="11">
        <v>97</v>
      </c>
      <c r="H152" s="11">
        <v>2</v>
      </c>
      <c r="I152" t="str">
        <f t="shared" si="8"/>
        <v>marzo</v>
      </c>
      <c r="J152" t="str">
        <f t="shared" si="9"/>
        <v>viernes</v>
      </c>
    </row>
    <row r="153" spans="1:10" hidden="1" outlineLevel="2" x14ac:dyDescent="0.3">
      <c r="A153" s="3">
        <v>794</v>
      </c>
      <c r="B153" t="s">
        <v>205</v>
      </c>
      <c r="C153" t="s">
        <v>12</v>
      </c>
      <c r="D153" s="10">
        <v>75.8</v>
      </c>
      <c r="E153" s="1">
        <v>45799</v>
      </c>
      <c r="F153" s="6" t="s">
        <v>20</v>
      </c>
      <c r="G153" s="11">
        <v>97</v>
      </c>
      <c r="H153" s="11">
        <v>2</v>
      </c>
      <c r="I153" t="str">
        <f t="shared" si="8"/>
        <v>mayo</v>
      </c>
      <c r="J153" t="str">
        <f t="shared" si="9"/>
        <v>jueves</v>
      </c>
    </row>
    <row r="154" spans="1:10" hidden="1" outlineLevel="2" x14ac:dyDescent="0.3">
      <c r="A154" s="3">
        <v>51</v>
      </c>
      <c r="B154" t="s">
        <v>29</v>
      </c>
      <c r="C154" t="s">
        <v>12</v>
      </c>
      <c r="D154" s="10">
        <v>82.6</v>
      </c>
      <c r="E154" s="1">
        <v>45685</v>
      </c>
      <c r="F154" s="6" t="s">
        <v>20</v>
      </c>
      <c r="G154" s="11">
        <v>100</v>
      </c>
      <c r="H154" s="11">
        <v>3</v>
      </c>
      <c r="I154" t="str">
        <f t="shared" si="8"/>
        <v>enero</v>
      </c>
      <c r="J154" t="str">
        <f t="shared" si="9"/>
        <v>martes</v>
      </c>
    </row>
    <row r="155" spans="1:10" hidden="1" outlineLevel="2" x14ac:dyDescent="0.3">
      <c r="A155" s="3">
        <v>177</v>
      </c>
      <c r="B155" t="s">
        <v>60</v>
      </c>
      <c r="C155" t="s">
        <v>12</v>
      </c>
      <c r="D155" s="10">
        <v>94.2</v>
      </c>
      <c r="E155" s="1">
        <v>45673</v>
      </c>
      <c r="F155" s="6" t="s">
        <v>20</v>
      </c>
      <c r="G155" s="11">
        <v>100</v>
      </c>
      <c r="H155" s="11">
        <v>3</v>
      </c>
      <c r="I155" t="str">
        <f t="shared" si="8"/>
        <v>enero</v>
      </c>
      <c r="J155" t="str">
        <f t="shared" si="9"/>
        <v>jueves</v>
      </c>
    </row>
    <row r="156" spans="1:10" hidden="1" outlineLevel="2" x14ac:dyDescent="0.3">
      <c r="A156" s="3">
        <v>372</v>
      </c>
      <c r="B156" t="s">
        <v>108</v>
      </c>
      <c r="C156" t="s">
        <v>12</v>
      </c>
      <c r="D156" s="10">
        <v>97.2</v>
      </c>
      <c r="E156" s="1">
        <v>45843</v>
      </c>
      <c r="F156" s="6" t="s">
        <v>20</v>
      </c>
      <c r="G156" s="11">
        <v>100</v>
      </c>
      <c r="H156" s="11">
        <v>1</v>
      </c>
      <c r="I156" t="str">
        <f t="shared" si="8"/>
        <v>julio</v>
      </c>
      <c r="J156" t="str">
        <f t="shared" si="9"/>
        <v>sábado</v>
      </c>
    </row>
    <row r="157" spans="1:10" hidden="1" outlineLevel="2" x14ac:dyDescent="0.3">
      <c r="A157" s="3">
        <v>414</v>
      </c>
      <c r="B157" t="s">
        <v>120</v>
      </c>
      <c r="C157" t="s">
        <v>19</v>
      </c>
      <c r="D157" s="10">
        <v>65.599999999999994</v>
      </c>
      <c r="E157" s="1">
        <v>45830</v>
      </c>
      <c r="F157" s="6" t="s">
        <v>20</v>
      </c>
      <c r="G157" s="11">
        <v>100</v>
      </c>
      <c r="H157" s="11">
        <v>1</v>
      </c>
      <c r="I157" t="str">
        <f t="shared" si="8"/>
        <v>junio</v>
      </c>
      <c r="J157" t="str">
        <f t="shared" si="9"/>
        <v>domingo</v>
      </c>
    </row>
    <row r="158" spans="1:10" hidden="1" outlineLevel="2" x14ac:dyDescent="0.3">
      <c r="A158" s="3">
        <v>908</v>
      </c>
      <c r="B158" t="s">
        <v>236</v>
      </c>
      <c r="C158" t="s">
        <v>19</v>
      </c>
      <c r="D158" s="10">
        <v>76.5</v>
      </c>
      <c r="E158" s="1">
        <v>45648</v>
      </c>
      <c r="F158" s="6" t="s">
        <v>20</v>
      </c>
      <c r="G158" s="11">
        <v>100</v>
      </c>
      <c r="H158" s="11">
        <v>1</v>
      </c>
      <c r="I158" t="str">
        <f t="shared" si="8"/>
        <v>diciembre</v>
      </c>
      <c r="J158" t="str">
        <f t="shared" si="9"/>
        <v>domingo</v>
      </c>
    </row>
    <row r="159" spans="1:10" hidden="1" outlineLevel="2" x14ac:dyDescent="0.3">
      <c r="A159" s="3">
        <v>909</v>
      </c>
      <c r="B159" t="s">
        <v>237</v>
      </c>
      <c r="C159" t="s">
        <v>19</v>
      </c>
      <c r="D159" s="10">
        <v>73.099999999999994</v>
      </c>
      <c r="E159" s="1">
        <v>45944</v>
      </c>
      <c r="F159" s="6" t="s">
        <v>20</v>
      </c>
      <c r="G159" s="11">
        <v>100</v>
      </c>
      <c r="H159" s="11">
        <v>1</v>
      </c>
      <c r="I159" t="str">
        <f t="shared" si="8"/>
        <v>octubre</v>
      </c>
      <c r="J159" t="str">
        <f t="shared" si="9"/>
        <v>martes</v>
      </c>
    </row>
    <row r="160" spans="1:10" outlineLevel="1" collapsed="1" x14ac:dyDescent="0.3">
      <c r="A160" s="3"/>
      <c r="D160" s="10"/>
      <c r="F160" s="15" t="s">
        <v>277</v>
      </c>
      <c r="G160" s="10">
        <f>SUBTOTAL(1,G117:G159)</f>
        <v>65.348837209302332</v>
      </c>
    </row>
    <row r="161" spans="1:10" hidden="1" outlineLevel="2" x14ac:dyDescent="0.3">
      <c r="A161" s="3">
        <v>373</v>
      </c>
      <c r="B161" t="s">
        <v>109</v>
      </c>
      <c r="C161" t="s">
        <v>15</v>
      </c>
      <c r="D161" s="10">
        <v>62.8</v>
      </c>
      <c r="E161" s="1">
        <v>45696</v>
      </c>
      <c r="F161" s="6" t="s">
        <v>16</v>
      </c>
      <c r="G161" s="11">
        <v>0</v>
      </c>
      <c r="H161" s="11">
        <v>1</v>
      </c>
      <c r="I161" t="str">
        <f t="shared" ref="I161:I192" si="10">TEXT(E161,"MMMM")</f>
        <v>febrero</v>
      </c>
      <c r="J161" t="str">
        <f t="shared" ref="J161:J192" si="11">TEXT(E161,"DDDD")</f>
        <v>sábado</v>
      </c>
    </row>
    <row r="162" spans="1:10" hidden="1" outlineLevel="2" x14ac:dyDescent="0.3">
      <c r="A162" s="3">
        <v>605</v>
      </c>
      <c r="B162" t="s">
        <v>165</v>
      </c>
      <c r="C162" t="s">
        <v>15</v>
      </c>
      <c r="D162" s="10">
        <v>63.1</v>
      </c>
      <c r="E162" s="1">
        <v>45892</v>
      </c>
      <c r="F162" s="6" t="s">
        <v>16</v>
      </c>
      <c r="G162" s="11">
        <v>0</v>
      </c>
      <c r="H162" s="11">
        <v>1</v>
      </c>
      <c r="I162" t="str">
        <f t="shared" si="10"/>
        <v>agosto</v>
      </c>
      <c r="J162" t="str">
        <f t="shared" si="11"/>
        <v>sábado</v>
      </c>
    </row>
    <row r="163" spans="1:10" hidden="1" outlineLevel="2" x14ac:dyDescent="0.3">
      <c r="A163" s="3">
        <v>533</v>
      </c>
      <c r="B163" t="s">
        <v>151</v>
      </c>
      <c r="C163" t="s">
        <v>24</v>
      </c>
      <c r="D163" s="10">
        <v>53.8</v>
      </c>
      <c r="E163" s="1">
        <v>45812</v>
      </c>
      <c r="F163" s="6" t="s">
        <v>16</v>
      </c>
      <c r="G163" s="11">
        <v>8</v>
      </c>
      <c r="H163" s="11">
        <v>3</v>
      </c>
      <c r="I163" t="str">
        <f t="shared" si="10"/>
        <v>junio</v>
      </c>
      <c r="J163" t="str">
        <f t="shared" si="11"/>
        <v>miércoles</v>
      </c>
    </row>
    <row r="164" spans="1:10" hidden="1" outlineLevel="2" x14ac:dyDescent="0.3">
      <c r="A164" s="3">
        <v>196</v>
      </c>
      <c r="B164" t="s">
        <v>63</v>
      </c>
      <c r="C164" t="s">
        <v>19</v>
      </c>
      <c r="D164" s="10">
        <v>90.6</v>
      </c>
      <c r="E164" s="1">
        <v>45958</v>
      </c>
      <c r="F164" s="6" t="s">
        <v>16</v>
      </c>
      <c r="G164" s="11">
        <v>10</v>
      </c>
      <c r="H164" s="11">
        <v>3</v>
      </c>
      <c r="I164" t="str">
        <f t="shared" si="10"/>
        <v>octubre</v>
      </c>
      <c r="J164" t="str">
        <f t="shared" si="11"/>
        <v>martes</v>
      </c>
    </row>
    <row r="165" spans="1:10" hidden="1" outlineLevel="2" x14ac:dyDescent="0.3">
      <c r="A165" s="3">
        <v>291</v>
      </c>
      <c r="B165" t="s">
        <v>87</v>
      </c>
      <c r="C165" t="s">
        <v>19</v>
      </c>
      <c r="D165" s="10">
        <v>70.599999999999994</v>
      </c>
      <c r="E165" s="1">
        <v>45806</v>
      </c>
      <c r="F165" s="6" t="s">
        <v>16</v>
      </c>
      <c r="G165" s="11">
        <v>12</v>
      </c>
      <c r="H165" s="11">
        <v>3</v>
      </c>
      <c r="I165" t="str">
        <f t="shared" si="10"/>
        <v>mayo</v>
      </c>
      <c r="J165" t="str">
        <f t="shared" si="11"/>
        <v>jueves</v>
      </c>
    </row>
    <row r="166" spans="1:10" hidden="1" outlineLevel="2" x14ac:dyDescent="0.3">
      <c r="A166" s="3">
        <v>997</v>
      </c>
      <c r="B166" t="s">
        <v>252</v>
      </c>
      <c r="C166" t="s">
        <v>15</v>
      </c>
      <c r="D166" s="10">
        <v>88.3</v>
      </c>
      <c r="E166" s="1">
        <v>45899</v>
      </c>
      <c r="F166" s="6" t="s">
        <v>16</v>
      </c>
      <c r="G166" s="11">
        <v>12</v>
      </c>
      <c r="H166" s="11">
        <v>3</v>
      </c>
      <c r="I166" t="str">
        <f t="shared" si="10"/>
        <v>agosto</v>
      </c>
      <c r="J166" t="str">
        <f t="shared" si="11"/>
        <v>sábado</v>
      </c>
    </row>
    <row r="167" spans="1:10" hidden="1" outlineLevel="2" x14ac:dyDescent="0.3">
      <c r="A167" s="3">
        <v>44</v>
      </c>
      <c r="B167" t="s">
        <v>27</v>
      </c>
      <c r="C167" t="s">
        <v>24</v>
      </c>
      <c r="D167" s="10">
        <v>64</v>
      </c>
      <c r="E167" s="1">
        <v>45754</v>
      </c>
      <c r="F167" s="6" t="s">
        <v>16</v>
      </c>
      <c r="G167" s="11">
        <v>18</v>
      </c>
      <c r="H167" s="11">
        <v>3</v>
      </c>
      <c r="I167" t="str">
        <f t="shared" si="10"/>
        <v>abril</v>
      </c>
      <c r="J167" t="str">
        <f t="shared" si="11"/>
        <v>lunes</v>
      </c>
    </row>
    <row r="168" spans="1:10" hidden="1" outlineLevel="2" x14ac:dyDescent="0.3">
      <c r="A168" s="3">
        <v>120</v>
      </c>
      <c r="B168" t="s">
        <v>45</v>
      </c>
      <c r="C168" t="s">
        <v>24</v>
      </c>
      <c r="D168" s="10">
        <v>61.3</v>
      </c>
      <c r="E168" s="1">
        <v>45895</v>
      </c>
      <c r="F168" s="6" t="s">
        <v>16</v>
      </c>
      <c r="G168" s="11">
        <v>19</v>
      </c>
      <c r="H168" s="11">
        <v>3</v>
      </c>
      <c r="I168" t="str">
        <f t="shared" si="10"/>
        <v>agosto</v>
      </c>
      <c r="J168" t="str">
        <f t="shared" si="11"/>
        <v>martes</v>
      </c>
    </row>
    <row r="169" spans="1:10" hidden="1" outlineLevel="2" x14ac:dyDescent="0.3">
      <c r="A169" s="3">
        <v>522</v>
      </c>
      <c r="B169" t="s">
        <v>147</v>
      </c>
      <c r="C169" t="s">
        <v>24</v>
      </c>
      <c r="D169" s="10">
        <v>61.7</v>
      </c>
      <c r="E169" s="1">
        <v>45842</v>
      </c>
      <c r="F169" s="6" t="s">
        <v>16</v>
      </c>
      <c r="G169" s="11">
        <v>19</v>
      </c>
      <c r="H169" s="11">
        <v>3</v>
      </c>
      <c r="I169" t="str">
        <f t="shared" si="10"/>
        <v>julio</v>
      </c>
      <c r="J169" t="str">
        <f t="shared" si="11"/>
        <v>viernes</v>
      </c>
    </row>
    <row r="170" spans="1:10" hidden="1" outlineLevel="2" x14ac:dyDescent="0.3">
      <c r="A170" s="3">
        <v>438</v>
      </c>
      <c r="B170" t="s">
        <v>126</v>
      </c>
      <c r="C170" t="s">
        <v>24</v>
      </c>
      <c r="D170" s="10">
        <v>99.1</v>
      </c>
      <c r="E170" s="1">
        <v>45843</v>
      </c>
      <c r="F170" s="6" t="s">
        <v>16</v>
      </c>
      <c r="G170" s="11">
        <v>20</v>
      </c>
      <c r="H170" s="11">
        <v>3</v>
      </c>
      <c r="I170" t="str">
        <f t="shared" si="10"/>
        <v>julio</v>
      </c>
      <c r="J170" t="str">
        <f t="shared" si="11"/>
        <v>sábado</v>
      </c>
    </row>
    <row r="171" spans="1:10" hidden="1" outlineLevel="2" x14ac:dyDescent="0.3">
      <c r="A171" s="3">
        <v>509</v>
      </c>
      <c r="B171" t="s">
        <v>142</v>
      </c>
      <c r="C171" t="s">
        <v>15</v>
      </c>
      <c r="D171" s="10">
        <v>73.900000000000006</v>
      </c>
      <c r="E171" s="1">
        <v>45788</v>
      </c>
      <c r="F171" s="6" t="s">
        <v>16</v>
      </c>
      <c r="G171" s="11">
        <v>22</v>
      </c>
      <c r="H171" s="11">
        <v>3</v>
      </c>
      <c r="I171" t="str">
        <f t="shared" si="10"/>
        <v>mayo</v>
      </c>
      <c r="J171" t="str">
        <f t="shared" si="11"/>
        <v>domingo</v>
      </c>
    </row>
    <row r="172" spans="1:10" hidden="1" outlineLevel="2" x14ac:dyDescent="0.3">
      <c r="A172" s="3">
        <v>776</v>
      </c>
      <c r="B172" t="s">
        <v>199</v>
      </c>
      <c r="C172" t="s">
        <v>15</v>
      </c>
      <c r="D172" s="10">
        <v>56.5</v>
      </c>
      <c r="E172" s="1">
        <v>45748</v>
      </c>
      <c r="F172" s="6" t="s">
        <v>16</v>
      </c>
      <c r="G172" s="11">
        <v>22</v>
      </c>
      <c r="H172" s="11">
        <v>3</v>
      </c>
      <c r="I172" t="str">
        <f t="shared" si="10"/>
        <v>abril</v>
      </c>
      <c r="J172" t="str">
        <f t="shared" si="11"/>
        <v>martes</v>
      </c>
    </row>
    <row r="173" spans="1:10" hidden="1" outlineLevel="2" x14ac:dyDescent="0.3">
      <c r="A173" s="3">
        <v>798</v>
      </c>
      <c r="B173" t="s">
        <v>207</v>
      </c>
      <c r="C173" t="s">
        <v>24</v>
      </c>
      <c r="D173" s="10">
        <v>96</v>
      </c>
      <c r="E173" s="1">
        <v>45698</v>
      </c>
      <c r="F173" s="6" t="s">
        <v>16</v>
      </c>
      <c r="G173" s="11">
        <v>22</v>
      </c>
      <c r="H173" s="11">
        <v>2</v>
      </c>
      <c r="I173" t="str">
        <f t="shared" si="10"/>
        <v>febrero</v>
      </c>
      <c r="J173" t="str">
        <f t="shared" si="11"/>
        <v>lunes</v>
      </c>
    </row>
    <row r="174" spans="1:10" hidden="1" outlineLevel="2" x14ac:dyDescent="0.3">
      <c r="A174" s="3">
        <v>121</v>
      </c>
      <c r="B174" t="s">
        <v>46</v>
      </c>
      <c r="C174" t="s">
        <v>15</v>
      </c>
      <c r="D174" s="10">
        <v>97.9</v>
      </c>
      <c r="E174" s="1">
        <v>45939</v>
      </c>
      <c r="F174" s="6" t="s">
        <v>16</v>
      </c>
      <c r="G174" s="11">
        <v>24</v>
      </c>
      <c r="H174" s="11">
        <v>3</v>
      </c>
      <c r="I174" t="str">
        <f t="shared" si="10"/>
        <v>octubre</v>
      </c>
      <c r="J174" t="str">
        <f t="shared" si="11"/>
        <v>jueves</v>
      </c>
    </row>
    <row r="175" spans="1:10" hidden="1" outlineLevel="2" x14ac:dyDescent="0.3">
      <c r="A175" s="3">
        <v>754</v>
      </c>
      <c r="B175" t="s">
        <v>195</v>
      </c>
      <c r="C175" t="s">
        <v>24</v>
      </c>
      <c r="D175" s="10">
        <v>66.8</v>
      </c>
      <c r="E175" s="1">
        <v>45820</v>
      </c>
      <c r="F175" s="6" t="s">
        <v>16</v>
      </c>
      <c r="G175" s="11">
        <v>25</v>
      </c>
      <c r="H175" s="11">
        <v>1</v>
      </c>
      <c r="I175" t="str">
        <f t="shared" si="10"/>
        <v>junio</v>
      </c>
      <c r="J175" t="str">
        <f t="shared" si="11"/>
        <v>jueves</v>
      </c>
    </row>
    <row r="176" spans="1:10" hidden="1" outlineLevel="2" x14ac:dyDescent="0.3">
      <c r="A176" s="3">
        <v>300</v>
      </c>
      <c r="B176" t="s">
        <v>91</v>
      </c>
      <c r="C176" t="s">
        <v>19</v>
      </c>
      <c r="D176" s="10">
        <v>63.2</v>
      </c>
      <c r="E176" s="1">
        <v>45666</v>
      </c>
      <c r="F176" s="6" t="s">
        <v>16</v>
      </c>
      <c r="G176" s="11">
        <v>28</v>
      </c>
      <c r="H176" s="11">
        <v>1</v>
      </c>
      <c r="I176" t="str">
        <f t="shared" si="10"/>
        <v>enero</v>
      </c>
      <c r="J176" t="str">
        <f t="shared" si="11"/>
        <v>jueves</v>
      </c>
    </row>
    <row r="177" spans="1:10" hidden="1" outlineLevel="2" x14ac:dyDescent="0.3">
      <c r="A177" s="3">
        <v>9</v>
      </c>
      <c r="B177" t="s">
        <v>14</v>
      </c>
      <c r="C177" t="s">
        <v>15</v>
      </c>
      <c r="D177" s="10">
        <v>69.400000000000006</v>
      </c>
      <c r="E177" s="1">
        <v>45642</v>
      </c>
      <c r="F177" s="6" t="s">
        <v>16</v>
      </c>
      <c r="G177" s="11">
        <v>30</v>
      </c>
      <c r="H177" s="11">
        <v>1</v>
      </c>
      <c r="I177" t="str">
        <f t="shared" si="10"/>
        <v>diciembre</v>
      </c>
      <c r="J177" t="str">
        <f t="shared" si="11"/>
        <v>lunes</v>
      </c>
    </row>
    <row r="178" spans="1:10" hidden="1" outlineLevel="2" x14ac:dyDescent="0.3">
      <c r="A178" s="3">
        <v>826</v>
      </c>
      <c r="B178" t="s">
        <v>212</v>
      </c>
      <c r="C178" t="s">
        <v>15</v>
      </c>
      <c r="D178" s="10">
        <v>94.4</v>
      </c>
      <c r="E178" s="1">
        <v>45842</v>
      </c>
      <c r="F178" s="6" t="s">
        <v>16</v>
      </c>
      <c r="G178" s="11">
        <v>32</v>
      </c>
      <c r="H178" s="11">
        <v>2</v>
      </c>
      <c r="I178" t="str">
        <f t="shared" si="10"/>
        <v>julio</v>
      </c>
      <c r="J178" t="str">
        <f t="shared" si="11"/>
        <v>viernes</v>
      </c>
    </row>
    <row r="179" spans="1:10" hidden="1" outlineLevel="2" x14ac:dyDescent="0.3">
      <c r="A179" s="3">
        <v>411</v>
      </c>
      <c r="B179" t="s">
        <v>118</v>
      </c>
      <c r="C179" t="s">
        <v>15</v>
      </c>
      <c r="D179" s="10">
        <v>80.400000000000006</v>
      </c>
      <c r="E179" s="1">
        <v>45886</v>
      </c>
      <c r="F179" s="6" t="s">
        <v>16</v>
      </c>
      <c r="G179" s="11">
        <v>33</v>
      </c>
      <c r="H179" s="11">
        <v>1</v>
      </c>
      <c r="I179" t="str">
        <f t="shared" si="10"/>
        <v>agosto</v>
      </c>
      <c r="J179" t="str">
        <f t="shared" si="11"/>
        <v>domingo</v>
      </c>
    </row>
    <row r="180" spans="1:10" hidden="1" outlineLevel="2" x14ac:dyDescent="0.3">
      <c r="A180" s="3">
        <v>226</v>
      </c>
      <c r="B180" t="s">
        <v>69</v>
      </c>
      <c r="C180" t="s">
        <v>24</v>
      </c>
      <c r="D180" s="10">
        <v>78.3</v>
      </c>
      <c r="E180" s="1">
        <v>45913</v>
      </c>
      <c r="F180" s="6" t="s">
        <v>16</v>
      </c>
      <c r="G180" s="11">
        <v>36</v>
      </c>
      <c r="H180" s="11">
        <v>2</v>
      </c>
      <c r="I180" t="str">
        <f t="shared" si="10"/>
        <v>septiembre</v>
      </c>
      <c r="J180" t="str">
        <f t="shared" si="11"/>
        <v>sábado</v>
      </c>
    </row>
    <row r="181" spans="1:10" hidden="1" outlineLevel="2" x14ac:dyDescent="0.3">
      <c r="A181" s="3">
        <v>532</v>
      </c>
      <c r="B181" t="s">
        <v>150</v>
      </c>
      <c r="C181" t="s">
        <v>24</v>
      </c>
      <c r="D181" s="10">
        <v>65</v>
      </c>
      <c r="E181" s="1">
        <v>45827</v>
      </c>
      <c r="F181" s="6" t="s">
        <v>16</v>
      </c>
      <c r="G181" s="11">
        <v>36</v>
      </c>
      <c r="H181" s="11">
        <v>3</v>
      </c>
      <c r="I181" t="str">
        <f t="shared" si="10"/>
        <v>junio</v>
      </c>
      <c r="J181" t="str">
        <f t="shared" si="11"/>
        <v>jueves</v>
      </c>
    </row>
    <row r="182" spans="1:10" hidden="1" outlineLevel="2" x14ac:dyDescent="0.3">
      <c r="A182" s="3">
        <v>342</v>
      </c>
      <c r="B182" t="s">
        <v>104</v>
      </c>
      <c r="C182" t="s">
        <v>15</v>
      </c>
      <c r="D182" s="10">
        <v>76.7</v>
      </c>
      <c r="E182" s="1">
        <v>45762</v>
      </c>
      <c r="F182" s="6" t="s">
        <v>16</v>
      </c>
      <c r="G182" s="11">
        <v>37</v>
      </c>
      <c r="H182" s="11">
        <v>3</v>
      </c>
      <c r="I182" t="str">
        <f t="shared" si="10"/>
        <v>abril</v>
      </c>
      <c r="J182" t="str">
        <f t="shared" si="11"/>
        <v>martes</v>
      </c>
    </row>
    <row r="183" spans="1:10" hidden="1" outlineLevel="2" x14ac:dyDescent="0.3">
      <c r="A183" s="3">
        <v>63</v>
      </c>
      <c r="B183" t="s">
        <v>32</v>
      </c>
      <c r="C183" t="s">
        <v>15</v>
      </c>
      <c r="D183" s="10">
        <v>78.900000000000006</v>
      </c>
      <c r="E183" s="1">
        <v>45849</v>
      </c>
      <c r="F183" s="6" t="s">
        <v>16</v>
      </c>
      <c r="G183" s="11">
        <v>38</v>
      </c>
      <c r="H183" s="11">
        <v>3</v>
      </c>
      <c r="I183" t="str">
        <f t="shared" si="10"/>
        <v>julio</v>
      </c>
      <c r="J183" t="str">
        <f t="shared" si="11"/>
        <v>viernes</v>
      </c>
    </row>
    <row r="184" spans="1:10" hidden="1" outlineLevel="2" x14ac:dyDescent="0.3">
      <c r="A184" s="3">
        <v>493</v>
      </c>
      <c r="B184" t="s">
        <v>138</v>
      </c>
      <c r="C184" t="s">
        <v>15</v>
      </c>
      <c r="D184" s="10">
        <v>98.9</v>
      </c>
      <c r="E184" s="1">
        <v>45705</v>
      </c>
      <c r="F184" s="6" t="s">
        <v>16</v>
      </c>
      <c r="G184" s="11">
        <v>40</v>
      </c>
      <c r="H184" s="11">
        <v>2</v>
      </c>
      <c r="I184" t="str">
        <f t="shared" si="10"/>
        <v>febrero</v>
      </c>
      <c r="J184" t="str">
        <f t="shared" si="11"/>
        <v>lunes</v>
      </c>
    </row>
    <row r="185" spans="1:10" hidden="1" outlineLevel="2" x14ac:dyDescent="0.3">
      <c r="A185" s="3">
        <v>512</v>
      </c>
      <c r="B185" t="s">
        <v>143</v>
      </c>
      <c r="C185" t="s">
        <v>24</v>
      </c>
      <c r="D185" s="10">
        <v>60.2</v>
      </c>
      <c r="E185" s="1">
        <v>45640</v>
      </c>
      <c r="F185" s="6" t="s">
        <v>16</v>
      </c>
      <c r="G185" s="11">
        <v>40</v>
      </c>
      <c r="H185" s="11">
        <v>2</v>
      </c>
      <c r="I185" t="str">
        <f t="shared" si="10"/>
        <v>diciembre</v>
      </c>
      <c r="J185" t="str">
        <f t="shared" si="11"/>
        <v>sábado</v>
      </c>
    </row>
    <row r="186" spans="1:10" hidden="1" outlineLevel="2" x14ac:dyDescent="0.3">
      <c r="A186" s="3">
        <v>440</v>
      </c>
      <c r="B186" t="s">
        <v>128</v>
      </c>
      <c r="C186" t="s">
        <v>24</v>
      </c>
      <c r="D186" s="10">
        <v>74.599999999999994</v>
      </c>
      <c r="E186" s="1">
        <v>45941</v>
      </c>
      <c r="F186" s="6" t="s">
        <v>16</v>
      </c>
      <c r="G186" s="11">
        <v>41</v>
      </c>
      <c r="H186" s="11">
        <v>3</v>
      </c>
      <c r="I186" t="str">
        <f t="shared" si="10"/>
        <v>octubre</v>
      </c>
      <c r="J186" t="str">
        <f t="shared" si="11"/>
        <v>sábado</v>
      </c>
    </row>
    <row r="187" spans="1:10" hidden="1" outlineLevel="2" x14ac:dyDescent="0.3">
      <c r="A187" s="3">
        <v>179</v>
      </c>
      <c r="B187" t="s">
        <v>62</v>
      </c>
      <c r="C187" t="s">
        <v>24</v>
      </c>
      <c r="D187" s="10">
        <v>51.7</v>
      </c>
      <c r="E187" s="1">
        <v>45809</v>
      </c>
      <c r="F187" s="6" t="s">
        <v>16</v>
      </c>
      <c r="G187" s="11">
        <v>42</v>
      </c>
      <c r="H187" s="11">
        <v>1</v>
      </c>
      <c r="I187" t="str">
        <f t="shared" si="10"/>
        <v>junio</v>
      </c>
      <c r="J187" t="str">
        <f t="shared" si="11"/>
        <v>domingo</v>
      </c>
    </row>
    <row r="188" spans="1:10" hidden="1" outlineLevel="2" x14ac:dyDescent="0.3">
      <c r="A188" s="3">
        <v>513</v>
      </c>
      <c r="B188" t="s">
        <v>144</v>
      </c>
      <c r="C188" t="s">
        <v>19</v>
      </c>
      <c r="D188" s="10">
        <v>64.7</v>
      </c>
      <c r="E188" s="1">
        <v>45991</v>
      </c>
      <c r="F188" s="6" t="s">
        <v>16</v>
      </c>
      <c r="G188" s="11">
        <v>44</v>
      </c>
      <c r="H188" s="11">
        <v>1</v>
      </c>
      <c r="I188" t="str">
        <f t="shared" si="10"/>
        <v>noviembre</v>
      </c>
      <c r="J188" t="str">
        <f t="shared" si="11"/>
        <v>domingo</v>
      </c>
    </row>
    <row r="189" spans="1:10" hidden="1" outlineLevel="2" x14ac:dyDescent="0.3">
      <c r="A189" s="3">
        <v>862</v>
      </c>
      <c r="B189" t="s">
        <v>221</v>
      </c>
      <c r="C189" t="s">
        <v>15</v>
      </c>
      <c r="D189" s="10">
        <v>88.1</v>
      </c>
      <c r="E189" s="1">
        <v>45643</v>
      </c>
      <c r="F189" s="6" t="s">
        <v>16</v>
      </c>
      <c r="G189" s="11">
        <v>45</v>
      </c>
      <c r="H189" s="11">
        <v>1</v>
      </c>
      <c r="I189" t="str">
        <f t="shared" si="10"/>
        <v>diciembre</v>
      </c>
      <c r="J189" t="str">
        <f t="shared" si="11"/>
        <v>martes</v>
      </c>
    </row>
    <row r="190" spans="1:10" hidden="1" outlineLevel="2" x14ac:dyDescent="0.3">
      <c r="A190" s="3">
        <v>848</v>
      </c>
      <c r="B190" t="s">
        <v>216</v>
      </c>
      <c r="C190" t="s">
        <v>24</v>
      </c>
      <c r="D190" s="10">
        <v>82.1</v>
      </c>
      <c r="E190" s="1">
        <v>45952</v>
      </c>
      <c r="F190" s="6" t="s">
        <v>16</v>
      </c>
      <c r="G190" s="11">
        <v>48</v>
      </c>
      <c r="H190" s="11">
        <v>1</v>
      </c>
      <c r="I190" t="str">
        <f t="shared" si="10"/>
        <v>octubre</v>
      </c>
      <c r="J190" t="str">
        <f t="shared" si="11"/>
        <v>miércoles</v>
      </c>
    </row>
    <row r="191" spans="1:10" hidden="1" outlineLevel="2" x14ac:dyDescent="0.3">
      <c r="A191" s="3">
        <v>877</v>
      </c>
      <c r="B191" t="s">
        <v>224</v>
      </c>
      <c r="C191" t="s">
        <v>15</v>
      </c>
      <c r="D191" s="10">
        <v>54.6</v>
      </c>
      <c r="E191" s="1">
        <v>45912</v>
      </c>
      <c r="F191" s="6" t="s">
        <v>16</v>
      </c>
      <c r="G191" s="11">
        <v>48</v>
      </c>
      <c r="H191" s="11">
        <v>2</v>
      </c>
      <c r="I191" t="str">
        <f t="shared" si="10"/>
        <v>septiembre</v>
      </c>
      <c r="J191" t="str">
        <f t="shared" si="11"/>
        <v>viernes</v>
      </c>
    </row>
    <row r="192" spans="1:10" hidden="1" outlineLevel="2" x14ac:dyDescent="0.3">
      <c r="A192" s="3">
        <v>592</v>
      </c>
      <c r="B192" t="s">
        <v>163</v>
      </c>
      <c r="C192" t="s">
        <v>15</v>
      </c>
      <c r="D192" s="10">
        <v>89</v>
      </c>
      <c r="E192" s="1">
        <v>45934</v>
      </c>
      <c r="F192" s="6" t="s">
        <v>16</v>
      </c>
      <c r="G192" s="11">
        <v>50</v>
      </c>
      <c r="H192" s="11">
        <v>2</v>
      </c>
      <c r="I192" t="str">
        <f t="shared" si="10"/>
        <v>octubre</v>
      </c>
      <c r="J192" t="str">
        <f t="shared" si="11"/>
        <v>sábado</v>
      </c>
    </row>
    <row r="193" spans="1:10" hidden="1" outlineLevel="2" x14ac:dyDescent="0.3">
      <c r="A193" s="3">
        <v>763</v>
      </c>
      <c r="B193" t="s">
        <v>197</v>
      </c>
      <c r="C193" t="s">
        <v>15</v>
      </c>
      <c r="D193" s="10">
        <v>60.3</v>
      </c>
      <c r="E193" s="1">
        <v>45872</v>
      </c>
      <c r="F193" s="6" t="s">
        <v>16</v>
      </c>
      <c r="G193" s="11">
        <v>50</v>
      </c>
      <c r="H193" s="11">
        <v>3</v>
      </c>
      <c r="I193" t="str">
        <f t="shared" ref="I193:I224" si="12">TEXT(E193,"MMMM")</f>
        <v>agosto</v>
      </c>
      <c r="J193" t="str">
        <f t="shared" ref="J193:J224" si="13">TEXT(E193,"DDDD")</f>
        <v>domingo</v>
      </c>
    </row>
    <row r="194" spans="1:10" hidden="1" outlineLevel="2" x14ac:dyDescent="0.3">
      <c r="A194" s="3">
        <v>160</v>
      </c>
      <c r="B194" t="s">
        <v>56</v>
      </c>
      <c r="C194" t="s">
        <v>15</v>
      </c>
      <c r="D194" s="10">
        <v>68.8</v>
      </c>
      <c r="E194" s="1">
        <v>45765</v>
      </c>
      <c r="F194" s="6" t="s">
        <v>16</v>
      </c>
      <c r="G194" s="11">
        <v>51</v>
      </c>
      <c r="H194" s="11">
        <v>1</v>
      </c>
      <c r="I194" t="str">
        <f t="shared" si="12"/>
        <v>abril</v>
      </c>
      <c r="J194" t="str">
        <f t="shared" si="13"/>
        <v>viernes</v>
      </c>
    </row>
    <row r="195" spans="1:10" hidden="1" outlineLevel="2" x14ac:dyDescent="0.3">
      <c r="A195" s="3">
        <v>389</v>
      </c>
      <c r="B195" t="s">
        <v>113</v>
      </c>
      <c r="C195" t="s">
        <v>15</v>
      </c>
      <c r="D195" s="10">
        <v>70.5</v>
      </c>
      <c r="E195" s="1">
        <v>45629</v>
      </c>
      <c r="F195" s="6" t="s">
        <v>16</v>
      </c>
      <c r="G195" s="11">
        <v>53</v>
      </c>
      <c r="H195" s="11">
        <v>1</v>
      </c>
      <c r="I195" t="str">
        <f t="shared" si="12"/>
        <v>diciembre</v>
      </c>
      <c r="J195" t="str">
        <f t="shared" si="13"/>
        <v>martes</v>
      </c>
    </row>
    <row r="196" spans="1:10" hidden="1" outlineLevel="2" x14ac:dyDescent="0.3">
      <c r="A196" s="3">
        <v>56</v>
      </c>
      <c r="B196" t="s">
        <v>30</v>
      </c>
      <c r="C196" t="s">
        <v>19</v>
      </c>
      <c r="D196" s="10">
        <v>60.6</v>
      </c>
      <c r="E196" s="1">
        <v>45840</v>
      </c>
      <c r="F196" s="6" t="s">
        <v>16</v>
      </c>
      <c r="G196" s="11">
        <v>54</v>
      </c>
      <c r="H196" s="11">
        <v>3</v>
      </c>
      <c r="I196" t="str">
        <f t="shared" si="12"/>
        <v>julio</v>
      </c>
      <c r="J196" t="str">
        <f t="shared" si="13"/>
        <v>miércoles</v>
      </c>
    </row>
    <row r="197" spans="1:10" hidden="1" outlineLevel="2" x14ac:dyDescent="0.3">
      <c r="A197" s="3">
        <v>280</v>
      </c>
      <c r="B197" t="s">
        <v>83</v>
      </c>
      <c r="C197" t="s">
        <v>24</v>
      </c>
      <c r="D197" s="10">
        <v>95.3</v>
      </c>
      <c r="E197" s="1">
        <v>45918</v>
      </c>
      <c r="F197" s="6" t="s">
        <v>16</v>
      </c>
      <c r="G197" s="11">
        <v>54</v>
      </c>
      <c r="H197" s="11">
        <v>3</v>
      </c>
      <c r="I197" t="str">
        <f t="shared" si="12"/>
        <v>septiembre</v>
      </c>
      <c r="J197" t="str">
        <f t="shared" si="13"/>
        <v>jueves</v>
      </c>
    </row>
    <row r="198" spans="1:10" hidden="1" outlineLevel="2" x14ac:dyDescent="0.3">
      <c r="A198" s="3">
        <v>538</v>
      </c>
      <c r="B198" t="s">
        <v>153</v>
      </c>
      <c r="C198" t="s">
        <v>15</v>
      </c>
      <c r="D198" s="10">
        <v>56.3</v>
      </c>
      <c r="E198" s="1">
        <v>45952</v>
      </c>
      <c r="F198" s="6" t="s">
        <v>16</v>
      </c>
      <c r="G198" s="11">
        <v>55</v>
      </c>
      <c r="H198" s="11">
        <v>3</v>
      </c>
      <c r="I198" t="str">
        <f t="shared" si="12"/>
        <v>octubre</v>
      </c>
      <c r="J198" t="str">
        <f t="shared" si="13"/>
        <v>miércoles</v>
      </c>
    </row>
    <row r="199" spans="1:10" hidden="1" outlineLevel="2" x14ac:dyDescent="0.3">
      <c r="A199" s="3">
        <v>899</v>
      </c>
      <c r="B199" t="s">
        <v>233</v>
      </c>
      <c r="C199" t="s">
        <v>24</v>
      </c>
      <c r="D199" s="10">
        <v>75.5</v>
      </c>
      <c r="E199" s="1">
        <v>45860</v>
      </c>
      <c r="F199" s="6" t="s">
        <v>16</v>
      </c>
      <c r="G199" s="11">
        <v>57</v>
      </c>
      <c r="H199" s="11">
        <v>2</v>
      </c>
      <c r="I199" t="str">
        <f t="shared" si="12"/>
        <v>julio</v>
      </c>
      <c r="J199" t="str">
        <f t="shared" si="13"/>
        <v>martes</v>
      </c>
    </row>
    <row r="200" spans="1:10" hidden="1" outlineLevel="2" x14ac:dyDescent="0.3">
      <c r="A200" s="3">
        <v>222</v>
      </c>
      <c r="B200" t="s">
        <v>68</v>
      </c>
      <c r="C200" t="s">
        <v>15</v>
      </c>
      <c r="D200" s="10">
        <v>85.7</v>
      </c>
      <c r="E200" s="1">
        <v>45947</v>
      </c>
      <c r="F200" s="6" t="s">
        <v>16</v>
      </c>
      <c r="G200" s="11">
        <v>58</v>
      </c>
      <c r="H200" s="11">
        <v>3</v>
      </c>
      <c r="I200" t="str">
        <f t="shared" si="12"/>
        <v>octubre</v>
      </c>
      <c r="J200" t="str">
        <f t="shared" si="13"/>
        <v>viernes</v>
      </c>
    </row>
    <row r="201" spans="1:10" hidden="1" outlineLevel="2" x14ac:dyDescent="0.3">
      <c r="A201" s="3">
        <v>705</v>
      </c>
      <c r="B201" t="s">
        <v>185</v>
      </c>
      <c r="C201" t="s">
        <v>15</v>
      </c>
      <c r="D201" s="10">
        <v>97.5</v>
      </c>
      <c r="E201" s="1">
        <v>45903</v>
      </c>
      <c r="F201" s="6" t="s">
        <v>16</v>
      </c>
      <c r="G201" s="11">
        <v>60</v>
      </c>
      <c r="H201" s="11">
        <v>3</v>
      </c>
      <c r="I201" t="str">
        <f t="shared" si="12"/>
        <v>septiembre</v>
      </c>
      <c r="J201" t="str">
        <f t="shared" si="13"/>
        <v>miércoles</v>
      </c>
    </row>
    <row r="202" spans="1:10" hidden="1" outlineLevel="2" x14ac:dyDescent="0.3">
      <c r="A202" s="3">
        <v>945</v>
      </c>
      <c r="B202" t="s">
        <v>246</v>
      </c>
      <c r="C202" t="s">
        <v>15</v>
      </c>
      <c r="D202" s="10">
        <v>76.099999999999994</v>
      </c>
      <c r="E202" s="1">
        <v>45701</v>
      </c>
      <c r="F202" s="6" t="s">
        <v>16</v>
      </c>
      <c r="G202" s="11">
        <v>61</v>
      </c>
      <c r="H202" s="11">
        <v>3</v>
      </c>
      <c r="I202" t="str">
        <f t="shared" si="12"/>
        <v>febrero</v>
      </c>
      <c r="J202" t="str">
        <f t="shared" si="13"/>
        <v>jueves</v>
      </c>
    </row>
    <row r="203" spans="1:10" hidden="1" outlineLevel="2" x14ac:dyDescent="0.3">
      <c r="A203" s="3">
        <v>383</v>
      </c>
      <c r="B203" t="s">
        <v>112</v>
      </c>
      <c r="C203" t="s">
        <v>24</v>
      </c>
      <c r="D203" s="10">
        <v>85.4</v>
      </c>
      <c r="E203" s="1">
        <v>45750</v>
      </c>
      <c r="F203" s="6" t="s">
        <v>16</v>
      </c>
      <c r="G203" s="11">
        <v>62</v>
      </c>
      <c r="H203" s="11">
        <v>3</v>
      </c>
      <c r="I203" t="str">
        <f t="shared" si="12"/>
        <v>abril</v>
      </c>
      <c r="J203" t="str">
        <f t="shared" si="13"/>
        <v>jueves</v>
      </c>
    </row>
    <row r="204" spans="1:10" hidden="1" outlineLevel="2" x14ac:dyDescent="0.3">
      <c r="A204" s="3">
        <v>653</v>
      </c>
      <c r="B204" t="s">
        <v>175</v>
      </c>
      <c r="C204" t="s">
        <v>24</v>
      </c>
      <c r="D204" s="10">
        <v>71.099999999999994</v>
      </c>
      <c r="E204" s="1">
        <v>45751</v>
      </c>
      <c r="F204" s="6" t="s">
        <v>16</v>
      </c>
      <c r="G204" s="11">
        <v>62</v>
      </c>
      <c r="H204" s="11">
        <v>2</v>
      </c>
      <c r="I204" t="str">
        <f t="shared" si="12"/>
        <v>abril</v>
      </c>
      <c r="J204" t="str">
        <f t="shared" si="13"/>
        <v>viernes</v>
      </c>
    </row>
    <row r="205" spans="1:10" hidden="1" outlineLevel="2" x14ac:dyDescent="0.3">
      <c r="A205" s="3">
        <v>768</v>
      </c>
      <c r="B205" t="s">
        <v>198</v>
      </c>
      <c r="C205" t="s">
        <v>15</v>
      </c>
      <c r="D205" s="10">
        <v>62.2</v>
      </c>
      <c r="E205" s="1">
        <v>45849</v>
      </c>
      <c r="F205" s="6" t="s">
        <v>16</v>
      </c>
      <c r="G205" s="11">
        <v>62</v>
      </c>
      <c r="H205" s="11">
        <v>1</v>
      </c>
      <c r="I205" t="str">
        <f t="shared" si="12"/>
        <v>julio</v>
      </c>
      <c r="J205" t="str">
        <f t="shared" si="13"/>
        <v>viernes</v>
      </c>
    </row>
    <row r="206" spans="1:10" hidden="1" outlineLevel="2" x14ac:dyDescent="0.3">
      <c r="A206" s="3">
        <v>94</v>
      </c>
      <c r="B206" t="s">
        <v>39</v>
      </c>
      <c r="C206" t="s">
        <v>24</v>
      </c>
      <c r="D206" s="10">
        <v>88</v>
      </c>
      <c r="E206" s="1">
        <v>45763</v>
      </c>
      <c r="F206" s="6" t="s">
        <v>16</v>
      </c>
      <c r="G206" s="11">
        <v>63</v>
      </c>
      <c r="H206" s="11">
        <v>3</v>
      </c>
      <c r="I206" t="str">
        <f t="shared" si="12"/>
        <v>abril</v>
      </c>
      <c r="J206" t="str">
        <f t="shared" si="13"/>
        <v>miércoles</v>
      </c>
    </row>
    <row r="207" spans="1:10" hidden="1" outlineLevel="2" x14ac:dyDescent="0.3">
      <c r="A207" s="3">
        <v>309</v>
      </c>
      <c r="B207" t="s">
        <v>93</v>
      </c>
      <c r="C207" t="s">
        <v>15</v>
      </c>
      <c r="D207" s="10">
        <v>75</v>
      </c>
      <c r="E207" s="1">
        <v>45785</v>
      </c>
      <c r="F207" s="6" t="s">
        <v>16</v>
      </c>
      <c r="G207" s="11">
        <v>63</v>
      </c>
      <c r="H207" s="11">
        <v>3</v>
      </c>
      <c r="I207" t="str">
        <f t="shared" si="12"/>
        <v>mayo</v>
      </c>
      <c r="J207" t="str">
        <f t="shared" si="13"/>
        <v>jueves</v>
      </c>
    </row>
    <row r="208" spans="1:10" hidden="1" outlineLevel="2" x14ac:dyDescent="0.3">
      <c r="A208" s="3">
        <v>843</v>
      </c>
      <c r="B208" t="s">
        <v>214</v>
      </c>
      <c r="C208" t="s">
        <v>15</v>
      </c>
      <c r="D208" s="10">
        <v>81.599999999999994</v>
      </c>
      <c r="E208" s="1">
        <v>45673</v>
      </c>
      <c r="F208" s="6" t="s">
        <v>16</v>
      </c>
      <c r="G208" s="11">
        <v>64</v>
      </c>
      <c r="H208" s="11">
        <v>3</v>
      </c>
      <c r="I208" t="str">
        <f t="shared" si="12"/>
        <v>enero</v>
      </c>
      <c r="J208" t="str">
        <f t="shared" si="13"/>
        <v>jueves</v>
      </c>
    </row>
    <row r="209" spans="1:10" hidden="1" outlineLevel="2" x14ac:dyDescent="0.3">
      <c r="A209" s="3">
        <v>227</v>
      </c>
      <c r="B209" t="s">
        <v>70</v>
      </c>
      <c r="C209" t="s">
        <v>24</v>
      </c>
      <c r="D209" s="10">
        <v>78.3</v>
      </c>
      <c r="E209" s="1">
        <v>45669</v>
      </c>
      <c r="F209" s="6" t="s">
        <v>16</v>
      </c>
      <c r="G209" s="11">
        <v>65</v>
      </c>
      <c r="H209" s="11">
        <v>2</v>
      </c>
      <c r="I209" t="str">
        <f t="shared" si="12"/>
        <v>enero</v>
      </c>
      <c r="J209" t="str">
        <f t="shared" si="13"/>
        <v>domingo</v>
      </c>
    </row>
    <row r="210" spans="1:10" hidden="1" outlineLevel="2" x14ac:dyDescent="0.3">
      <c r="A210" s="3">
        <v>413</v>
      </c>
      <c r="B210" t="s">
        <v>119</v>
      </c>
      <c r="C210" t="s">
        <v>19</v>
      </c>
      <c r="D210" s="10">
        <v>75.8</v>
      </c>
      <c r="E210" s="1">
        <v>45784</v>
      </c>
      <c r="F210" s="6" t="s">
        <v>16</v>
      </c>
      <c r="G210" s="11">
        <v>65</v>
      </c>
      <c r="H210" s="11">
        <v>2</v>
      </c>
      <c r="I210" t="str">
        <f t="shared" si="12"/>
        <v>mayo</v>
      </c>
      <c r="J210" t="str">
        <f t="shared" si="13"/>
        <v>miércoles</v>
      </c>
    </row>
    <row r="211" spans="1:10" hidden="1" outlineLevel="2" x14ac:dyDescent="0.3">
      <c r="A211" s="3">
        <v>618</v>
      </c>
      <c r="B211" t="s">
        <v>167</v>
      </c>
      <c r="C211" t="s">
        <v>15</v>
      </c>
      <c r="D211" s="10">
        <v>66.400000000000006</v>
      </c>
      <c r="E211" s="1">
        <v>45806</v>
      </c>
      <c r="F211" s="6" t="s">
        <v>16</v>
      </c>
      <c r="G211" s="11">
        <v>68</v>
      </c>
      <c r="H211" s="11">
        <v>1</v>
      </c>
      <c r="I211" t="str">
        <f t="shared" si="12"/>
        <v>mayo</v>
      </c>
      <c r="J211" t="str">
        <f t="shared" si="13"/>
        <v>jueves</v>
      </c>
    </row>
    <row r="212" spans="1:10" hidden="1" outlineLevel="2" x14ac:dyDescent="0.3">
      <c r="A212" s="3">
        <v>667</v>
      </c>
      <c r="B212" t="s">
        <v>178</v>
      </c>
      <c r="C212" t="s">
        <v>15</v>
      </c>
      <c r="D212" s="10">
        <v>56</v>
      </c>
      <c r="E212" s="1">
        <v>45824</v>
      </c>
      <c r="F212" s="6" t="s">
        <v>16</v>
      </c>
      <c r="G212" s="11">
        <v>68</v>
      </c>
      <c r="H212" s="11">
        <v>2</v>
      </c>
      <c r="I212" t="str">
        <f t="shared" si="12"/>
        <v>junio</v>
      </c>
      <c r="J212" t="str">
        <f t="shared" si="13"/>
        <v>lunes</v>
      </c>
    </row>
    <row r="213" spans="1:10" hidden="1" outlineLevel="2" x14ac:dyDescent="0.3">
      <c r="A213" s="3">
        <v>758</v>
      </c>
      <c r="B213" t="s">
        <v>196</v>
      </c>
      <c r="C213" t="s">
        <v>15</v>
      </c>
      <c r="D213" s="10">
        <v>51.5</v>
      </c>
      <c r="E213" s="1">
        <v>45673</v>
      </c>
      <c r="F213" s="6" t="s">
        <v>16</v>
      </c>
      <c r="G213" s="11">
        <v>71</v>
      </c>
      <c r="H213" s="11">
        <v>1</v>
      </c>
      <c r="I213" t="str">
        <f t="shared" si="12"/>
        <v>enero</v>
      </c>
      <c r="J213" t="str">
        <f t="shared" si="13"/>
        <v>jueves</v>
      </c>
    </row>
    <row r="214" spans="1:10" hidden="1" outlineLevel="2" x14ac:dyDescent="0.3">
      <c r="A214" s="3">
        <v>256</v>
      </c>
      <c r="B214" t="s">
        <v>78</v>
      </c>
      <c r="C214" t="s">
        <v>19</v>
      </c>
      <c r="D214" s="10">
        <v>50.3</v>
      </c>
      <c r="E214" s="1">
        <v>45907</v>
      </c>
      <c r="F214" s="6" t="s">
        <v>16</v>
      </c>
      <c r="G214" s="11">
        <v>75</v>
      </c>
      <c r="H214" s="11">
        <v>2</v>
      </c>
      <c r="I214" t="str">
        <f t="shared" si="12"/>
        <v>septiembre</v>
      </c>
      <c r="J214" t="str">
        <f t="shared" si="13"/>
        <v>domingo</v>
      </c>
    </row>
    <row r="215" spans="1:10" hidden="1" outlineLevel="2" x14ac:dyDescent="0.3">
      <c r="A215" s="3">
        <v>128</v>
      </c>
      <c r="B215" t="s">
        <v>47</v>
      </c>
      <c r="C215" t="s">
        <v>24</v>
      </c>
      <c r="D215" s="10">
        <v>97.9</v>
      </c>
      <c r="E215" s="1">
        <v>45901</v>
      </c>
      <c r="F215" s="6" t="s">
        <v>16</v>
      </c>
      <c r="G215" s="11">
        <v>76</v>
      </c>
      <c r="H215" s="11">
        <v>3</v>
      </c>
      <c r="I215" t="str">
        <f t="shared" si="12"/>
        <v>septiembre</v>
      </c>
      <c r="J215" t="str">
        <f t="shared" si="13"/>
        <v>lunes</v>
      </c>
    </row>
    <row r="216" spans="1:10" hidden="1" outlineLevel="2" x14ac:dyDescent="0.3">
      <c r="A216" s="3">
        <v>891</v>
      </c>
      <c r="B216" t="s">
        <v>231</v>
      </c>
      <c r="C216" t="s">
        <v>15</v>
      </c>
      <c r="D216" s="10">
        <v>79.900000000000006</v>
      </c>
      <c r="E216" s="1">
        <v>45657</v>
      </c>
      <c r="F216" s="6" t="s">
        <v>16</v>
      </c>
      <c r="G216" s="11">
        <v>76</v>
      </c>
      <c r="H216" s="11">
        <v>3</v>
      </c>
      <c r="I216" t="str">
        <f t="shared" si="12"/>
        <v>diciembre</v>
      </c>
      <c r="J216" t="str">
        <f t="shared" si="13"/>
        <v>martes</v>
      </c>
    </row>
    <row r="217" spans="1:10" hidden="1" outlineLevel="2" x14ac:dyDescent="0.3">
      <c r="A217" s="3">
        <v>131</v>
      </c>
      <c r="B217" t="s">
        <v>48</v>
      </c>
      <c r="C217" t="s">
        <v>24</v>
      </c>
      <c r="D217" s="10">
        <v>87.4</v>
      </c>
      <c r="E217" s="1">
        <v>45721</v>
      </c>
      <c r="F217" s="6" t="s">
        <v>16</v>
      </c>
      <c r="G217" s="11">
        <v>77</v>
      </c>
      <c r="H217" s="11">
        <v>1</v>
      </c>
      <c r="I217" t="str">
        <f t="shared" si="12"/>
        <v>marzo</v>
      </c>
      <c r="J217" t="str">
        <f t="shared" si="13"/>
        <v>miércoles</v>
      </c>
    </row>
    <row r="218" spans="1:10" hidden="1" outlineLevel="2" x14ac:dyDescent="0.3">
      <c r="A218" s="3">
        <v>34</v>
      </c>
      <c r="B218" t="s">
        <v>23</v>
      </c>
      <c r="C218" t="s">
        <v>24</v>
      </c>
      <c r="D218" s="10">
        <v>58</v>
      </c>
      <c r="E218" s="1">
        <v>45910</v>
      </c>
      <c r="F218" s="6" t="s">
        <v>16</v>
      </c>
      <c r="G218" s="11">
        <v>78</v>
      </c>
      <c r="H218" s="11">
        <v>1</v>
      </c>
      <c r="I218" t="str">
        <f t="shared" si="12"/>
        <v>septiembre</v>
      </c>
      <c r="J218" t="str">
        <f t="shared" si="13"/>
        <v>miércoles</v>
      </c>
    </row>
    <row r="219" spans="1:10" hidden="1" outlineLevel="2" x14ac:dyDescent="0.3">
      <c r="A219" s="3">
        <v>242</v>
      </c>
      <c r="B219" t="s">
        <v>72</v>
      </c>
      <c r="C219" t="s">
        <v>15</v>
      </c>
      <c r="D219" s="10">
        <v>93.9</v>
      </c>
      <c r="E219" s="1">
        <v>45894</v>
      </c>
      <c r="F219" s="6" t="s">
        <v>16</v>
      </c>
      <c r="G219" s="11">
        <v>78</v>
      </c>
      <c r="H219" s="11">
        <v>1</v>
      </c>
      <c r="I219" t="str">
        <f t="shared" si="12"/>
        <v>agosto</v>
      </c>
      <c r="J219" t="str">
        <f t="shared" si="13"/>
        <v>lunes</v>
      </c>
    </row>
    <row r="220" spans="1:10" hidden="1" outlineLevel="2" x14ac:dyDescent="0.3">
      <c r="A220" s="3">
        <v>261</v>
      </c>
      <c r="B220" t="s">
        <v>80</v>
      </c>
      <c r="C220" t="s">
        <v>15</v>
      </c>
      <c r="D220" s="10">
        <v>66.599999999999994</v>
      </c>
      <c r="E220" s="1">
        <v>45905</v>
      </c>
      <c r="F220" s="6" t="s">
        <v>16</v>
      </c>
      <c r="G220" s="11">
        <v>79</v>
      </c>
      <c r="H220" s="11">
        <v>1</v>
      </c>
      <c r="I220" t="str">
        <f t="shared" si="12"/>
        <v>septiembre</v>
      </c>
      <c r="J220" t="str">
        <f t="shared" si="13"/>
        <v>viernes</v>
      </c>
    </row>
    <row r="221" spans="1:10" hidden="1" outlineLevel="2" x14ac:dyDescent="0.3">
      <c r="A221" s="3">
        <v>35</v>
      </c>
      <c r="B221" t="s">
        <v>25</v>
      </c>
      <c r="C221" t="s">
        <v>15</v>
      </c>
      <c r="D221" s="10">
        <v>59.3</v>
      </c>
      <c r="E221" s="1">
        <v>45665</v>
      </c>
      <c r="F221" s="6" t="s">
        <v>16</v>
      </c>
      <c r="G221" s="11">
        <v>80</v>
      </c>
      <c r="H221" s="11">
        <v>2</v>
      </c>
      <c r="I221" t="str">
        <f t="shared" si="12"/>
        <v>enero</v>
      </c>
      <c r="J221" t="str">
        <f t="shared" si="13"/>
        <v>miércoles</v>
      </c>
    </row>
    <row r="222" spans="1:10" hidden="1" outlineLevel="2" x14ac:dyDescent="0.3">
      <c r="A222" s="3">
        <v>87</v>
      </c>
      <c r="B222" t="s">
        <v>37</v>
      </c>
      <c r="C222" t="s">
        <v>15</v>
      </c>
      <c r="D222" s="10">
        <v>60.6</v>
      </c>
      <c r="E222" s="1">
        <v>45936</v>
      </c>
      <c r="F222" s="6" t="s">
        <v>16</v>
      </c>
      <c r="G222" s="11">
        <v>80</v>
      </c>
      <c r="H222" s="11">
        <v>2</v>
      </c>
      <c r="I222" t="str">
        <f t="shared" si="12"/>
        <v>octubre</v>
      </c>
      <c r="J222" t="str">
        <f t="shared" si="13"/>
        <v>lunes</v>
      </c>
    </row>
    <row r="223" spans="1:10" hidden="1" outlineLevel="2" x14ac:dyDescent="0.3">
      <c r="A223" s="3">
        <v>492</v>
      </c>
      <c r="B223" t="s">
        <v>137</v>
      </c>
      <c r="C223" t="s">
        <v>15</v>
      </c>
      <c r="D223" s="10">
        <v>52.8</v>
      </c>
      <c r="E223" s="1">
        <v>45732</v>
      </c>
      <c r="F223" s="6" t="s">
        <v>16</v>
      </c>
      <c r="G223" s="11">
        <v>81</v>
      </c>
      <c r="H223" s="11">
        <v>2</v>
      </c>
      <c r="I223" t="str">
        <f t="shared" si="12"/>
        <v>marzo</v>
      </c>
      <c r="J223" t="str">
        <f t="shared" si="13"/>
        <v>domingo</v>
      </c>
    </row>
    <row r="224" spans="1:10" hidden="1" outlineLevel="2" x14ac:dyDescent="0.3">
      <c r="A224" s="3">
        <v>254</v>
      </c>
      <c r="B224" t="s">
        <v>77</v>
      </c>
      <c r="C224" t="s">
        <v>24</v>
      </c>
      <c r="D224" s="10">
        <v>93.1</v>
      </c>
      <c r="E224" s="1">
        <v>45993</v>
      </c>
      <c r="F224" s="6" t="s">
        <v>16</v>
      </c>
      <c r="G224" s="11">
        <v>86</v>
      </c>
      <c r="H224" s="11">
        <v>1</v>
      </c>
      <c r="I224" t="str">
        <f t="shared" si="12"/>
        <v>diciembre</v>
      </c>
      <c r="J224" t="str">
        <f t="shared" si="13"/>
        <v>martes</v>
      </c>
    </row>
    <row r="225" spans="1:10" hidden="1" outlineLevel="2" x14ac:dyDescent="0.3">
      <c r="A225" s="3">
        <v>344</v>
      </c>
      <c r="B225" t="s">
        <v>105</v>
      </c>
      <c r="C225" t="s">
        <v>24</v>
      </c>
      <c r="D225" s="10">
        <v>98.3</v>
      </c>
      <c r="E225" s="1">
        <v>45749</v>
      </c>
      <c r="F225" s="6" t="s">
        <v>16</v>
      </c>
      <c r="G225" s="11">
        <v>86</v>
      </c>
      <c r="H225" s="11">
        <v>1</v>
      </c>
      <c r="I225" t="str">
        <f t="shared" ref="I225:I254" si="14">TEXT(E225,"MMMM")</f>
        <v>abril</v>
      </c>
      <c r="J225" t="str">
        <f t="shared" ref="J225:J254" si="15">TEXT(E225,"DDDD")</f>
        <v>miércoles</v>
      </c>
    </row>
    <row r="226" spans="1:10" hidden="1" outlineLevel="2" x14ac:dyDescent="0.3">
      <c r="A226" s="3">
        <v>73</v>
      </c>
      <c r="B226" t="s">
        <v>34</v>
      </c>
      <c r="C226" t="s">
        <v>19</v>
      </c>
      <c r="D226" s="10">
        <v>97.8</v>
      </c>
      <c r="E226" s="1">
        <v>45942</v>
      </c>
      <c r="F226" s="6" t="s">
        <v>16</v>
      </c>
      <c r="G226" s="11">
        <v>87</v>
      </c>
      <c r="H226" s="11">
        <v>1</v>
      </c>
      <c r="I226" t="str">
        <f t="shared" si="14"/>
        <v>octubre</v>
      </c>
      <c r="J226" t="str">
        <f t="shared" si="15"/>
        <v>domingo</v>
      </c>
    </row>
    <row r="227" spans="1:10" hidden="1" outlineLevel="2" x14ac:dyDescent="0.3">
      <c r="A227" s="3">
        <v>81</v>
      </c>
      <c r="B227" t="s">
        <v>35</v>
      </c>
      <c r="C227" t="s">
        <v>19</v>
      </c>
      <c r="D227" s="10">
        <v>69.099999999999994</v>
      </c>
      <c r="E227" s="1">
        <v>45810</v>
      </c>
      <c r="F227" s="6" t="s">
        <v>16</v>
      </c>
      <c r="G227" s="11">
        <v>87</v>
      </c>
      <c r="H227" s="11">
        <v>2</v>
      </c>
      <c r="I227" t="str">
        <f t="shared" si="14"/>
        <v>junio</v>
      </c>
      <c r="J227" t="str">
        <f t="shared" si="15"/>
        <v>lunes</v>
      </c>
    </row>
    <row r="228" spans="1:10" hidden="1" outlineLevel="2" x14ac:dyDescent="0.3">
      <c r="A228" s="3">
        <v>335</v>
      </c>
      <c r="B228" t="s">
        <v>102</v>
      </c>
      <c r="C228" t="s">
        <v>24</v>
      </c>
      <c r="D228" s="10">
        <v>75.900000000000006</v>
      </c>
      <c r="E228" s="1">
        <v>45930</v>
      </c>
      <c r="F228" s="6" t="s">
        <v>16</v>
      </c>
      <c r="G228" s="11">
        <v>87</v>
      </c>
      <c r="H228" s="11">
        <v>2</v>
      </c>
      <c r="I228" t="str">
        <f t="shared" si="14"/>
        <v>septiembre</v>
      </c>
      <c r="J228" t="str">
        <f t="shared" si="15"/>
        <v>martes</v>
      </c>
    </row>
    <row r="229" spans="1:10" hidden="1" outlineLevel="2" x14ac:dyDescent="0.3">
      <c r="A229" s="3">
        <v>271</v>
      </c>
      <c r="B229" t="s">
        <v>82</v>
      </c>
      <c r="C229" t="s">
        <v>19</v>
      </c>
      <c r="D229" s="10">
        <v>93.8</v>
      </c>
      <c r="E229" s="1">
        <v>45858</v>
      </c>
      <c r="F229" s="6" t="s">
        <v>16</v>
      </c>
      <c r="G229" s="11">
        <v>88</v>
      </c>
      <c r="H229" s="11">
        <v>3</v>
      </c>
      <c r="I229" t="str">
        <f t="shared" si="14"/>
        <v>julio</v>
      </c>
      <c r="J229" t="str">
        <f t="shared" si="15"/>
        <v>domingo</v>
      </c>
    </row>
    <row r="230" spans="1:10" hidden="1" outlineLevel="2" x14ac:dyDescent="0.3">
      <c r="A230" s="3">
        <v>673</v>
      </c>
      <c r="B230" t="s">
        <v>179</v>
      </c>
      <c r="C230" t="s">
        <v>15</v>
      </c>
      <c r="D230" s="10">
        <v>97.2</v>
      </c>
      <c r="E230" s="1">
        <v>45977</v>
      </c>
      <c r="F230" s="6" t="s">
        <v>16</v>
      </c>
      <c r="G230" s="11">
        <v>88</v>
      </c>
      <c r="H230" s="11">
        <v>1</v>
      </c>
      <c r="I230" t="str">
        <f t="shared" si="14"/>
        <v>noviembre</v>
      </c>
      <c r="J230" t="str">
        <f t="shared" si="15"/>
        <v>domingo</v>
      </c>
    </row>
    <row r="231" spans="1:10" hidden="1" outlineLevel="2" x14ac:dyDescent="0.3">
      <c r="A231" s="3">
        <v>203</v>
      </c>
      <c r="B231" t="s">
        <v>64</v>
      </c>
      <c r="C231" t="s">
        <v>24</v>
      </c>
      <c r="D231" s="10">
        <v>63.9</v>
      </c>
      <c r="E231" s="1">
        <v>45928</v>
      </c>
      <c r="F231" s="6" t="s">
        <v>16</v>
      </c>
      <c r="G231" s="11">
        <v>90</v>
      </c>
      <c r="H231" s="11">
        <v>2</v>
      </c>
      <c r="I231" t="str">
        <f t="shared" si="14"/>
        <v>septiembre</v>
      </c>
      <c r="J231" t="str">
        <f t="shared" si="15"/>
        <v>domingo</v>
      </c>
    </row>
    <row r="232" spans="1:10" hidden="1" outlineLevel="2" x14ac:dyDescent="0.3">
      <c r="A232" s="3">
        <v>306</v>
      </c>
      <c r="B232" t="s">
        <v>92</v>
      </c>
      <c r="C232" t="s">
        <v>24</v>
      </c>
      <c r="D232" s="10">
        <v>72.8</v>
      </c>
      <c r="E232" s="1">
        <v>45779</v>
      </c>
      <c r="F232" s="6" t="s">
        <v>16</v>
      </c>
      <c r="G232" s="11">
        <v>90</v>
      </c>
      <c r="H232" s="11">
        <v>2</v>
      </c>
      <c r="I232" t="str">
        <f t="shared" si="14"/>
        <v>mayo</v>
      </c>
      <c r="J232" t="str">
        <f t="shared" si="15"/>
        <v>viernes</v>
      </c>
    </row>
    <row r="233" spans="1:10" hidden="1" outlineLevel="2" x14ac:dyDescent="0.3">
      <c r="A233" s="3">
        <v>336</v>
      </c>
      <c r="B233" t="s">
        <v>103</v>
      </c>
      <c r="C233" t="s">
        <v>24</v>
      </c>
      <c r="D233" s="10">
        <v>81.599999999999994</v>
      </c>
      <c r="E233" s="1">
        <v>45685</v>
      </c>
      <c r="F233" s="6" t="s">
        <v>16</v>
      </c>
      <c r="G233" s="11">
        <v>90</v>
      </c>
      <c r="H233" s="11">
        <v>2</v>
      </c>
      <c r="I233" t="str">
        <f t="shared" si="14"/>
        <v>enero</v>
      </c>
      <c r="J233" t="str">
        <f t="shared" si="15"/>
        <v>martes</v>
      </c>
    </row>
    <row r="234" spans="1:10" hidden="1" outlineLevel="2" x14ac:dyDescent="0.3">
      <c r="A234" s="3">
        <v>435</v>
      </c>
      <c r="B234" t="s">
        <v>125</v>
      </c>
      <c r="C234" t="s">
        <v>15</v>
      </c>
      <c r="D234" s="10">
        <v>74.099999999999994</v>
      </c>
      <c r="E234" s="1">
        <v>45716</v>
      </c>
      <c r="F234" s="6" t="s">
        <v>16</v>
      </c>
      <c r="G234" s="11">
        <v>90</v>
      </c>
      <c r="H234" s="11">
        <v>2</v>
      </c>
      <c r="I234" t="str">
        <f t="shared" si="14"/>
        <v>febrero</v>
      </c>
      <c r="J234" t="str">
        <f t="shared" si="15"/>
        <v>viernes</v>
      </c>
    </row>
    <row r="235" spans="1:10" hidden="1" outlineLevel="2" x14ac:dyDescent="0.3">
      <c r="A235" s="3">
        <v>458</v>
      </c>
      <c r="B235" t="s">
        <v>131</v>
      </c>
      <c r="C235" t="s">
        <v>15</v>
      </c>
      <c r="D235" s="10">
        <v>57.4</v>
      </c>
      <c r="E235" s="1">
        <v>45743</v>
      </c>
      <c r="F235" s="6" t="s">
        <v>16</v>
      </c>
      <c r="G235" s="11">
        <v>91</v>
      </c>
      <c r="H235" s="11">
        <v>1</v>
      </c>
      <c r="I235" t="str">
        <f t="shared" si="14"/>
        <v>marzo</v>
      </c>
      <c r="J235" t="str">
        <f t="shared" si="15"/>
        <v>jueves</v>
      </c>
    </row>
    <row r="236" spans="1:10" hidden="1" outlineLevel="2" x14ac:dyDescent="0.3">
      <c r="A236" s="3">
        <v>504</v>
      </c>
      <c r="B236" t="s">
        <v>140</v>
      </c>
      <c r="C236" t="s">
        <v>24</v>
      </c>
      <c r="D236" s="10">
        <v>57.2</v>
      </c>
      <c r="E236" s="1">
        <v>45792</v>
      </c>
      <c r="F236" s="6" t="s">
        <v>16</v>
      </c>
      <c r="G236" s="11">
        <v>92</v>
      </c>
      <c r="H236" s="11">
        <v>2</v>
      </c>
      <c r="I236" t="str">
        <f t="shared" si="14"/>
        <v>mayo</v>
      </c>
      <c r="J236" t="str">
        <f t="shared" si="15"/>
        <v>jueves</v>
      </c>
    </row>
    <row r="237" spans="1:10" hidden="1" outlineLevel="2" x14ac:dyDescent="0.3">
      <c r="A237" s="3">
        <v>320</v>
      </c>
      <c r="B237" t="s">
        <v>98</v>
      </c>
      <c r="C237" t="s">
        <v>24</v>
      </c>
      <c r="D237" s="10">
        <v>83</v>
      </c>
      <c r="E237" s="1">
        <v>45841</v>
      </c>
      <c r="F237" s="6" t="s">
        <v>16</v>
      </c>
      <c r="G237" s="11">
        <v>93</v>
      </c>
      <c r="H237" s="11">
        <v>2</v>
      </c>
      <c r="I237" t="str">
        <f t="shared" si="14"/>
        <v>julio</v>
      </c>
      <c r="J237" t="str">
        <f t="shared" si="15"/>
        <v>jueves</v>
      </c>
    </row>
    <row r="238" spans="1:10" hidden="1" outlineLevel="2" x14ac:dyDescent="0.3">
      <c r="A238" s="3">
        <v>97</v>
      </c>
      <c r="B238" t="s">
        <v>40</v>
      </c>
      <c r="C238" t="s">
        <v>24</v>
      </c>
      <c r="D238" s="10">
        <v>92.3</v>
      </c>
      <c r="E238" s="1">
        <v>45824</v>
      </c>
      <c r="F238" s="6" t="s">
        <v>16</v>
      </c>
      <c r="G238" s="11">
        <v>95</v>
      </c>
      <c r="H238" s="11">
        <v>1</v>
      </c>
      <c r="I238" t="str">
        <f t="shared" si="14"/>
        <v>junio</v>
      </c>
      <c r="J238" t="str">
        <f t="shared" si="15"/>
        <v>lunes</v>
      </c>
    </row>
    <row r="239" spans="1:10" hidden="1" outlineLevel="2" x14ac:dyDescent="0.3">
      <c r="A239" s="3">
        <v>675</v>
      </c>
      <c r="B239" t="s">
        <v>180</v>
      </c>
      <c r="C239" t="s">
        <v>15</v>
      </c>
      <c r="D239" s="10">
        <v>61.1</v>
      </c>
      <c r="E239" s="1">
        <v>45863</v>
      </c>
      <c r="F239" s="6" t="s">
        <v>16</v>
      </c>
      <c r="G239" s="11">
        <v>96</v>
      </c>
      <c r="H239" s="11">
        <v>1</v>
      </c>
      <c r="I239" t="str">
        <f t="shared" si="14"/>
        <v>julio</v>
      </c>
      <c r="J239" t="str">
        <f t="shared" si="15"/>
        <v>viernes</v>
      </c>
    </row>
    <row r="240" spans="1:10" hidden="1" outlineLevel="2" x14ac:dyDescent="0.3">
      <c r="A240" s="3">
        <v>488</v>
      </c>
      <c r="B240" t="s">
        <v>136</v>
      </c>
      <c r="C240" t="s">
        <v>24</v>
      </c>
      <c r="D240" s="10">
        <v>75.599999999999994</v>
      </c>
      <c r="E240" s="1">
        <v>45641</v>
      </c>
      <c r="F240" s="6" t="s">
        <v>16</v>
      </c>
      <c r="G240" s="11">
        <v>97</v>
      </c>
      <c r="H240" s="11">
        <v>2</v>
      </c>
      <c r="I240" t="str">
        <f t="shared" si="14"/>
        <v>diciembre</v>
      </c>
      <c r="J240" t="str">
        <f t="shared" si="15"/>
        <v>domingo</v>
      </c>
    </row>
    <row r="241" spans="1:10" hidden="1" outlineLevel="2" x14ac:dyDescent="0.3">
      <c r="A241" s="3">
        <v>530</v>
      </c>
      <c r="B241" t="s">
        <v>149</v>
      </c>
      <c r="C241" t="s">
        <v>24</v>
      </c>
      <c r="D241" s="10">
        <v>74</v>
      </c>
      <c r="E241" s="1">
        <v>45887</v>
      </c>
      <c r="F241" s="6" t="s">
        <v>16</v>
      </c>
      <c r="G241" s="11">
        <v>97</v>
      </c>
      <c r="H241" s="11">
        <v>2</v>
      </c>
      <c r="I241" t="str">
        <f t="shared" si="14"/>
        <v>agosto</v>
      </c>
      <c r="J241" t="str">
        <f t="shared" si="15"/>
        <v>lunes</v>
      </c>
    </row>
    <row r="242" spans="1:10" hidden="1" outlineLevel="2" x14ac:dyDescent="0.3">
      <c r="A242" s="3">
        <v>692</v>
      </c>
      <c r="B242" t="s">
        <v>182</v>
      </c>
      <c r="C242" t="s">
        <v>24</v>
      </c>
      <c r="D242" s="10">
        <v>57.1</v>
      </c>
      <c r="E242" s="1">
        <v>45763</v>
      </c>
      <c r="F242" s="6" t="s">
        <v>16</v>
      </c>
      <c r="G242" s="11">
        <v>97</v>
      </c>
      <c r="H242" s="11">
        <v>2</v>
      </c>
      <c r="I242" t="str">
        <f t="shared" si="14"/>
        <v>abril</v>
      </c>
      <c r="J242" t="str">
        <f t="shared" si="15"/>
        <v>miércoles</v>
      </c>
    </row>
    <row r="243" spans="1:10" hidden="1" outlineLevel="2" x14ac:dyDescent="0.3">
      <c r="A243" s="3">
        <v>792</v>
      </c>
      <c r="B243" t="s">
        <v>203</v>
      </c>
      <c r="C243" t="s">
        <v>15</v>
      </c>
      <c r="D243" s="10">
        <v>98.4</v>
      </c>
      <c r="E243" s="1">
        <v>45690</v>
      </c>
      <c r="F243" s="6" t="s">
        <v>16</v>
      </c>
      <c r="G243" s="11">
        <v>97</v>
      </c>
      <c r="H243" s="11">
        <v>2</v>
      </c>
      <c r="I243" t="str">
        <f t="shared" si="14"/>
        <v>febrero</v>
      </c>
      <c r="J243" t="str">
        <f t="shared" si="15"/>
        <v>domingo</v>
      </c>
    </row>
    <row r="244" spans="1:10" hidden="1" outlineLevel="2" x14ac:dyDescent="0.3">
      <c r="A244" s="3">
        <v>820</v>
      </c>
      <c r="B244" t="s">
        <v>210</v>
      </c>
      <c r="C244" t="s">
        <v>24</v>
      </c>
      <c r="D244" s="10">
        <v>98.4</v>
      </c>
      <c r="E244" s="1">
        <v>45796</v>
      </c>
      <c r="F244" s="6" t="s">
        <v>16</v>
      </c>
      <c r="G244" s="11">
        <v>97</v>
      </c>
      <c r="H244" s="11">
        <v>2</v>
      </c>
      <c r="I244" t="str">
        <f t="shared" si="14"/>
        <v>mayo</v>
      </c>
      <c r="J244" t="str">
        <f t="shared" si="15"/>
        <v>lunes</v>
      </c>
    </row>
    <row r="245" spans="1:10" hidden="1" outlineLevel="2" x14ac:dyDescent="0.3">
      <c r="A245" s="3">
        <v>894</v>
      </c>
      <c r="B245" t="s">
        <v>232</v>
      </c>
      <c r="C245" t="s">
        <v>15</v>
      </c>
      <c r="D245" s="10">
        <v>76.5</v>
      </c>
      <c r="E245" s="1">
        <v>45966</v>
      </c>
      <c r="F245" s="6" t="s">
        <v>16</v>
      </c>
      <c r="G245" s="11">
        <v>97</v>
      </c>
      <c r="H245" s="11">
        <v>2</v>
      </c>
      <c r="I245" t="str">
        <f t="shared" si="14"/>
        <v>noviembre</v>
      </c>
      <c r="J245" t="str">
        <f t="shared" si="15"/>
        <v>miércoles</v>
      </c>
    </row>
    <row r="246" spans="1:10" hidden="1" outlineLevel="2" x14ac:dyDescent="0.3">
      <c r="A246" s="3">
        <v>36</v>
      </c>
      <c r="B246" t="s">
        <v>26</v>
      </c>
      <c r="C246" t="s">
        <v>15</v>
      </c>
      <c r="D246" s="10">
        <v>66.3</v>
      </c>
      <c r="E246" s="1">
        <v>45908</v>
      </c>
      <c r="F246" s="6" t="s">
        <v>16</v>
      </c>
      <c r="G246" s="11">
        <v>98</v>
      </c>
      <c r="H246" s="11">
        <v>1</v>
      </c>
      <c r="I246" t="str">
        <f t="shared" si="14"/>
        <v>septiembre</v>
      </c>
      <c r="J246" t="str">
        <f t="shared" si="15"/>
        <v>lunes</v>
      </c>
    </row>
    <row r="247" spans="1:10" hidden="1" outlineLevel="2" x14ac:dyDescent="0.3">
      <c r="A247" s="3">
        <v>243</v>
      </c>
      <c r="B247" t="s">
        <v>73</v>
      </c>
      <c r="C247" t="s">
        <v>24</v>
      </c>
      <c r="D247" s="10">
        <v>73.7</v>
      </c>
      <c r="E247" s="1">
        <v>45864</v>
      </c>
      <c r="F247" s="6" t="s">
        <v>16</v>
      </c>
      <c r="G247" s="11">
        <v>100</v>
      </c>
      <c r="H247" s="11">
        <v>1</v>
      </c>
      <c r="I247" t="str">
        <f t="shared" si="14"/>
        <v>julio</v>
      </c>
      <c r="J247" t="str">
        <f t="shared" si="15"/>
        <v>sábado</v>
      </c>
    </row>
    <row r="248" spans="1:10" hidden="1" outlineLevel="2" x14ac:dyDescent="0.3">
      <c r="A248" s="3">
        <v>287</v>
      </c>
      <c r="B248" t="s">
        <v>85</v>
      </c>
      <c r="C248" t="s">
        <v>15</v>
      </c>
      <c r="D248" s="10">
        <v>62</v>
      </c>
      <c r="E248" s="1">
        <v>45744</v>
      </c>
      <c r="F248" s="6" t="s">
        <v>16</v>
      </c>
      <c r="G248" s="11">
        <v>100</v>
      </c>
      <c r="H248" s="11">
        <v>1</v>
      </c>
      <c r="I248" t="str">
        <f t="shared" si="14"/>
        <v>marzo</v>
      </c>
      <c r="J248" t="str">
        <f t="shared" si="15"/>
        <v>viernes</v>
      </c>
    </row>
    <row r="249" spans="1:10" hidden="1" outlineLevel="2" x14ac:dyDescent="0.3">
      <c r="A249" s="3">
        <v>310</v>
      </c>
      <c r="B249" t="s">
        <v>94</v>
      </c>
      <c r="C249" t="s">
        <v>19</v>
      </c>
      <c r="D249" s="10">
        <v>57.7</v>
      </c>
      <c r="E249" s="1">
        <v>45970</v>
      </c>
      <c r="F249" s="6" t="s">
        <v>16</v>
      </c>
      <c r="G249" s="11">
        <v>100</v>
      </c>
      <c r="H249" s="11">
        <v>1</v>
      </c>
      <c r="I249" t="str">
        <f t="shared" si="14"/>
        <v>noviembre</v>
      </c>
      <c r="J249" t="str">
        <f t="shared" si="15"/>
        <v>domingo</v>
      </c>
    </row>
    <row r="250" spans="1:10" hidden="1" outlineLevel="2" x14ac:dyDescent="0.3">
      <c r="A250" s="3">
        <v>327</v>
      </c>
      <c r="B250" t="s">
        <v>100</v>
      </c>
      <c r="C250" t="s">
        <v>15</v>
      </c>
      <c r="D250" s="10">
        <v>78.8</v>
      </c>
      <c r="E250" s="1">
        <v>45679</v>
      </c>
      <c r="F250" s="6" t="s">
        <v>16</v>
      </c>
      <c r="G250" s="11">
        <v>100</v>
      </c>
      <c r="H250" s="11">
        <v>1</v>
      </c>
      <c r="I250" t="str">
        <f t="shared" si="14"/>
        <v>enero</v>
      </c>
      <c r="J250" t="str">
        <f t="shared" si="15"/>
        <v>miércoles</v>
      </c>
    </row>
    <row r="251" spans="1:10" hidden="1" outlineLevel="2" x14ac:dyDescent="0.3">
      <c r="A251" s="3">
        <v>545</v>
      </c>
      <c r="B251" t="s">
        <v>155</v>
      </c>
      <c r="C251" t="s">
        <v>15</v>
      </c>
      <c r="D251" s="10">
        <v>85.3</v>
      </c>
      <c r="E251" s="1">
        <v>45685</v>
      </c>
      <c r="F251" s="6" t="s">
        <v>16</v>
      </c>
      <c r="G251" s="11">
        <v>100</v>
      </c>
      <c r="H251" s="11">
        <v>1</v>
      </c>
      <c r="I251" t="str">
        <f t="shared" si="14"/>
        <v>enero</v>
      </c>
      <c r="J251" t="str">
        <f t="shared" si="15"/>
        <v>martes</v>
      </c>
    </row>
    <row r="252" spans="1:10" hidden="1" outlineLevel="2" x14ac:dyDescent="0.3">
      <c r="A252" s="3">
        <v>550</v>
      </c>
      <c r="B252" t="s">
        <v>157</v>
      </c>
      <c r="C252" t="s">
        <v>15</v>
      </c>
      <c r="D252" s="10">
        <v>68.099999999999994</v>
      </c>
      <c r="E252" s="1">
        <v>45744</v>
      </c>
      <c r="F252" s="6" t="s">
        <v>16</v>
      </c>
      <c r="G252" s="11">
        <v>100</v>
      </c>
      <c r="H252" s="11">
        <v>1</v>
      </c>
      <c r="I252" t="str">
        <f t="shared" si="14"/>
        <v>marzo</v>
      </c>
      <c r="J252" t="str">
        <f t="shared" si="15"/>
        <v>viernes</v>
      </c>
    </row>
    <row r="253" spans="1:10" hidden="1" outlineLevel="2" x14ac:dyDescent="0.3">
      <c r="A253" s="3">
        <v>882</v>
      </c>
      <c r="B253" t="s">
        <v>226</v>
      </c>
      <c r="C253" t="s">
        <v>24</v>
      </c>
      <c r="D253" s="10">
        <v>76.2</v>
      </c>
      <c r="E253" s="1">
        <v>45924</v>
      </c>
      <c r="F253" s="6" t="s">
        <v>16</v>
      </c>
      <c r="G253" s="11">
        <v>100</v>
      </c>
      <c r="H253" s="11">
        <v>1</v>
      </c>
      <c r="I253" t="str">
        <f t="shared" si="14"/>
        <v>septiembre</v>
      </c>
      <c r="J253" t="str">
        <f t="shared" si="15"/>
        <v>miércoles</v>
      </c>
    </row>
    <row r="254" spans="1:10" hidden="1" outlineLevel="2" x14ac:dyDescent="0.3">
      <c r="A254" s="3">
        <v>884</v>
      </c>
      <c r="B254" t="s">
        <v>227</v>
      </c>
      <c r="C254" t="s">
        <v>24</v>
      </c>
      <c r="D254" s="10">
        <v>70.3</v>
      </c>
      <c r="E254" s="1">
        <v>45703</v>
      </c>
      <c r="F254" s="6" t="s">
        <v>16</v>
      </c>
      <c r="G254" s="11">
        <v>100</v>
      </c>
      <c r="H254" s="11">
        <v>1</v>
      </c>
      <c r="I254" t="str">
        <f t="shared" si="14"/>
        <v>febrero</v>
      </c>
      <c r="J254" t="str">
        <f t="shared" si="15"/>
        <v>sábado</v>
      </c>
    </row>
    <row r="255" spans="1:10" outlineLevel="1" collapsed="1" x14ac:dyDescent="0.3">
      <c r="A255" s="3"/>
      <c r="D255" s="10"/>
      <c r="F255" s="15" t="s">
        <v>278</v>
      </c>
      <c r="G255" s="10">
        <f>SUBTOTAL(1,G161:G254)</f>
        <v>62.372340425531917</v>
      </c>
    </row>
    <row r="256" spans="1:10" x14ac:dyDescent="0.3">
      <c r="A256" s="3"/>
      <c r="D256" s="10"/>
      <c r="F256" s="15" t="s">
        <v>255</v>
      </c>
      <c r="G256" s="10">
        <f>SUBTOTAL(1,G2:G254)</f>
        <v>62.783132530120483</v>
      </c>
    </row>
  </sheetData>
  <autoFilter ref="A1:H254" xr:uid="{27E7644A-7543-47C6-8A34-486DD1AC74BB}">
    <sortState xmlns:xlrd2="http://schemas.microsoft.com/office/spreadsheetml/2017/richdata2" ref="A2:H254">
      <sortCondition ref="F1:F254"/>
    </sortState>
  </autoFilter>
  <sortState xmlns:xlrd2="http://schemas.microsoft.com/office/spreadsheetml/2017/richdata2" ref="A2:J254">
    <sortCondition ref="G1:G25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5F05-F8D0-4A3C-BE3C-E679B411A071}">
  <sheetPr>
    <tabColor theme="3" tint="0.499984740745262"/>
  </sheetPr>
  <dimension ref="A1:J256"/>
  <sheetViews>
    <sheetView workbookViewId="0">
      <selection activeCell="K258" sqref="K258"/>
    </sheetView>
  </sheetViews>
  <sheetFormatPr baseColWidth="10" defaultColWidth="11.44140625" defaultRowHeight="14.4" outlineLevelRow="2" x14ac:dyDescent="0.3"/>
  <cols>
    <col min="1" max="1" width="18.6640625" customWidth="1"/>
    <col min="2" max="2" width="23.33203125" bestFit="1" customWidth="1"/>
    <col min="3" max="3" width="25" customWidth="1"/>
    <col min="4" max="4" width="13.109375" style="9" customWidth="1"/>
    <col min="5" max="5" width="17.6640625" style="1" customWidth="1"/>
    <col min="6" max="6" width="19.6640625" style="6" customWidth="1"/>
    <col min="7" max="7" width="14.44140625" style="11" customWidth="1"/>
    <col min="8" max="8" width="16.5546875" style="1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8" t="s">
        <v>3</v>
      </c>
      <c r="E1" s="7" t="s">
        <v>4</v>
      </c>
      <c r="F1" s="5" t="s">
        <v>5</v>
      </c>
      <c r="G1" s="12" t="s">
        <v>6</v>
      </c>
      <c r="H1" s="12" t="s">
        <v>7</v>
      </c>
      <c r="I1" s="4" t="s">
        <v>253</v>
      </c>
      <c r="J1" s="4" t="s">
        <v>254</v>
      </c>
    </row>
    <row r="2" spans="1:10" hidden="1" outlineLevel="2" x14ac:dyDescent="0.3">
      <c r="A2" s="3">
        <v>960</v>
      </c>
      <c r="B2" t="s">
        <v>248</v>
      </c>
      <c r="C2" t="s">
        <v>19</v>
      </c>
      <c r="D2" s="10">
        <v>95.3</v>
      </c>
      <c r="E2" s="1">
        <v>45768</v>
      </c>
      <c r="F2" s="6" t="s">
        <v>22</v>
      </c>
      <c r="G2" s="11">
        <v>84</v>
      </c>
      <c r="H2" s="11">
        <v>1</v>
      </c>
      <c r="I2" t="str">
        <f t="shared" ref="I2:I46" si="0">TEXT(E2,"MMMM")</f>
        <v>abril</v>
      </c>
      <c r="J2" t="str">
        <f t="shared" ref="J2:J46" si="1">TEXT(E2,"DDDD")</f>
        <v>lunes</v>
      </c>
    </row>
    <row r="3" spans="1:10" hidden="1" outlineLevel="2" x14ac:dyDescent="0.3">
      <c r="A3" s="3">
        <v>424</v>
      </c>
      <c r="B3" t="s">
        <v>122</v>
      </c>
      <c r="C3" t="s">
        <v>19</v>
      </c>
      <c r="D3" s="10">
        <v>97.6</v>
      </c>
      <c r="E3" s="1">
        <v>45756</v>
      </c>
      <c r="F3" s="6" t="s">
        <v>22</v>
      </c>
      <c r="G3" s="11">
        <v>14</v>
      </c>
      <c r="H3" s="11">
        <v>3</v>
      </c>
      <c r="I3" t="str">
        <f t="shared" si="0"/>
        <v>abril</v>
      </c>
      <c r="J3" t="str">
        <f t="shared" si="1"/>
        <v>miércoles</v>
      </c>
    </row>
    <row r="4" spans="1:10" hidden="1" outlineLevel="2" x14ac:dyDescent="0.3">
      <c r="A4" s="3">
        <v>70</v>
      </c>
      <c r="B4" t="s">
        <v>33</v>
      </c>
      <c r="C4" t="s">
        <v>19</v>
      </c>
      <c r="D4" s="10">
        <v>52.7</v>
      </c>
      <c r="E4" s="1">
        <v>45766</v>
      </c>
      <c r="F4" s="6" t="s">
        <v>20</v>
      </c>
      <c r="G4" s="11">
        <v>34</v>
      </c>
      <c r="H4" s="11">
        <v>3</v>
      </c>
      <c r="I4" t="str">
        <f t="shared" si="0"/>
        <v>abril</v>
      </c>
      <c r="J4" t="str">
        <f t="shared" si="1"/>
        <v>sábado</v>
      </c>
    </row>
    <row r="5" spans="1:10" hidden="1" outlineLevel="2" x14ac:dyDescent="0.3">
      <c r="A5" s="3">
        <v>808</v>
      </c>
      <c r="B5" t="s">
        <v>208</v>
      </c>
      <c r="C5" t="s">
        <v>19</v>
      </c>
      <c r="D5" s="10">
        <v>61.8</v>
      </c>
      <c r="E5" s="1">
        <v>45874</v>
      </c>
      <c r="F5" s="6" t="s">
        <v>22</v>
      </c>
      <c r="G5" s="11">
        <v>88</v>
      </c>
      <c r="H5" s="11">
        <v>1</v>
      </c>
      <c r="I5" t="str">
        <f t="shared" si="0"/>
        <v>agosto</v>
      </c>
      <c r="J5" t="str">
        <f t="shared" si="1"/>
        <v>martes</v>
      </c>
    </row>
    <row r="6" spans="1:10" hidden="1" outlineLevel="2" x14ac:dyDescent="0.3">
      <c r="A6" s="3">
        <v>908</v>
      </c>
      <c r="B6" t="s">
        <v>236</v>
      </c>
      <c r="C6" t="s">
        <v>19</v>
      </c>
      <c r="D6" s="10">
        <v>76.5</v>
      </c>
      <c r="E6" s="1">
        <v>45648</v>
      </c>
      <c r="F6" s="6" t="s">
        <v>20</v>
      </c>
      <c r="G6" s="11">
        <v>100</v>
      </c>
      <c r="H6" s="11">
        <v>1</v>
      </c>
      <c r="I6" t="str">
        <f t="shared" si="0"/>
        <v>diciembre</v>
      </c>
      <c r="J6" t="str">
        <f t="shared" si="1"/>
        <v>domingo</v>
      </c>
    </row>
    <row r="7" spans="1:10" hidden="1" outlineLevel="2" x14ac:dyDescent="0.3">
      <c r="A7" s="3">
        <v>400</v>
      </c>
      <c r="B7" t="s">
        <v>115</v>
      </c>
      <c r="C7" t="s">
        <v>19</v>
      </c>
      <c r="D7" s="10">
        <v>69.8</v>
      </c>
      <c r="E7" s="1">
        <v>45633</v>
      </c>
      <c r="F7" s="6" t="s">
        <v>20</v>
      </c>
      <c r="G7" s="11">
        <v>39</v>
      </c>
      <c r="H7" s="11">
        <v>3</v>
      </c>
      <c r="I7" t="str">
        <f t="shared" si="0"/>
        <v>diciembre</v>
      </c>
      <c r="J7" t="str">
        <f t="shared" si="1"/>
        <v>sábado</v>
      </c>
    </row>
    <row r="8" spans="1:10" hidden="1" outlineLevel="2" x14ac:dyDescent="0.3">
      <c r="A8" s="3">
        <v>292</v>
      </c>
      <c r="B8" t="s">
        <v>88</v>
      </c>
      <c r="C8" t="s">
        <v>19</v>
      </c>
      <c r="D8" s="10">
        <v>54.7</v>
      </c>
      <c r="E8" s="1">
        <v>45659</v>
      </c>
      <c r="F8" s="6" t="s">
        <v>20</v>
      </c>
      <c r="G8" s="11">
        <v>70</v>
      </c>
      <c r="H8" s="11">
        <v>3</v>
      </c>
      <c r="I8" t="str">
        <f t="shared" si="0"/>
        <v>enero</v>
      </c>
      <c r="J8" t="str">
        <f t="shared" si="1"/>
        <v>jueves</v>
      </c>
    </row>
    <row r="9" spans="1:10" hidden="1" outlineLevel="2" x14ac:dyDescent="0.3">
      <c r="A9" s="3">
        <v>300</v>
      </c>
      <c r="B9" t="s">
        <v>91</v>
      </c>
      <c r="C9" t="s">
        <v>19</v>
      </c>
      <c r="D9" s="10">
        <v>63.2</v>
      </c>
      <c r="E9" s="1">
        <v>45666</v>
      </c>
      <c r="F9" s="6" t="s">
        <v>16</v>
      </c>
      <c r="G9" s="11">
        <v>28</v>
      </c>
      <c r="H9" s="11">
        <v>1</v>
      </c>
      <c r="I9" t="str">
        <f t="shared" si="0"/>
        <v>enero</v>
      </c>
      <c r="J9" t="str">
        <f t="shared" si="1"/>
        <v>jueves</v>
      </c>
    </row>
    <row r="10" spans="1:10" hidden="1" outlineLevel="2" x14ac:dyDescent="0.3">
      <c r="A10" s="3">
        <v>216</v>
      </c>
      <c r="B10" t="s">
        <v>67</v>
      </c>
      <c r="C10" t="s">
        <v>19</v>
      </c>
      <c r="D10" s="10">
        <v>65.099999999999994</v>
      </c>
      <c r="E10" s="1">
        <v>45678</v>
      </c>
      <c r="F10" s="6" t="s">
        <v>20</v>
      </c>
      <c r="G10" s="11">
        <v>88</v>
      </c>
      <c r="H10" s="11">
        <v>1</v>
      </c>
      <c r="I10" t="str">
        <f t="shared" si="0"/>
        <v>enero</v>
      </c>
      <c r="J10" t="str">
        <f t="shared" si="1"/>
        <v>martes</v>
      </c>
    </row>
    <row r="11" spans="1:10" hidden="1" outlineLevel="2" x14ac:dyDescent="0.3">
      <c r="A11" s="3">
        <v>861</v>
      </c>
      <c r="B11" t="s">
        <v>220</v>
      </c>
      <c r="C11" t="s">
        <v>19</v>
      </c>
      <c r="D11" s="10">
        <v>56.4</v>
      </c>
      <c r="E11" s="1">
        <v>45664</v>
      </c>
      <c r="F11" s="6" t="s">
        <v>22</v>
      </c>
      <c r="G11" s="11">
        <v>97</v>
      </c>
      <c r="H11" s="11">
        <v>2</v>
      </c>
      <c r="I11" t="str">
        <f t="shared" si="0"/>
        <v>enero</v>
      </c>
      <c r="J11" t="str">
        <f t="shared" si="1"/>
        <v>martes</v>
      </c>
    </row>
    <row r="12" spans="1:10" hidden="1" outlineLevel="2" x14ac:dyDescent="0.3">
      <c r="A12" s="3">
        <v>870</v>
      </c>
      <c r="B12" t="s">
        <v>223</v>
      </c>
      <c r="C12" t="s">
        <v>19</v>
      </c>
      <c r="D12" s="10">
        <v>56.1</v>
      </c>
      <c r="E12" s="1">
        <v>45675</v>
      </c>
      <c r="F12" s="6" t="s">
        <v>20</v>
      </c>
      <c r="G12" s="11">
        <v>55</v>
      </c>
      <c r="H12" s="11">
        <v>3</v>
      </c>
      <c r="I12" t="str">
        <f t="shared" si="0"/>
        <v>enero</v>
      </c>
      <c r="J12" t="str">
        <f t="shared" si="1"/>
        <v>sábado</v>
      </c>
    </row>
    <row r="13" spans="1:10" hidden="1" outlineLevel="2" x14ac:dyDescent="0.3">
      <c r="A13" s="3">
        <v>179</v>
      </c>
      <c r="B13" t="s">
        <v>62</v>
      </c>
      <c r="C13" t="s">
        <v>19</v>
      </c>
      <c r="D13" s="10">
        <v>71.400000000000006</v>
      </c>
      <c r="E13" s="1">
        <v>45667</v>
      </c>
      <c r="F13" s="6" t="s">
        <v>20</v>
      </c>
      <c r="G13" s="11">
        <v>45</v>
      </c>
      <c r="H13" s="11">
        <v>1</v>
      </c>
      <c r="I13" t="str">
        <f t="shared" si="0"/>
        <v>enero</v>
      </c>
      <c r="J13" t="str">
        <f t="shared" si="1"/>
        <v>viernes</v>
      </c>
    </row>
    <row r="14" spans="1:10" hidden="1" outlineLevel="2" x14ac:dyDescent="0.3">
      <c r="A14" s="3">
        <v>483</v>
      </c>
      <c r="B14" t="s">
        <v>135</v>
      </c>
      <c r="C14" t="s">
        <v>19</v>
      </c>
      <c r="D14" s="10">
        <v>56.7</v>
      </c>
      <c r="E14" s="1">
        <v>45704</v>
      </c>
      <c r="F14" s="6" t="s">
        <v>20</v>
      </c>
      <c r="G14" s="11">
        <v>38</v>
      </c>
      <c r="H14" s="11">
        <v>3</v>
      </c>
      <c r="I14" t="str">
        <f t="shared" si="0"/>
        <v>febrero</v>
      </c>
      <c r="J14" t="str">
        <f t="shared" si="1"/>
        <v>domingo</v>
      </c>
    </row>
    <row r="15" spans="1:10" hidden="1" outlineLevel="2" x14ac:dyDescent="0.3">
      <c r="A15" s="3">
        <v>164</v>
      </c>
      <c r="B15" t="s">
        <v>57</v>
      </c>
      <c r="C15" t="s">
        <v>19</v>
      </c>
      <c r="D15" s="10">
        <v>99.1</v>
      </c>
      <c r="E15" s="1">
        <v>45708</v>
      </c>
      <c r="F15" s="6" t="s">
        <v>22</v>
      </c>
      <c r="G15" s="11">
        <v>92</v>
      </c>
      <c r="H15" s="11">
        <v>2</v>
      </c>
      <c r="I15" t="str">
        <f t="shared" si="0"/>
        <v>febrero</v>
      </c>
      <c r="J15" t="str">
        <f t="shared" si="1"/>
        <v>jueves</v>
      </c>
    </row>
    <row r="16" spans="1:10" hidden="1" outlineLevel="2" x14ac:dyDescent="0.3">
      <c r="A16" s="3">
        <v>271</v>
      </c>
      <c r="B16" t="s">
        <v>82</v>
      </c>
      <c r="C16" t="s">
        <v>19</v>
      </c>
      <c r="D16" s="10">
        <v>93.8</v>
      </c>
      <c r="E16" s="1">
        <v>45858</v>
      </c>
      <c r="F16" s="6" t="s">
        <v>16</v>
      </c>
      <c r="G16" s="11">
        <v>88</v>
      </c>
      <c r="H16" s="11">
        <v>3</v>
      </c>
      <c r="I16" t="str">
        <f t="shared" si="0"/>
        <v>julio</v>
      </c>
      <c r="J16" t="str">
        <f t="shared" si="1"/>
        <v>domingo</v>
      </c>
    </row>
    <row r="17" spans="1:10" hidden="1" outlineLevel="2" x14ac:dyDescent="0.3">
      <c r="A17" s="3">
        <v>316</v>
      </c>
      <c r="B17" t="s">
        <v>96</v>
      </c>
      <c r="C17" t="s">
        <v>19</v>
      </c>
      <c r="D17" s="10">
        <v>72.599999999999994</v>
      </c>
      <c r="E17" s="1">
        <v>45866</v>
      </c>
      <c r="F17" s="6" t="s">
        <v>20</v>
      </c>
      <c r="G17" s="11">
        <v>34</v>
      </c>
      <c r="H17" s="11">
        <v>1</v>
      </c>
      <c r="I17" t="str">
        <f t="shared" si="0"/>
        <v>julio</v>
      </c>
      <c r="J17" t="str">
        <f t="shared" si="1"/>
        <v>lunes</v>
      </c>
    </row>
    <row r="18" spans="1:10" hidden="1" outlineLevel="2" x14ac:dyDescent="0.3">
      <c r="A18" s="3">
        <v>56</v>
      </c>
      <c r="B18" t="s">
        <v>30</v>
      </c>
      <c r="C18" t="s">
        <v>19</v>
      </c>
      <c r="D18" s="10">
        <v>60.6</v>
      </c>
      <c r="E18" s="1">
        <v>45840</v>
      </c>
      <c r="F18" s="6" t="s">
        <v>16</v>
      </c>
      <c r="G18" s="11">
        <v>54</v>
      </c>
      <c r="H18" s="11">
        <v>3</v>
      </c>
      <c r="I18" t="str">
        <f t="shared" si="0"/>
        <v>julio</v>
      </c>
      <c r="J18" t="str">
        <f t="shared" si="1"/>
        <v>miércoles</v>
      </c>
    </row>
    <row r="19" spans="1:10" hidden="1" outlineLevel="2" x14ac:dyDescent="0.3">
      <c r="A19" s="3">
        <v>245</v>
      </c>
      <c r="B19" t="s">
        <v>75</v>
      </c>
      <c r="C19" t="s">
        <v>19</v>
      </c>
      <c r="D19" s="10">
        <v>59.6</v>
      </c>
      <c r="E19" s="1">
        <v>45849</v>
      </c>
      <c r="F19" s="6" t="s">
        <v>22</v>
      </c>
      <c r="G19" s="11">
        <v>52</v>
      </c>
      <c r="H19" s="11">
        <v>1</v>
      </c>
      <c r="I19" t="str">
        <f t="shared" si="0"/>
        <v>julio</v>
      </c>
      <c r="J19" t="str">
        <f t="shared" si="1"/>
        <v>viernes</v>
      </c>
    </row>
    <row r="20" spans="1:10" hidden="1" outlineLevel="2" x14ac:dyDescent="0.3">
      <c r="A20" s="3">
        <v>881</v>
      </c>
      <c r="B20" t="s">
        <v>225</v>
      </c>
      <c r="C20" t="s">
        <v>19</v>
      </c>
      <c r="D20" s="10">
        <v>88</v>
      </c>
      <c r="E20" s="1">
        <v>45856</v>
      </c>
      <c r="F20" s="6" t="s">
        <v>22</v>
      </c>
      <c r="G20" s="11">
        <v>51</v>
      </c>
      <c r="H20" s="11">
        <v>1</v>
      </c>
      <c r="I20" t="str">
        <f t="shared" si="0"/>
        <v>julio</v>
      </c>
      <c r="J20" t="str">
        <f t="shared" si="1"/>
        <v>viernes</v>
      </c>
    </row>
    <row r="21" spans="1:10" hidden="1" outlineLevel="2" x14ac:dyDescent="0.3">
      <c r="A21" s="3">
        <v>414</v>
      </c>
      <c r="B21" t="s">
        <v>120</v>
      </c>
      <c r="C21" t="s">
        <v>19</v>
      </c>
      <c r="D21" s="10">
        <v>65.599999999999994</v>
      </c>
      <c r="E21" s="1">
        <v>45830</v>
      </c>
      <c r="F21" s="6" t="s">
        <v>20</v>
      </c>
      <c r="G21" s="11">
        <v>100</v>
      </c>
      <c r="H21" s="11">
        <v>1</v>
      </c>
      <c r="I21" t="str">
        <f t="shared" si="0"/>
        <v>junio</v>
      </c>
      <c r="J21" t="str">
        <f t="shared" si="1"/>
        <v>domingo</v>
      </c>
    </row>
    <row r="22" spans="1:10" hidden="1" outlineLevel="2" x14ac:dyDescent="0.3">
      <c r="A22" s="3">
        <v>81</v>
      </c>
      <c r="B22" t="s">
        <v>35</v>
      </c>
      <c r="C22" t="s">
        <v>19</v>
      </c>
      <c r="D22" s="10">
        <v>69.099999999999994</v>
      </c>
      <c r="E22" s="1">
        <v>45810</v>
      </c>
      <c r="F22" s="6" t="s">
        <v>16</v>
      </c>
      <c r="G22" s="11">
        <v>87</v>
      </c>
      <c r="H22" s="11">
        <v>2</v>
      </c>
      <c r="I22" t="str">
        <f t="shared" si="0"/>
        <v>junio</v>
      </c>
      <c r="J22" t="str">
        <f t="shared" si="1"/>
        <v>lunes</v>
      </c>
    </row>
    <row r="23" spans="1:10" hidden="1" outlineLevel="2" x14ac:dyDescent="0.3">
      <c r="A23" s="3">
        <v>824</v>
      </c>
      <c r="B23" t="s">
        <v>211</v>
      </c>
      <c r="C23" t="s">
        <v>19</v>
      </c>
      <c r="D23" s="10">
        <v>90.2</v>
      </c>
      <c r="E23" s="1">
        <v>45817</v>
      </c>
      <c r="F23" s="6" t="s">
        <v>22</v>
      </c>
      <c r="G23" s="11">
        <v>2</v>
      </c>
      <c r="H23" s="11">
        <v>3</v>
      </c>
      <c r="I23" t="str">
        <f t="shared" si="0"/>
        <v>junio</v>
      </c>
      <c r="J23" t="str">
        <f t="shared" si="1"/>
        <v>lunes</v>
      </c>
    </row>
    <row r="24" spans="1:10" hidden="1" outlineLevel="2" x14ac:dyDescent="0.3">
      <c r="A24" s="3">
        <v>522</v>
      </c>
      <c r="B24" t="s">
        <v>147</v>
      </c>
      <c r="C24" t="s">
        <v>19</v>
      </c>
      <c r="D24" s="10">
        <v>97.7</v>
      </c>
      <c r="E24" s="1">
        <v>45821</v>
      </c>
      <c r="F24" s="6" t="s">
        <v>20</v>
      </c>
      <c r="G24" s="11">
        <v>89</v>
      </c>
      <c r="H24" s="11">
        <v>1</v>
      </c>
      <c r="I24" t="str">
        <f t="shared" si="0"/>
        <v>junio</v>
      </c>
      <c r="J24" t="str">
        <f t="shared" si="1"/>
        <v>viernes</v>
      </c>
    </row>
    <row r="25" spans="1:10" hidden="1" outlineLevel="2" x14ac:dyDescent="0.3">
      <c r="A25" s="3">
        <v>165</v>
      </c>
      <c r="B25" t="s">
        <v>58</v>
      </c>
      <c r="C25" t="s">
        <v>19</v>
      </c>
      <c r="D25" s="10">
        <v>93.4</v>
      </c>
      <c r="E25" s="1">
        <v>45718</v>
      </c>
      <c r="F25" s="6" t="s">
        <v>22</v>
      </c>
      <c r="G25" s="11">
        <v>85</v>
      </c>
      <c r="H25" s="11">
        <v>3</v>
      </c>
      <c r="I25" t="str">
        <f t="shared" si="0"/>
        <v>marzo</v>
      </c>
      <c r="J25" t="str">
        <f t="shared" si="1"/>
        <v>domingo</v>
      </c>
    </row>
    <row r="26" spans="1:10" hidden="1" outlineLevel="2" x14ac:dyDescent="0.3">
      <c r="A26" s="3">
        <v>777</v>
      </c>
      <c r="B26" t="s">
        <v>200</v>
      </c>
      <c r="C26" t="s">
        <v>19</v>
      </c>
      <c r="D26" s="10">
        <v>80.8</v>
      </c>
      <c r="E26" s="1">
        <v>45746</v>
      </c>
      <c r="F26" s="6" t="s">
        <v>22</v>
      </c>
      <c r="G26" s="11">
        <v>63</v>
      </c>
      <c r="H26" s="11">
        <v>1</v>
      </c>
      <c r="I26" t="str">
        <f t="shared" si="0"/>
        <v>marzo</v>
      </c>
      <c r="J26" t="str">
        <f t="shared" si="1"/>
        <v>domingo</v>
      </c>
    </row>
    <row r="27" spans="1:10" hidden="1" outlineLevel="2" x14ac:dyDescent="0.3">
      <c r="A27" s="3">
        <v>709</v>
      </c>
      <c r="B27" t="s">
        <v>186</v>
      </c>
      <c r="C27" t="s">
        <v>19</v>
      </c>
      <c r="D27" s="10">
        <v>52.5</v>
      </c>
      <c r="E27" s="1">
        <v>45717</v>
      </c>
      <c r="F27" s="6" t="s">
        <v>22</v>
      </c>
      <c r="G27" s="11">
        <v>39</v>
      </c>
      <c r="H27" s="11">
        <v>1</v>
      </c>
      <c r="I27" t="str">
        <f t="shared" si="0"/>
        <v>marzo</v>
      </c>
      <c r="J27" t="str">
        <f t="shared" si="1"/>
        <v>sábado</v>
      </c>
    </row>
    <row r="28" spans="1:10" hidden="1" outlineLevel="2" x14ac:dyDescent="0.3">
      <c r="A28" s="3">
        <v>556</v>
      </c>
      <c r="B28" t="s">
        <v>158</v>
      </c>
      <c r="C28" t="s">
        <v>19</v>
      </c>
      <c r="D28" s="10">
        <v>91.6</v>
      </c>
      <c r="E28" s="1">
        <v>45737</v>
      </c>
      <c r="F28" s="6" t="s">
        <v>20</v>
      </c>
      <c r="G28" s="11">
        <v>97</v>
      </c>
      <c r="H28" s="11">
        <v>2</v>
      </c>
      <c r="I28" t="str">
        <f t="shared" si="0"/>
        <v>marzo</v>
      </c>
      <c r="J28" t="str">
        <f t="shared" si="1"/>
        <v>viernes</v>
      </c>
    </row>
    <row r="29" spans="1:10" hidden="1" outlineLevel="2" x14ac:dyDescent="0.3">
      <c r="A29" s="3">
        <v>291</v>
      </c>
      <c r="B29" t="s">
        <v>87</v>
      </c>
      <c r="C29" t="s">
        <v>19</v>
      </c>
      <c r="D29" s="10">
        <v>70.599999999999994</v>
      </c>
      <c r="E29" s="1">
        <v>45806</v>
      </c>
      <c r="F29" s="6" t="s">
        <v>16</v>
      </c>
      <c r="G29" s="11">
        <v>12</v>
      </c>
      <c r="H29" s="11">
        <v>3</v>
      </c>
      <c r="I29" t="str">
        <f t="shared" si="0"/>
        <v>mayo</v>
      </c>
      <c r="J29" t="str">
        <f t="shared" si="1"/>
        <v>jueves</v>
      </c>
    </row>
    <row r="30" spans="1:10" hidden="1" outlineLevel="2" x14ac:dyDescent="0.3">
      <c r="A30" s="3">
        <v>413</v>
      </c>
      <c r="B30" t="s">
        <v>119</v>
      </c>
      <c r="C30" t="s">
        <v>19</v>
      </c>
      <c r="D30" s="10">
        <v>75.8</v>
      </c>
      <c r="E30" s="1">
        <v>45784</v>
      </c>
      <c r="F30" s="6" t="s">
        <v>16</v>
      </c>
      <c r="G30" s="11">
        <v>65</v>
      </c>
      <c r="H30" s="11">
        <v>2</v>
      </c>
      <c r="I30" t="str">
        <f t="shared" si="0"/>
        <v>mayo</v>
      </c>
      <c r="J30" t="str">
        <f t="shared" si="1"/>
        <v>miércoles</v>
      </c>
    </row>
    <row r="31" spans="1:10" hidden="1" outlineLevel="2" x14ac:dyDescent="0.3">
      <c r="A31" s="3">
        <v>244</v>
      </c>
      <c r="B31" t="s">
        <v>74</v>
      </c>
      <c r="C31" t="s">
        <v>19</v>
      </c>
      <c r="D31" s="10">
        <v>99.3</v>
      </c>
      <c r="E31" s="1">
        <v>45808</v>
      </c>
      <c r="F31" s="6" t="s">
        <v>22</v>
      </c>
      <c r="G31" s="11">
        <v>83</v>
      </c>
      <c r="H31" s="11">
        <v>3</v>
      </c>
      <c r="I31" t="str">
        <f t="shared" si="0"/>
        <v>mayo</v>
      </c>
      <c r="J31" t="str">
        <f t="shared" si="1"/>
        <v>sábado</v>
      </c>
    </row>
    <row r="32" spans="1:10" hidden="1" outlineLevel="2" x14ac:dyDescent="0.3">
      <c r="A32" s="3">
        <v>868</v>
      </c>
      <c r="B32" t="s">
        <v>222</v>
      </c>
      <c r="C32" t="s">
        <v>19</v>
      </c>
      <c r="D32" s="10">
        <v>50.8</v>
      </c>
      <c r="E32" s="1">
        <v>45780</v>
      </c>
      <c r="F32" s="6" t="s">
        <v>20</v>
      </c>
      <c r="G32" s="11">
        <v>81</v>
      </c>
      <c r="H32" s="11">
        <v>2</v>
      </c>
      <c r="I32" t="str">
        <f t="shared" si="0"/>
        <v>mayo</v>
      </c>
      <c r="J32" t="str">
        <f t="shared" si="1"/>
        <v>sábado</v>
      </c>
    </row>
    <row r="33" spans="1:10" hidden="1" outlineLevel="2" x14ac:dyDescent="0.3">
      <c r="A33" s="3">
        <v>971</v>
      </c>
      <c r="B33" t="s">
        <v>249</v>
      </c>
      <c r="C33" t="s">
        <v>19</v>
      </c>
      <c r="D33" s="10">
        <v>90.5</v>
      </c>
      <c r="E33" s="1">
        <v>45794</v>
      </c>
      <c r="F33" s="6" t="s">
        <v>22</v>
      </c>
      <c r="G33" s="11">
        <v>100</v>
      </c>
      <c r="H33" s="11">
        <v>1</v>
      </c>
      <c r="I33" t="str">
        <f t="shared" si="0"/>
        <v>mayo</v>
      </c>
      <c r="J33" t="str">
        <f t="shared" si="1"/>
        <v>sábado</v>
      </c>
    </row>
    <row r="34" spans="1:10" hidden="1" outlineLevel="2" x14ac:dyDescent="0.3">
      <c r="A34" s="3">
        <v>25</v>
      </c>
      <c r="B34" t="s">
        <v>18</v>
      </c>
      <c r="C34" t="s">
        <v>19</v>
      </c>
      <c r="D34" s="10">
        <v>69.3</v>
      </c>
      <c r="E34" s="1">
        <v>45970</v>
      </c>
      <c r="F34" s="6" t="s">
        <v>20</v>
      </c>
      <c r="G34" s="11">
        <v>41</v>
      </c>
      <c r="H34" s="11">
        <v>2</v>
      </c>
      <c r="I34" t="str">
        <f t="shared" si="0"/>
        <v>noviembre</v>
      </c>
      <c r="J34" t="str">
        <f t="shared" si="1"/>
        <v>domingo</v>
      </c>
    </row>
    <row r="35" spans="1:10" hidden="1" outlineLevel="2" x14ac:dyDescent="0.3">
      <c r="A35" s="3">
        <v>310</v>
      </c>
      <c r="B35" t="s">
        <v>94</v>
      </c>
      <c r="C35" t="s">
        <v>19</v>
      </c>
      <c r="D35" s="10">
        <v>57.7</v>
      </c>
      <c r="E35" s="1">
        <v>45970</v>
      </c>
      <c r="F35" s="6" t="s">
        <v>16</v>
      </c>
      <c r="G35" s="11">
        <v>100</v>
      </c>
      <c r="H35" s="11">
        <v>1</v>
      </c>
      <c r="I35" t="str">
        <f t="shared" si="0"/>
        <v>noviembre</v>
      </c>
      <c r="J35" t="str">
        <f t="shared" si="1"/>
        <v>domingo</v>
      </c>
    </row>
    <row r="36" spans="1:10" hidden="1" outlineLevel="2" x14ac:dyDescent="0.3">
      <c r="A36" s="3">
        <v>513</v>
      </c>
      <c r="B36" t="s">
        <v>144</v>
      </c>
      <c r="C36" t="s">
        <v>19</v>
      </c>
      <c r="D36" s="10">
        <v>64.7</v>
      </c>
      <c r="E36" s="1">
        <v>45991</v>
      </c>
      <c r="F36" s="6" t="s">
        <v>16</v>
      </c>
      <c r="G36" s="11">
        <v>44</v>
      </c>
      <c r="H36" s="11">
        <v>1</v>
      </c>
      <c r="I36" t="str">
        <f t="shared" si="0"/>
        <v>noviembre</v>
      </c>
      <c r="J36" t="str">
        <f t="shared" si="1"/>
        <v>domingo</v>
      </c>
    </row>
    <row r="37" spans="1:10" hidden="1" outlineLevel="2" x14ac:dyDescent="0.3">
      <c r="A37" s="3">
        <v>561</v>
      </c>
      <c r="B37" t="s">
        <v>160</v>
      </c>
      <c r="C37" t="s">
        <v>19</v>
      </c>
      <c r="D37" s="10">
        <v>82.6</v>
      </c>
      <c r="E37" s="1">
        <v>45972</v>
      </c>
      <c r="F37" s="6" t="s">
        <v>20</v>
      </c>
      <c r="G37" s="11">
        <v>87</v>
      </c>
      <c r="H37" s="11">
        <v>1</v>
      </c>
      <c r="I37" t="str">
        <f t="shared" si="0"/>
        <v>noviembre</v>
      </c>
      <c r="J37" t="str">
        <f t="shared" si="1"/>
        <v>martes</v>
      </c>
    </row>
    <row r="38" spans="1:10" hidden="1" outlineLevel="2" x14ac:dyDescent="0.3">
      <c r="A38" s="3">
        <v>716</v>
      </c>
      <c r="B38" t="s">
        <v>188</v>
      </c>
      <c r="C38" t="s">
        <v>19</v>
      </c>
      <c r="D38" s="10">
        <v>90.1</v>
      </c>
      <c r="E38" s="1">
        <v>45979</v>
      </c>
      <c r="F38" s="6" t="s">
        <v>20</v>
      </c>
      <c r="G38" s="11">
        <v>62</v>
      </c>
      <c r="H38" s="11">
        <v>1</v>
      </c>
      <c r="I38" t="str">
        <f t="shared" si="0"/>
        <v>noviembre</v>
      </c>
      <c r="J38" t="str">
        <f t="shared" si="1"/>
        <v>martes</v>
      </c>
    </row>
    <row r="39" spans="1:10" hidden="1" outlineLevel="2" x14ac:dyDescent="0.3">
      <c r="A39" s="3">
        <v>115</v>
      </c>
      <c r="B39" t="s">
        <v>44</v>
      </c>
      <c r="C39" t="s">
        <v>19</v>
      </c>
      <c r="D39" s="10">
        <v>82.6</v>
      </c>
      <c r="E39" s="1">
        <v>45987</v>
      </c>
      <c r="F39" s="6" t="s">
        <v>20</v>
      </c>
      <c r="G39" s="11">
        <v>42</v>
      </c>
      <c r="H39" s="11">
        <v>3</v>
      </c>
      <c r="I39" t="str">
        <f t="shared" si="0"/>
        <v>noviembre</v>
      </c>
      <c r="J39" t="str">
        <f t="shared" si="1"/>
        <v>miércoles</v>
      </c>
    </row>
    <row r="40" spans="1:10" hidden="1" outlineLevel="2" x14ac:dyDescent="0.3">
      <c r="A40" s="3">
        <v>73</v>
      </c>
      <c r="B40" t="s">
        <v>34</v>
      </c>
      <c r="C40" t="s">
        <v>19</v>
      </c>
      <c r="D40" s="10">
        <v>97.8</v>
      </c>
      <c r="E40" s="1">
        <v>45942</v>
      </c>
      <c r="F40" s="6" t="s">
        <v>16</v>
      </c>
      <c r="G40" s="11">
        <v>87</v>
      </c>
      <c r="H40" s="11">
        <v>1</v>
      </c>
      <c r="I40" t="str">
        <f t="shared" si="0"/>
        <v>octubre</v>
      </c>
      <c r="J40" t="str">
        <f t="shared" si="1"/>
        <v>domingo</v>
      </c>
    </row>
    <row r="41" spans="1:10" hidden="1" outlineLevel="2" x14ac:dyDescent="0.3">
      <c r="A41" s="3">
        <v>927</v>
      </c>
      <c r="B41" t="s">
        <v>241</v>
      </c>
      <c r="C41" t="s">
        <v>19</v>
      </c>
      <c r="D41" s="10">
        <v>76.099999999999994</v>
      </c>
      <c r="E41" s="1">
        <v>45960</v>
      </c>
      <c r="F41" s="6" t="s">
        <v>22</v>
      </c>
      <c r="G41" s="11">
        <v>31</v>
      </c>
      <c r="H41" s="11">
        <v>1</v>
      </c>
      <c r="I41" t="str">
        <f t="shared" si="0"/>
        <v>octubre</v>
      </c>
      <c r="J41" t="str">
        <f t="shared" si="1"/>
        <v>jueves</v>
      </c>
    </row>
    <row r="42" spans="1:10" hidden="1" outlineLevel="2" x14ac:dyDescent="0.3">
      <c r="A42" s="3">
        <v>196</v>
      </c>
      <c r="B42" t="s">
        <v>63</v>
      </c>
      <c r="C42" t="s">
        <v>19</v>
      </c>
      <c r="D42" s="10">
        <v>90.6</v>
      </c>
      <c r="E42" s="1">
        <v>45958</v>
      </c>
      <c r="F42" s="6" t="s">
        <v>16</v>
      </c>
      <c r="G42" s="11">
        <v>10</v>
      </c>
      <c r="H42" s="11">
        <v>3</v>
      </c>
      <c r="I42" t="str">
        <f t="shared" si="0"/>
        <v>octubre</v>
      </c>
      <c r="J42" t="str">
        <f t="shared" si="1"/>
        <v>martes</v>
      </c>
    </row>
    <row r="43" spans="1:10" hidden="1" outlineLevel="2" x14ac:dyDescent="0.3">
      <c r="A43" s="3">
        <v>909</v>
      </c>
      <c r="B43" t="s">
        <v>237</v>
      </c>
      <c r="C43" t="s">
        <v>19</v>
      </c>
      <c r="D43" s="10">
        <v>73.099999999999994</v>
      </c>
      <c r="E43" s="1">
        <v>45944</v>
      </c>
      <c r="F43" s="6" t="s">
        <v>20</v>
      </c>
      <c r="G43" s="11">
        <v>100</v>
      </c>
      <c r="H43" s="11">
        <v>1</v>
      </c>
      <c r="I43" t="str">
        <f t="shared" si="0"/>
        <v>octubre</v>
      </c>
      <c r="J43" t="str">
        <f t="shared" si="1"/>
        <v>martes</v>
      </c>
    </row>
    <row r="44" spans="1:10" hidden="1" outlineLevel="2" x14ac:dyDescent="0.3">
      <c r="A44" s="3">
        <v>778</v>
      </c>
      <c r="B44" t="s">
        <v>201</v>
      </c>
      <c r="C44" t="s">
        <v>19</v>
      </c>
      <c r="D44" s="10">
        <v>54.5</v>
      </c>
      <c r="E44" s="1">
        <v>45959</v>
      </c>
      <c r="F44" s="6" t="s">
        <v>22</v>
      </c>
      <c r="G44" s="11">
        <v>100</v>
      </c>
      <c r="H44" s="11">
        <v>2</v>
      </c>
      <c r="I44" t="str">
        <f t="shared" si="0"/>
        <v>octubre</v>
      </c>
      <c r="J44" t="str">
        <f t="shared" si="1"/>
        <v>miércoles</v>
      </c>
    </row>
    <row r="45" spans="1:10" hidden="1" outlineLevel="2" x14ac:dyDescent="0.3">
      <c r="A45" s="3">
        <v>256</v>
      </c>
      <c r="B45" t="s">
        <v>78</v>
      </c>
      <c r="C45" t="s">
        <v>19</v>
      </c>
      <c r="D45" s="10">
        <v>50.3</v>
      </c>
      <c r="E45" s="1">
        <v>45907</v>
      </c>
      <c r="F45" s="6" t="s">
        <v>16</v>
      </c>
      <c r="G45" s="11">
        <v>75</v>
      </c>
      <c r="H45" s="11">
        <v>2</v>
      </c>
      <c r="I45" t="str">
        <f t="shared" si="0"/>
        <v>septiembre</v>
      </c>
      <c r="J45" t="str">
        <f t="shared" si="1"/>
        <v>domingo</v>
      </c>
    </row>
    <row r="46" spans="1:10" hidden="1" outlineLevel="2" x14ac:dyDescent="0.3">
      <c r="A46" s="3">
        <v>916</v>
      </c>
      <c r="B46" t="s">
        <v>238</v>
      </c>
      <c r="C46" t="s">
        <v>19</v>
      </c>
      <c r="D46" s="10">
        <v>58.9</v>
      </c>
      <c r="E46" s="1">
        <v>45921</v>
      </c>
      <c r="F46" s="6" t="s">
        <v>22</v>
      </c>
      <c r="G46" s="11">
        <v>89</v>
      </c>
      <c r="H46" s="11">
        <v>2</v>
      </c>
      <c r="I46" t="str">
        <f t="shared" si="0"/>
        <v>septiembre</v>
      </c>
      <c r="J46" t="str">
        <f t="shared" si="1"/>
        <v>domingo</v>
      </c>
    </row>
    <row r="47" spans="1:10" outlineLevel="1" collapsed="1" x14ac:dyDescent="0.3">
      <c r="A47" s="3"/>
      <c r="C47" s="13" t="s">
        <v>269</v>
      </c>
      <c r="D47" s="10">
        <f>SUBTOTAL(1,D2:D46)</f>
        <v>73.937777777777768</v>
      </c>
    </row>
    <row r="48" spans="1:10" hidden="1" outlineLevel="2" x14ac:dyDescent="0.3">
      <c r="A48" s="3">
        <v>383</v>
      </c>
      <c r="B48" t="s">
        <v>112</v>
      </c>
      <c r="C48" t="s">
        <v>24</v>
      </c>
      <c r="D48" s="10">
        <v>85.4</v>
      </c>
      <c r="E48" s="1">
        <v>45750</v>
      </c>
      <c r="F48" s="6" t="s">
        <v>16</v>
      </c>
      <c r="G48" s="11">
        <v>62</v>
      </c>
      <c r="H48" s="11">
        <v>3</v>
      </c>
      <c r="I48" t="str">
        <f t="shared" ref="I48:I79" si="2">TEXT(E48,"MMMM")</f>
        <v>abril</v>
      </c>
      <c r="J48" t="str">
        <f t="shared" ref="J48:J79" si="3">TEXT(E48,"DDDD")</f>
        <v>jueves</v>
      </c>
    </row>
    <row r="49" spans="1:10" hidden="1" outlineLevel="2" x14ac:dyDescent="0.3">
      <c r="A49" s="3">
        <v>44</v>
      </c>
      <c r="B49" t="s">
        <v>27</v>
      </c>
      <c r="C49" t="s">
        <v>24</v>
      </c>
      <c r="D49" s="10">
        <v>64</v>
      </c>
      <c r="E49" s="1">
        <v>45754</v>
      </c>
      <c r="F49" s="6" t="s">
        <v>16</v>
      </c>
      <c r="G49" s="11">
        <v>18</v>
      </c>
      <c r="H49" s="11">
        <v>3</v>
      </c>
      <c r="I49" t="str">
        <f t="shared" si="2"/>
        <v>abril</v>
      </c>
      <c r="J49" t="str">
        <f t="shared" si="3"/>
        <v>lunes</v>
      </c>
    </row>
    <row r="50" spans="1:10" hidden="1" outlineLevel="2" x14ac:dyDescent="0.3">
      <c r="A50" s="3">
        <v>94</v>
      </c>
      <c r="B50" t="s">
        <v>39</v>
      </c>
      <c r="C50" t="s">
        <v>24</v>
      </c>
      <c r="D50" s="10">
        <v>88</v>
      </c>
      <c r="E50" s="1">
        <v>45763</v>
      </c>
      <c r="F50" s="6" t="s">
        <v>16</v>
      </c>
      <c r="G50" s="11">
        <v>63</v>
      </c>
      <c r="H50" s="11">
        <v>3</v>
      </c>
      <c r="I50" t="str">
        <f t="shared" si="2"/>
        <v>abril</v>
      </c>
      <c r="J50" t="str">
        <f t="shared" si="3"/>
        <v>miércoles</v>
      </c>
    </row>
    <row r="51" spans="1:10" hidden="1" outlineLevel="2" x14ac:dyDescent="0.3">
      <c r="A51" s="3">
        <v>344</v>
      </c>
      <c r="B51" t="s">
        <v>105</v>
      </c>
      <c r="C51" t="s">
        <v>24</v>
      </c>
      <c r="D51" s="10">
        <v>98.3</v>
      </c>
      <c r="E51" s="1">
        <v>45749</v>
      </c>
      <c r="F51" s="6" t="s">
        <v>16</v>
      </c>
      <c r="G51" s="11">
        <v>86</v>
      </c>
      <c r="H51" s="11">
        <v>1</v>
      </c>
      <c r="I51" t="str">
        <f t="shared" si="2"/>
        <v>abril</v>
      </c>
      <c r="J51" t="str">
        <f t="shared" si="3"/>
        <v>miércoles</v>
      </c>
    </row>
    <row r="52" spans="1:10" hidden="1" outlineLevel="2" x14ac:dyDescent="0.3">
      <c r="A52" s="3">
        <v>429</v>
      </c>
      <c r="B52" t="s">
        <v>123</v>
      </c>
      <c r="C52" t="s">
        <v>24</v>
      </c>
      <c r="D52" s="10">
        <v>89.3</v>
      </c>
      <c r="E52" s="1">
        <v>45763</v>
      </c>
      <c r="F52" s="6" t="s">
        <v>22</v>
      </c>
      <c r="G52" s="11">
        <v>87</v>
      </c>
      <c r="H52" s="11">
        <v>1</v>
      </c>
      <c r="I52" t="str">
        <f t="shared" si="2"/>
        <v>abril</v>
      </c>
      <c r="J52" t="str">
        <f t="shared" si="3"/>
        <v>miércoles</v>
      </c>
    </row>
    <row r="53" spans="1:10" hidden="1" outlineLevel="2" x14ac:dyDescent="0.3">
      <c r="A53" s="3">
        <v>692</v>
      </c>
      <c r="B53" t="s">
        <v>182</v>
      </c>
      <c r="C53" t="s">
        <v>24</v>
      </c>
      <c r="D53" s="10">
        <v>57.1</v>
      </c>
      <c r="E53" s="1">
        <v>45763</v>
      </c>
      <c r="F53" s="6" t="s">
        <v>16</v>
      </c>
      <c r="G53" s="11">
        <v>97</v>
      </c>
      <c r="H53" s="11">
        <v>2</v>
      </c>
      <c r="I53" t="str">
        <f t="shared" si="2"/>
        <v>abril</v>
      </c>
      <c r="J53" t="str">
        <f t="shared" si="3"/>
        <v>miércoles</v>
      </c>
    </row>
    <row r="54" spans="1:10" hidden="1" outlineLevel="2" x14ac:dyDescent="0.3">
      <c r="A54" s="3">
        <v>653</v>
      </c>
      <c r="B54" t="s">
        <v>175</v>
      </c>
      <c r="C54" t="s">
        <v>24</v>
      </c>
      <c r="D54" s="10">
        <v>71.099999999999994</v>
      </c>
      <c r="E54" s="1">
        <v>45751</v>
      </c>
      <c r="F54" s="6" t="s">
        <v>16</v>
      </c>
      <c r="G54" s="11">
        <v>62</v>
      </c>
      <c r="H54" s="11">
        <v>2</v>
      </c>
      <c r="I54" t="str">
        <f t="shared" si="2"/>
        <v>abril</v>
      </c>
      <c r="J54" t="str">
        <f t="shared" si="3"/>
        <v>viernes</v>
      </c>
    </row>
    <row r="55" spans="1:10" hidden="1" outlineLevel="2" x14ac:dyDescent="0.3">
      <c r="A55" s="3">
        <v>686</v>
      </c>
      <c r="B55" t="s">
        <v>181</v>
      </c>
      <c r="C55" t="s">
        <v>24</v>
      </c>
      <c r="D55" s="10">
        <v>94.2</v>
      </c>
      <c r="E55" s="1">
        <v>45765</v>
      </c>
      <c r="F55" s="6" t="s">
        <v>22</v>
      </c>
      <c r="G55" s="11">
        <v>74</v>
      </c>
      <c r="H55" s="11">
        <v>1</v>
      </c>
      <c r="I55" t="str">
        <f t="shared" si="2"/>
        <v>abril</v>
      </c>
      <c r="J55" t="str">
        <f t="shared" si="3"/>
        <v>viernes</v>
      </c>
    </row>
    <row r="56" spans="1:10" hidden="1" outlineLevel="2" x14ac:dyDescent="0.3">
      <c r="A56" s="3">
        <v>530</v>
      </c>
      <c r="B56" t="s">
        <v>149</v>
      </c>
      <c r="C56" t="s">
        <v>24</v>
      </c>
      <c r="D56" s="10">
        <v>74</v>
      </c>
      <c r="E56" s="1">
        <v>45887</v>
      </c>
      <c r="F56" s="6" t="s">
        <v>16</v>
      </c>
      <c r="G56" s="11">
        <v>97</v>
      </c>
      <c r="H56" s="11">
        <v>2</v>
      </c>
      <c r="I56" t="str">
        <f t="shared" si="2"/>
        <v>agosto</v>
      </c>
      <c r="J56" t="str">
        <f t="shared" si="3"/>
        <v>lunes</v>
      </c>
    </row>
    <row r="57" spans="1:10" hidden="1" outlineLevel="2" x14ac:dyDescent="0.3">
      <c r="A57" s="3">
        <v>120</v>
      </c>
      <c r="B57" t="s">
        <v>45</v>
      </c>
      <c r="C57" t="s">
        <v>24</v>
      </c>
      <c r="D57" s="10">
        <v>61.3</v>
      </c>
      <c r="E57" s="1">
        <v>45895</v>
      </c>
      <c r="F57" s="6" t="s">
        <v>16</v>
      </c>
      <c r="G57" s="11">
        <v>19</v>
      </c>
      <c r="H57" s="11">
        <v>3</v>
      </c>
      <c r="I57" t="str">
        <f t="shared" si="2"/>
        <v>agosto</v>
      </c>
      <c r="J57" t="str">
        <f t="shared" si="3"/>
        <v>martes</v>
      </c>
    </row>
    <row r="58" spans="1:10" hidden="1" outlineLevel="2" x14ac:dyDescent="0.3">
      <c r="A58" s="3">
        <v>488</v>
      </c>
      <c r="B58" t="s">
        <v>136</v>
      </c>
      <c r="C58" t="s">
        <v>24</v>
      </c>
      <c r="D58" s="10">
        <v>75.599999999999994</v>
      </c>
      <c r="E58" s="1">
        <v>45641</v>
      </c>
      <c r="F58" s="6" t="s">
        <v>16</v>
      </c>
      <c r="G58" s="11">
        <v>97</v>
      </c>
      <c r="H58" s="11">
        <v>2</v>
      </c>
      <c r="I58" t="str">
        <f t="shared" si="2"/>
        <v>diciembre</v>
      </c>
      <c r="J58" t="str">
        <f t="shared" si="3"/>
        <v>domingo</v>
      </c>
    </row>
    <row r="59" spans="1:10" hidden="1" outlineLevel="2" x14ac:dyDescent="0.3">
      <c r="A59" s="3">
        <v>254</v>
      </c>
      <c r="B59" t="s">
        <v>77</v>
      </c>
      <c r="C59" t="s">
        <v>24</v>
      </c>
      <c r="D59" s="10">
        <v>93.1</v>
      </c>
      <c r="E59" s="1">
        <v>45993</v>
      </c>
      <c r="F59" s="6" t="s">
        <v>16</v>
      </c>
      <c r="G59" s="11">
        <v>86</v>
      </c>
      <c r="H59" s="11">
        <v>1</v>
      </c>
      <c r="I59" t="str">
        <f t="shared" si="2"/>
        <v>diciembre</v>
      </c>
      <c r="J59" t="str">
        <f t="shared" si="3"/>
        <v>martes</v>
      </c>
    </row>
    <row r="60" spans="1:10" hidden="1" outlineLevel="2" x14ac:dyDescent="0.3">
      <c r="A60" s="3">
        <v>143</v>
      </c>
      <c r="B60" t="s">
        <v>51</v>
      </c>
      <c r="C60" t="s">
        <v>24</v>
      </c>
      <c r="D60" s="10">
        <v>87.2</v>
      </c>
      <c r="E60" s="1">
        <v>45640</v>
      </c>
      <c r="F60" s="6" t="s">
        <v>22</v>
      </c>
      <c r="G60" s="11">
        <v>18</v>
      </c>
      <c r="H60" s="11">
        <v>3</v>
      </c>
      <c r="I60" t="str">
        <f t="shared" si="2"/>
        <v>diciembre</v>
      </c>
      <c r="J60" t="str">
        <f t="shared" si="3"/>
        <v>sábado</v>
      </c>
    </row>
    <row r="61" spans="1:10" hidden="1" outlineLevel="2" x14ac:dyDescent="0.3">
      <c r="A61" s="3">
        <v>512</v>
      </c>
      <c r="B61" t="s">
        <v>143</v>
      </c>
      <c r="C61" t="s">
        <v>24</v>
      </c>
      <c r="D61" s="10">
        <v>60.2</v>
      </c>
      <c r="E61" s="1">
        <v>45640</v>
      </c>
      <c r="F61" s="6" t="s">
        <v>16</v>
      </c>
      <c r="G61" s="11">
        <v>40</v>
      </c>
      <c r="H61" s="11">
        <v>2</v>
      </c>
      <c r="I61" t="str">
        <f t="shared" si="2"/>
        <v>diciembre</v>
      </c>
      <c r="J61" t="str">
        <f t="shared" si="3"/>
        <v>sábado</v>
      </c>
    </row>
    <row r="62" spans="1:10" hidden="1" outlineLevel="2" x14ac:dyDescent="0.3">
      <c r="A62" s="3">
        <v>558</v>
      </c>
      <c r="B62" t="s">
        <v>159</v>
      </c>
      <c r="C62" t="s">
        <v>24</v>
      </c>
      <c r="D62" s="10">
        <v>96.3</v>
      </c>
      <c r="E62" s="1">
        <v>45647</v>
      </c>
      <c r="F62" s="6" t="s">
        <v>22</v>
      </c>
      <c r="G62" s="11">
        <v>96</v>
      </c>
      <c r="H62" s="11">
        <v>1</v>
      </c>
      <c r="I62" t="str">
        <f t="shared" si="2"/>
        <v>diciembre</v>
      </c>
      <c r="J62" t="str">
        <f t="shared" si="3"/>
        <v>sábado</v>
      </c>
    </row>
    <row r="63" spans="1:10" hidden="1" outlineLevel="2" x14ac:dyDescent="0.3">
      <c r="A63" s="3">
        <v>227</v>
      </c>
      <c r="B63" t="s">
        <v>70</v>
      </c>
      <c r="C63" t="s">
        <v>24</v>
      </c>
      <c r="D63" s="10">
        <v>78.3</v>
      </c>
      <c r="E63" s="1">
        <v>45669</v>
      </c>
      <c r="F63" s="6" t="s">
        <v>16</v>
      </c>
      <c r="G63" s="11">
        <v>65</v>
      </c>
      <c r="H63" s="11">
        <v>2</v>
      </c>
      <c r="I63" t="str">
        <f t="shared" si="2"/>
        <v>enero</v>
      </c>
      <c r="J63" t="str">
        <f t="shared" si="3"/>
        <v>domingo</v>
      </c>
    </row>
    <row r="64" spans="1:10" hidden="1" outlineLevel="2" x14ac:dyDescent="0.3">
      <c r="A64" s="3">
        <v>336</v>
      </c>
      <c r="B64" t="s">
        <v>103</v>
      </c>
      <c r="C64" t="s">
        <v>24</v>
      </c>
      <c r="D64" s="10">
        <v>81.599999999999994</v>
      </c>
      <c r="E64" s="1">
        <v>45685</v>
      </c>
      <c r="F64" s="6" t="s">
        <v>16</v>
      </c>
      <c r="G64" s="11">
        <v>90</v>
      </c>
      <c r="H64" s="11">
        <v>2</v>
      </c>
      <c r="I64" t="str">
        <f t="shared" si="2"/>
        <v>enero</v>
      </c>
      <c r="J64" t="str">
        <f t="shared" si="3"/>
        <v>martes</v>
      </c>
    </row>
    <row r="65" spans="1:10" hidden="1" outlineLevel="2" x14ac:dyDescent="0.3">
      <c r="A65" s="3">
        <v>712</v>
      </c>
      <c r="B65" t="s">
        <v>187</v>
      </c>
      <c r="C65" t="s">
        <v>24</v>
      </c>
      <c r="D65" s="10">
        <v>87.6</v>
      </c>
      <c r="E65" s="1">
        <v>45712</v>
      </c>
      <c r="F65" s="6" t="s">
        <v>22</v>
      </c>
      <c r="G65" s="11">
        <v>97</v>
      </c>
      <c r="H65" s="11">
        <v>1</v>
      </c>
      <c r="I65" t="str">
        <f t="shared" si="2"/>
        <v>febrero</v>
      </c>
      <c r="J65" t="str">
        <f t="shared" si="3"/>
        <v>lunes</v>
      </c>
    </row>
    <row r="66" spans="1:10" hidden="1" outlineLevel="2" x14ac:dyDescent="0.3">
      <c r="A66" s="3">
        <v>798</v>
      </c>
      <c r="B66" t="s">
        <v>207</v>
      </c>
      <c r="C66" t="s">
        <v>24</v>
      </c>
      <c r="D66" s="10">
        <v>96</v>
      </c>
      <c r="E66" s="1">
        <v>45698</v>
      </c>
      <c r="F66" s="6" t="s">
        <v>16</v>
      </c>
      <c r="G66" s="11">
        <v>22</v>
      </c>
      <c r="H66" s="11">
        <v>2</v>
      </c>
      <c r="I66" t="str">
        <f t="shared" si="2"/>
        <v>febrero</v>
      </c>
      <c r="J66" t="str">
        <f t="shared" si="3"/>
        <v>lunes</v>
      </c>
    </row>
    <row r="67" spans="1:10" hidden="1" outlineLevel="2" x14ac:dyDescent="0.3">
      <c r="A67" s="3">
        <v>631</v>
      </c>
      <c r="B67" t="s">
        <v>171</v>
      </c>
      <c r="C67" t="s">
        <v>24</v>
      </c>
      <c r="D67" s="10">
        <v>81.5</v>
      </c>
      <c r="E67" s="1">
        <v>45710</v>
      </c>
      <c r="F67" s="6" t="s">
        <v>22</v>
      </c>
      <c r="G67" s="11">
        <v>86</v>
      </c>
      <c r="H67" s="11">
        <v>2</v>
      </c>
      <c r="I67" t="str">
        <f t="shared" si="2"/>
        <v>febrero</v>
      </c>
      <c r="J67" t="str">
        <f t="shared" si="3"/>
        <v>sábado</v>
      </c>
    </row>
    <row r="68" spans="1:10" hidden="1" outlineLevel="2" x14ac:dyDescent="0.3">
      <c r="A68" s="3">
        <v>884</v>
      </c>
      <c r="B68" t="s">
        <v>227</v>
      </c>
      <c r="C68" t="s">
        <v>24</v>
      </c>
      <c r="D68" s="10">
        <v>70.3</v>
      </c>
      <c r="E68" s="1">
        <v>45703</v>
      </c>
      <c r="F68" s="6" t="s">
        <v>16</v>
      </c>
      <c r="G68" s="11">
        <v>100</v>
      </c>
      <c r="H68" s="11">
        <v>1</v>
      </c>
      <c r="I68" t="str">
        <f t="shared" si="2"/>
        <v>febrero</v>
      </c>
      <c r="J68" t="str">
        <f t="shared" si="3"/>
        <v>sábado</v>
      </c>
    </row>
    <row r="69" spans="1:10" hidden="1" outlineLevel="2" x14ac:dyDescent="0.3">
      <c r="A69" s="3">
        <v>320</v>
      </c>
      <c r="B69" t="s">
        <v>98</v>
      </c>
      <c r="C69" t="s">
        <v>24</v>
      </c>
      <c r="D69" s="10">
        <v>83</v>
      </c>
      <c r="E69" s="1">
        <v>45841</v>
      </c>
      <c r="F69" s="6" t="s">
        <v>16</v>
      </c>
      <c r="G69" s="11">
        <v>93</v>
      </c>
      <c r="H69" s="11">
        <v>2</v>
      </c>
      <c r="I69" t="str">
        <f t="shared" si="2"/>
        <v>julio</v>
      </c>
      <c r="J69" t="str">
        <f t="shared" si="3"/>
        <v>jueves</v>
      </c>
    </row>
    <row r="70" spans="1:10" hidden="1" outlineLevel="2" x14ac:dyDescent="0.3">
      <c r="A70" s="3">
        <v>899</v>
      </c>
      <c r="B70" t="s">
        <v>233</v>
      </c>
      <c r="C70" t="s">
        <v>24</v>
      </c>
      <c r="D70" s="10">
        <v>75.5</v>
      </c>
      <c r="E70" s="1">
        <v>45860</v>
      </c>
      <c r="F70" s="6" t="s">
        <v>16</v>
      </c>
      <c r="G70" s="11">
        <v>57</v>
      </c>
      <c r="H70" s="11">
        <v>2</v>
      </c>
      <c r="I70" t="str">
        <f t="shared" si="2"/>
        <v>julio</v>
      </c>
      <c r="J70" t="str">
        <f t="shared" si="3"/>
        <v>martes</v>
      </c>
    </row>
    <row r="71" spans="1:10" hidden="1" outlineLevel="2" x14ac:dyDescent="0.3">
      <c r="A71" s="3">
        <v>243</v>
      </c>
      <c r="B71" t="s">
        <v>73</v>
      </c>
      <c r="C71" t="s">
        <v>24</v>
      </c>
      <c r="D71" s="10">
        <v>73.7</v>
      </c>
      <c r="E71" s="1">
        <v>45864</v>
      </c>
      <c r="F71" s="6" t="s">
        <v>16</v>
      </c>
      <c r="G71" s="11">
        <v>100</v>
      </c>
      <c r="H71" s="11">
        <v>1</v>
      </c>
      <c r="I71" t="str">
        <f t="shared" si="2"/>
        <v>julio</v>
      </c>
      <c r="J71" t="str">
        <f t="shared" si="3"/>
        <v>sábado</v>
      </c>
    </row>
    <row r="72" spans="1:10" hidden="1" outlineLevel="2" x14ac:dyDescent="0.3">
      <c r="A72" s="3">
        <v>438</v>
      </c>
      <c r="B72" t="s">
        <v>126</v>
      </c>
      <c r="C72" t="s">
        <v>24</v>
      </c>
      <c r="D72" s="10">
        <v>99.1</v>
      </c>
      <c r="E72" s="1">
        <v>45843</v>
      </c>
      <c r="F72" s="6" t="s">
        <v>16</v>
      </c>
      <c r="G72" s="11">
        <v>20</v>
      </c>
      <c r="H72" s="11">
        <v>3</v>
      </c>
      <c r="I72" t="str">
        <f t="shared" si="2"/>
        <v>julio</v>
      </c>
      <c r="J72" t="str">
        <f t="shared" si="3"/>
        <v>sábado</v>
      </c>
    </row>
    <row r="73" spans="1:10" hidden="1" outlineLevel="2" x14ac:dyDescent="0.3">
      <c r="A73" s="3">
        <v>522</v>
      </c>
      <c r="B73" t="s">
        <v>147</v>
      </c>
      <c r="C73" t="s">
        <v>24</v>
      </c>
      <c r="D73" s="10">
        <v>61.7</v>
      </c>
      <c r="E73" s="1">
        <v>45842</v>
      </c>
      <c r="F73" s="6" t="s">
        <v>16</v>
      </c>
      <c r="G73" s="11">
        <v>19</v>
      </c>
      <c r="H73" s="11">
        <v>3</v>
      </c>
      <c r="I73" t="str">
        <f t="shared" si="2"/>
        <v>julio</v>
      </c>
      <c r="J73" t="str">
        <f t="shared" si="3"/>
        <v>viernes</v>
      </c>
    </row>
    <row r="74" spans="1:10" hidden="1" outlineLevel="2" x14ac:dyDescent="0.3">
      <c r="A74" s="3">
        <v>179</v>
      </c>
      <c r="B74" t="s">
        <v>62</v>
      </c>
      <c r="C74" t="s">
        <v>24</v>
      </c>
      <c r="D74" s="10">
        <v>51.7</v>
      </c>
      <c r="E74" s="1">
        <v>45809</v>
      </c>
      <c r="F74" s="6" t="s">
        <v>16</v>
      </c>
      <c r="G74" s="11">
        <v>42</v>
      </c>
      <c r="H74" s="11">
        <v>1</v>
      </c>
      <c r="I74" t="str">
        <f t="shared" si="2"/>
        <v>junio</v>
      </c>
      <c r="J74" t="str">
        <f t="shared" si="3"/>
        <v>domingo</v>
      </c>
    </row>
    <row r="75" spans="1:10" hidden="1" outlineLevel="2" x14ac:dyDescent="0.3">
      <c r="A75" s="3">
        <v>532</v>
      </c>
      <c r="B75" t="s">
        <v>150</v>
      </c>
      <c r="C75" t="s">
        <v>24</v>
      </c>
      <c r="D75" s="10">
        <v>65</v>
      </c>
      <c r="E75" s="1">
        <v>45827</v>
      </c>
      <c r="F75" s="6" t="s">
        <v>16</v>
      </c>
      <c r="G75" s="11">
        <v>36</v>
      </c>
      <c r="H75" s="11">
        <v>3</v>
      </c>
      <c r="I75" t="str">
        <f t="shared" si="2"/>
        <v>junio</v>
      </c>
      <c r="J75" t="str">
        <f t="shared" si="3"/>
        <v>jueves</v>
      </c>
    </row>
    <row r="76" spans="1:10" hidden="1" outlineLevel="2" x14ac:dyDescent="0.3">
      <c r="A76" s="3">
        <v>754</v>
      </c>
      <c r="B76" t="s">
        <v>195</v>
      </c>
      <c r="C76" t="s">
        <v>24</v>
      </c>
      <c r="D76" s="10">
        <v>66.8</v>
      </c>
      <c r="E76" s="1">
        <v>45820</v>
      </c>
      <c r="F76" s="6" t="s">
        <v>16</v>
      </c>
      <c r="G76" s="11">
        <v>25</v>
      </c>
      <c r="H76" s="11">
        <v>1</v>
      </c>
      <c r="I76" t="str">
        <f t="shared" si="2"/>
        <v>junio</v>
      </c>
      <c r="J76" t="str">
        <f t="shared" si="3"/>
        <v>jueves</v>
      </c>
    </row>
    <row r="77" spans="1:10" hidden="1" outlineLevel="2" x14ac:dyDescent="0.3">
      <c r="A77" s="3">
        <v>97</v>
      </c>
      <c r="B77" t="s">
        <v>40</v>
      </c>
      <c r="C77" t="s">
        <v>24</v>
      </c>
      <c r="D77" s="10">
        <v>92.3</v>
      </c>
      <c r="E77" s="1">
        <v>45824</v>
      </c>
      <c r="F77" s="6" t="s">
        <v>16</v>
      </c>
      <c r="G77" s="11">
        <v>95</v>
      </c>
      <c r="H77" s="11">
        <v>1</v>
      </c>
      <c r="I77" t="str">
        <f t="shared" si="2"/>
        <v>junio</v>
      </c>
      <c r="J77" t="str">
        <f t="shared" si="3"/>
        <v>lunes</v>
      </c>
    </row>
    <row r="78" spans="1:10" hidden="1" outlineLevel="2" x14ac:dyDescent="0.3">
      <c r="A78" s="3">
        <v>533</v>
      </c>
      <c r="B78" t="s">
        <v>151</v>
      </c>
      <c r="C78" t="s">
        <v>24</v>
      </c>
      <c r="D78" s="10">
        <v>53.8</v>
      </c>
      <c r="E78" s="1">
        <v>45812</v>
      </c>
      <c r="F78" s="6" t="s">
        <v>16</v>
      </c>
      <c r="G78" s="11">
        <v>8</v>
      </c>
      <c r="H78" s="11">
        <v>3</v>
      </c>
      <c r="I78" t="str">
        <f t="shared" si="2"/>
        <v>junio</v>
      </c>
      <c r="J78" t="str">
        <f t="shared" si="3"/>
        <v>miércoles</v>
      </c>
    </row>
    <row r="79" spans="1:10" hidden="1" outlineLevel="2" x14ac:dyDescent="0.3">
      <c r="A79" s="3">
        <v>178</v>
      </c>
      <c r="B79" t="s">
        <v>61</v>
      </c>
      <c r="C79" t="s">
        <v>24</v>
      </c>
      <c r="D79" s="10">
        <v>95.5</v>
      </c>
      <c r="E79" s="1">
        <v>45746</v>
      </c>
      <c r="F79" s="6" t="s">
        <v>22</v>
      </c>
      <c r="G79" s="11">
        <v>62</v>
      </c>
      <c r="H79" s="11">
        <v>1</v>
      </c>
      <c r="I79" t="str">
        <f t="shared" si="2"/>
        <v>marzo</v>
      </c>
      <c r="J79" t="str">
        <f t="shared" si="3"/>
        <v>domingo</v>
      </c>
    </row>
    <row r="80" spans="1:10" hidden="1" outlineLevel="2" x14ac:dyDescent="0.3">
      <c r="A80" s="3">
        <v>696</v>
      </c>
      <c r="B80" t="s">
        <v>184</v>
      </c>
      <c r="C80" t="s">
        <v>24</v>
      </c>
      <c r="D80" s="10">
        <v>52.9</v>
      </c>
      <c r="E80" s="1">
        <v>45725</v>
      </c>
      <c r="F80" s="6" t="s">
        <v>22</v>
      </c>
      <c r="G80" s="11">
        <v>72</v>
      </c>
      <c r="H80" s="11">
        <v>3</v>
      </c>
      <c r="I80" t="str">
        <f t="shared" ref="I80:I102" si="4">TEXT(E80,"MMMM")</f>
        <v>marzo</v>
      </c>
      <c r="J80" t="str">
        <f t="shared" ref="J80:J102" si="5">TEXT(E80,"DDDD")</f>
        <v>domingo</v>
      </c>
    </row>
    <row r="81" spans="1:10" hidden="1" outlineLevel="2" x14ac:dyDescent="0.3">
      <c r="A81" s="3">
        <v>988</v>
      </c>
      <c r="B81" t="s">
        <v>251</v>
      </c>
      <c r="C81" t="s">
        <v>24</v>
      </c>
      <c r="D81" s="10">
        <v>86</v>
      </c>
      <c r="E81" s="1">
        <v>45718</v>
      </c>
      <c r="F81" s="6" t="s">
        <v>22</v>
      </c>
      <c r="G81" s="11">
        <v>51</v>
      </c>
      <c r="H81" s="11">
        <v>2</v>
      </c>
      <c r="I81" t="str">
        <f t="shared" si="4"/>
        <v>marzo</v>
      </c>
      <c r="J81" t="str">
        <f t="shared" si="5"/>
        <v>domingo</v>
      </c>
    </row>
    <row r="82" spans="1:10" hidden="1" outlineLevel="2" x14ac:dyDescent="0.3">
      <c r="A82" s="3">
        <v>131</v>
      </c>
      <c r="B82" t="s">
        <v>48</v>
      </c>
      <c r="C82" t="s">
        <v>24</v>
      </c>
      <c r="D82" s="10">
        <v>87.4</v>
      </c>
      <c r="E82" s="1">
        <v>45721</v>
      </c>
      <c r="F82" s="6" t="s">
        <v>16</v>
      </c>
      <c r="G82" s="11">
        <v>77</v>
      </c>
      <c r="H82" s="11">
        <v>1</v>
      </c>
      <c r="I82" t="str">
        <f t="shared" si="4"/>
        <v>marzo</v>
      </c>
      <c r="J82" t="str">
        <f t="shared" si="5"/>
        <v>miércoles</v>
      </c>
    </row>
    <row r="83" spans="1:10" hidden="1" outlineLevel="2" x14ac:dyDescent="0.3">
      <c r="A83" s="3">
        <v>504</v>
      </c>
      <c r="B83" t="s">
        <v>140</v>
      </c>
      <c r="C83" t="s">
        <v>24</v>
      </c>
      <c r="D83" s="10">
        <v>57.2</v>
      </c>
      <c r="E83" s="1">
        <v>45792</v>
      </c>
      <c r="F83" s="6" t="s">
        <v>16</v>
      </c>
      <c r="G83" s="11">
        <v>92</v>
      </c>
      <c r="H83" s="11">
        <v>2</v>
      </c>
      <c r="I83" t="str">
        <f t="shared" si="4"/>
        <v>mayo</v>
      </c>
      <c r="J83" t="str">
        <f t="shared" si="5"/>
        <v>jueves</v>
      </c>
    </row>
    <row r="84" spans="1:10" hidden="1" outlineLevel="2" x14ac:dyDescent="0.3">
      <c r="A84" s="3">
        <v>296</v>
      </c>
      <c r="B84" t="s">
        <v>90</v>
      </c>
      <c r="C84" t="s">
        <v>24</v>
      </c>
      <c r="D84" s="10">
        <v>86.6</v>
      </c>
      <c r="E84" s="1">
        <v>45803</v>
      </c>
      <c r="F84" s="6" t="s">
        <v>22</v>
      </c>
      <c r="G84" s="11">
        <v>65</v>
      </c>
      <c r="H84" s="11">
        <v>3</v>
      </c>
      <c r="I84" t="str">
        <f t="shared" si="4"/>
        <v>mayo</v>
      </c>
      <c r="J84" t="str">
        <f t="shared" si="5"/>
        <v>lunes</v>
      </c>
    </row>
    <row r="85" spans="1:10" hidden="1" outlineLevel="2" x14ac:dyDescent="0.3">
      <c r="A85" s="3">
        <v>820</v>
      </c>
      <c r="B85" t="s">
        <v>210</v>
      </c>
      <c r="C85" t="s">
        <v>24</v>
      </c>
      <c r="D85" s="10">
        <v>98.4</v>
      </c>
      <c r="E85" s="1">
        <v>45796</v>
      </c>
      <c r="F85" s="6" t="s">
        <v>16</v>
      </c>
      <c r="G85" s="11">
        <v>97</v>
      </c>
      <c r="H85" s="11">
        <v>2</v>
      </c>
      <c r="I85" t="str">
        <f t="shared" si="4"/>
        <v>mayo</v>
      </c>
      <c r="J85" t="str">
        <f t="shared" si="5"/>
        <v>lunes</v>
      </c>
    </row>
    <row r="86" spans="1:10" hidden="1" outlineLevel="2" x14ac:dyDescent="0.3">
      <c r="A86" s="3">
        <v>157</v>
      </c>
      <c r="B86" t="s">
        <v>55</v>
      </c>
      <c r="C86" t="s">
        <v>24</v>
      </c>
      <c r="D86" s="10">
        <v>70.2</v>
      </c>
      <c r="E86" s="1">
        <v>45780</v>
      </c>
      <c r="F86" s="6" t="s">
        <v>22</v>
      </c>
      <c r="G86" s="11">
        <v>100</v>
      </c>
      <c r="H86" s="11">
        <v>1</v>
      </c>
      <c r="I86" t="str">
        <f t="shared" si="4"/>
        <v>mayo</v>
      </c>
      <c r="J86" t="str">
        <f t="shared" si="5"/>
        <v>sábado</v>
      </c>
    </row>
    <row r="87" spans="1:10" hidden="1" outlineLevel="2" x14ac:dyDescent="0.3">
      <c r="A87" s="3">
        <v>306</v>
      </c>
      <c r="B87" t="s">
        <v>92</v>
      </c>
      <c r="C87" t="s">
        <v>24</v>
      </c>
      <c r="D87" s="10">
        <v>72.8</v>
      </c>
      <c r="E87" s="1">
        <v>45779</v>
      </c>
      <c r="F87" s="6" t="s">
        <v>16</v>
      </c>
      <c r="G87" s="11">
        <v>90</v>
      </c>
      <c r="H87" s="11">
        <v>2</v>
      </c>
      <c r="I87" t="str">
        <f t="shared" si="4"/>
        <v>mayo</v>
      </c>
      <c r="J87" t="str">
        <f t="shared" si="5"/>
        <v>viernes</v>
      </c>
    </row>
    <row r="88" spans="1:10" hidden="1" outlineLevel="2" x14ac:dyDescent="0.3">
      <c r="A88" s="3">
        <v>601</v>
      </c>
      <c r="B88" t="s">
        <v>164</v>
      </c>
      <c r="C88" t="s">
        <v>24</v>
      </c>
      <c r="D88" s="10">
        <v>83.5</v>
      </c>
      <c r="E88" s="1">
        <v>45976</v>
      </c>
      <c r="F88" s="6" t="s">
        <v>22</v>
      </c>
      <c r="G88" s="11">
        <v>89</v>
      </c>
      <c r="H88" s="11">
        <v>3</v>
      </c>
      <c r="I88" t="str">
        <f t="shared" si="4"/>
        <v>noviembre</v>
      </c>
      <c r="J88" t="str">
        <f t="shared" si="5"/>
        <v>sábado</v>
      </c>
    </row>
    <row r="89" spans="1:10" hidden="1" outlineLevel="2" x14ac:dyDescent="0.3">
      <c r="A89" s="3">
        <v>886</v>
      </c>
      <c r="B89" t="s">
        <v>228</v>
      </c>
      <c r="C89" t="s">
        <v>24</v>
      </c>
      <c r="D89" s="10">
        <v>99.1</v>
      </c>
      <c r="E89" s="1">
        <v>45968</v>
      </c>
      <c r="F89" s="6" t="s">
        <v>22</v>
      </c>
      <c r="G89" s="11">
        <v>59</v>
      </c>
      <c r="H89" s="11">
        <v>1</v>
      </c>
      <c r="I89" t="str">
        <f t="shared" si="4"/>
        <v>noviembre</v>
      </c>
      <c r="J89" t="str">
        <f t="shared" si="5"/>
        <v>viernes</v>
      </c>
    </row>
    <row r="90" spans="1:10" hidden="1" outlineLevel="2" x14ac:dyDescent="0.3">
      <c r="A90" s="3">
        <v>285</v>
      </c>
      <c r="B90" t="s">
        <v>84</v>
      </c>
      <c r="C90" t="s">
        <v>24</v>
      </c>
      <c r="D90" s="10">
        <v>77</v>
      </c>
      <c r="E90" s="1">
        <v>45957</v>
      </c>
      <c r="F90" s="6" t="s">
        <v>22</v>
      </c>
      <c r="G90" s="11">
        <v>89</v>
      </c>
      <c r="H90" s="11">
        <v>2</v>
      </c>
      <c r="I90" t="str">
        <f t="shared" si="4"/>
        <v>octubre</v>
      </c>
      <c r="J90" t="str">
        <f t="shared" si="5"/>
        <v>lunes</v>
      </c>
    </row>
    <row r="91" spans="1:10" hidden="1" outlineLevel="2" x14ac:dyDescent="0.3">
      <c r="A91" s="3">
        <v>848</v>
      </c>
      <c r="B91" t="s">
        <v>216</v>
      </c>
      <c r="C91" t="s">
        <v>24</v>
      </c>
      <c r="D91" s="10">
        <v>82.1</v>
      </c>
      <c r="E91" s="1">
        <v>45952</v>
      </c>
      <c r="F91" s="6" t="s">
        <v>16</v>
      </c>
      <c r="G91" s="11">
        <v>48</v>
      </c>
      <c r="H91" s="11">
        <v>1</v>
      </c>
      <c r="I91" t="str">
        <f t="shared" si="4"/>
        <v>octubre</v>
      </c>
      <c r="J91" t="str">
        <f t="shared" si="5"/>
        <v>miércoles</v>
      </c>
    </row>
    <row r="92" spans="1:10" hidden="1" outlineLevel="2" x14ac:dyDescent="0.3">
      <c r="A92" s="3">
        <v>440</v>
      </c>
      <c r="B92" t="s">
        <v>128</v>
      </c>
      <c r="C92" t="s">
        <v>24</v>
      </c>
      <c r="D92" s="10">
        <v>74.599999999999994</v>
      </c>
      <c r="E92" s="1">
        <v>45941</v>
      </c>
      <c r="F92" s="6" t="s">
        <v>16</v>
      </c>
      <c r="G92" s="11">
        <v>41</v>
      </c>
      <c r="H92" s="11">
        <v>3</v>
      </c>
      <c r="I92" t="str">
        <f t="shared" si="4"/>
        <v>octubre</v>
      </c>
      <c r="J92" t="str">
        <f t="shared" si="5"/>
        <v>sábado</v>
      </c>
    </row>
    <row r="93" spans="1:10" hidden="1" outlineLevel="2" x14ac:dyDescent="0.3">
      <c r="A93" s="3">
        <v>203</v>
      </c>
      <c r="B93" t="s">
        <v>64</v>
      </c>
      <c r="C93" t="s">
        <v>24</v>
      </c>
      <c r="D93" s="10">
        <v>63.9</v>
      </c>
      <c r="E93" s="1">
        <v>45928</v>
      </c>
      <c r="F93" s="6" t="s">
        <v>16</v>
      </c>
      <c r="G93" s="11">
        <v>90</v>
      </c>
      <c r="H93" s="11">
        <v>2</v>
      </c>
      <c r="I93" t="str">
        <f t="shared" si="4"/>
        <v>septiembre</v>
      </c>
      <c r="J93" t="str">
        <f t="shared" si="5"/>
        <v>domingo</v>
      </c>
    </row>
    <row r="94" spans="1:10" hidden="1" outlineLevel="2" x14ac:dyDescent="0.3">
      <c r="A94" s="3">
        <v>280</v>
      </c>
      <c r="B94" t="s">
        <v>83</v>
      </c>
      <c r="C94" t="s">
        <v>24</v>
      </c>
      <c r="D94" s="10">
        <v>95.3</v>
      </c>
      <c r="E94" s="1">
        <v>45918</v>
      </c>
      <c r="F94" s="6" t="s">
        <v>16</v>
      </c>
      <c r="G94" s="11">
        <v>54</v>
      </c>
      <c r="H94" s="11">
        <v>3</v>
      </c>
      <c r="I94" t="str">
        <f t="shared" si="4"/>
        <v>septiembre</v>
      </c>
      <c r="J94" t="str">
        <f t="shared" si="5"/>
        <v>jueves</v>
      </c>
    </row>
    <row r="95" spans="1:10" hidden="1" outlineLevel="2" x14ac:dyDescent="0.3">
      <c r="A95" s="3">
        <v>63</v>
      </c>
      <c r="B95" t="s">
        <v>32</v>
      </c>
      <c r="C95" t="s">
        <v>24</v>
      </c>
      <c r="D95" s="10">
        <v>59.2</v>
      </c>
      <c r="E95" s="1">
        <v>45922</v>
      </c>
      <c r="F95" s="6" t="s">
        <v>22</v>
      </c>
      <c r="G95" s="11">
        <v>42</v>
      </c>
      <c r="H95" s="11">
        <v>1</v>
      </c>
      <c r="I95" t="str">
        <f t="shared" si="4"/>
        <v>septiembre</v>
      </c>
      <c r="J95" t="str">
        <f t="shared" si="5"/>
        <v>lunes</v>
      </c>
    </row>
    <row r="96" spans="1:10" hidden="1" outlineLevel="2" x14ac:dyDescent="0.3">
      <c r="A96" s="3">
        <v>128</v>
      </c>
      <c r="B96" t="s">
        <v>47</v>
      </c>
      <c r="C96" t="s">
        <v>24</v>
      </c>
      <c r="D96" s="10">
        <v>97.9</v>
      </c>
      <c r="E96" s="1">
        <v>45901</v>
      </c>
      <c r="F96" s="6" t="s">
        <v>16</v>
      </c>
      <c r="G96" s="11">
        <v>76</v>
      </c>
      <c r="H96" s="11">
        <v>3</v>
      </c>
      <c r="I96" t="str">
        <f t="shared" si="4"/>
        <v>septiembre</v>
      </c>
      <c r="J96" t="str">
        <f t="shared" si="5"/>
        <v>lunes</v>
      </c>
    </row>
    <row r="97" spans="1:10" hidden="1" outlineLevel="2" x14ac:dyDescent="0.3">
      <c r="A97" s="3">
        <v>335</v>
      </c>
      <c r="B97" t="s">
        <v>102</v>
      </c>
      <c r="C97" t="s">
        <v>24</v>
      </c>
      <c r="D97" s="10">
        <v>75.900000000000006</v>
      </c>
      <c r="E97" s="1">
        <v>45930</v>
      </c>
      <c r="F97" s="6" t="s">
        <v>16</v>
      </c>
      <c r="G97" s="11">
        <v>87</v>
      </c>
      <c r="H97" s="11">
        <v>2</v>
      </c>
      <c r="I97" t="str">
        <f t="shared" si="4"/>
        <v>septiembre</v>
      </c>
      <c r="J97" t="str">
        <f t="shared" si="5"/>
        <v>martes</v>
      </c>
    </row>
    <row r="98" spans="1:10" hidden="1" outlineLevel="2" x14ac:dyDescent="0.3">
      <c r="A98" s="3">
        <v>34</v>
      </c>
      <c r="B98" t="s">
        <v>23</v>
      </c>
      <c r="C98" t="s">
        <v>24</v>
      </c>
      <c r="D98" s="10">
        <v>58</v>
      </c>
      <c r="E98" s="1">
        <v>45910</v>
      </c>
      <c r="F98" s="6" t="s">
        <v>16</v>
      </c>
      <c r="G98" s="11">
        <v>78</v>
      </c>
      <c r="H98" s="11">
        <v>1</v>
      </c>
      <c r="I98" t="str">
        <f t="shared" si="4"/>
        <v>septiembre</v>
      </c>
      <c r="J98" t="str">
        <f t="shared" si="5"/>
        <v>miércoles</v>
      </c>
    </row>
    <row r="99" spans="1:10" hidden="1" outlineLevel="2" x14ac:dyDescent="0.3">
      <c r="A99" s="3">
        <v>139</v>
      </c>
      <c r="B99" t="s">
        <v>50</v>
      </c>
      <c r="C99" t="s">
        <v>24</v>
      </c>
      <c r="D99" s="10">
        <v>53.9</v>
      </c>
      <c r="E99" s="1">
        <v>45924</v>
      </c>
      <c r="F99" s="6" t="s">
        <v>22</v>
      </c>
      <c r="G99" s="11">
        <v>87</v>
      </c>
      <c r="H99" s="11">
        <v>1</v>
      </c>
      <c r="I99" t="str">
        <f t="shared" si="4"/>
        <v>septiembre</v>
      </c>
      <c r="J99" t="str">
        <f t="shared" si="5"/>
        <v>miércoles</v>
      </c>
    </row>
    <row r="100" spans="1:10" hidden="1" outlineLevel="2" x14ac:dyDescent="0.3">
      <c r="A100" s="3">
        <v>505</v>
      </c>
      <c r="B100" t="s">
        <v>141</v>
      </c>
      <c r="C100" t="s">
        <v>24</v>
      </c>
      <c r="D100" s="10">
        <v>87.7</v>
      </c>
      <c r="E100" s="1">
        <v>45924</v>
      </c>
      <c r="F100" s="6" t="s">
        <v>22</v>
      </c>
      <c r="G100" s="11">
        <v>100</v>
      </c>
      <c r="H100" s="11">
        <v>1</v>
      </c>
      <c r="I100" t="str">
        <f t="shared" si="4"/>
        <v>septiembre</v>
      </c>
      <c r="J100" t="str">
        <f t="shared" si="5"/>
        <v>miércoles</v>
      </c>
    </row>
    <row r="101" spans="1:10" hidden="1" outlineLevel="2" x14ac:dyDescent="0.3">
      <c r="A101" s="3">
        <v>882</v>
      </c>
      <c r="B101" t="s">
        <v>226</v>
      </c>
      <c r="C101" t="s">
        <v>24</v>
      </c>
      <c r="D101" s="10">
        <v>76.2</v>
      </c>
      <c r="E101" s="1">
        <v>45924</v>
      </c>
      <c r="F101" s="6" t="s">
        <v>16</v>
      </c>
      <c r="G101" s="11">
        <v>100</v>
      </c>
      <c r="H101" s="11">
        <v>1</v>
      </c>
      <c r="I101" t="str">
        <f t="shared" si="4"/>
        <v>septiembre</v>
      </c>
      <c r="J101" t="str">
        <f t="shared" si="5"/>
        <v>miércoles</v>
      </c>
    </row>
    <row r="102" spans="1:10" hidden="1" outlineLevel="2" x14ac:dyDescent="0.3">
      <c r="A102" s="3">
        <v>226</v>
      </c>
      <c r="B102" t="s">
        <v>69</v>
      </c>
      <c r="C102" t="s">
        <v>24</v>
      </c>
      <c r="D102" s="10">
        <v>78.3</v>
      </c>
      <c r="E102" s="1">
        <v>45913</v>
      </c>
      <c r="F102" s="6" t="s">
        <v>16</v>
      </c>
      <c r="G102" s="11">
        <v>36</v>
      </c>
      <c r="H102" s="11">
        <v>2</v>
      </c>
      <c r="I102" t="str">
        <f t="shared" si="4"/>
        <v>septiembre</v>
      </c>
      <c r="J102" t="str">
        <f t="shared" si="5"/>
        <v>sábado</v>
      </c>
    </row>
    <row r="103" spans="1:10" outlineLevel="1" collapsed="1" x14ac:dyDescent="0.3">
      <c r="A103" s="3"/>
      <c r="C103" s="13" t="s">
        <v>270</v>
      </c>
      <c r="D103" s="10">
        <f>SUBTOTAL(1,D48:D102)</f>
        <v>77.865454545454554</v>
      </c>
    </row>
    <row r="104" spans="1:10" hidden="1" outlineLevel="2" x14ac:dyDescent="0.3">
      <c r="A104" s="3">
        <v>342</v>
      </c>
      <c r="B104" t="s">
        <v>104</v>
      </c>
      <c r="C104" t="s">
        <v>15</v>
      </c>
      <c r="D104" s="10">
        <v>76.7</v>
      </c>
      <c r="E104" s="1">
        <v>45762</v>
      </c>
      <c r="F104" s="6" t="s">
        <v>16</v>
      </c>
      <c r="G104" s="11">
        <v>37</v>
      </c>
      <c r="H104" s="11">
        <v>3</v>
      </c>
      <c r="I104" t="str">
        <f t="shared" ref="I104:I148" si="6">TEXT(E104,"MMMM")</f>
        <v>abril</v>
      </c>
      <c r="J104" t="str">
        <f t="shared" ref="J104:J148" si="7">TEXT(E104,"DDDD")</f>
        <v>martes</v>
      </c>
    </row>
    <row r="105" spans="1:10" hidden="1" outlineLevel="2" x14ac:dyDescent="0.3">
      <c r="A105" s="3">
        <v>776</v>
      </c>
      <c r="B105" t="s">
        <v>199</v>
      </c>
      <c r="C105" t="s">
        <v>15</v>
      </c>
      <c r="D105" s="10">
        <v>56.5</v>
      </c>
      <c r="E105" s="1">
        <v>45748</v>
      </c>
      <c r="F105" s="6" t="s">
        <v>16</v>
      </c>
      <c r="G105" s="11">
        <v>22</v>
      </c>
      <c r="H105" s="11">
        <v>3</v>
      </c>
      <c r="I105" t="str">
        <f t="shared" si="6"/>
        <v>abril</v>
      </c>
      <c r="J105" t="str">
        <f t="shared" si="7"/>
        <v>martes</v>
      </c>
    </row>
    <row r="106" spans="1:10" hidden="1" outlineLevel="2" x14ac:dyDescent="0.3">
      <c r="A106" s="3">
        <v>160</v>
      </c>
      <c r="B106" t="s">
        <v>56</v>
      </c>
      <c r="C106" t="s">
        <v>15</v>
      </c>
      <c r="D106" s="10">
        <v>68.8</v>
      </c>
      <c r="E106" s="1">
        <v>45765</v>
      </c>
      <c r="F106" s="6" t="s">
        <v>16</v>
      </c>
      <c r="G106" s="11">
        <v>51</v>
      </c>
      <c r="H106" s="11">
        <v>1</v>
      </c>
      <c r="I106" t="str">
        <f t="shared" si="6"/>
        <v>abril</v>
      </c>
      <c r="J106" t="str">
        <f t="shared" si="7"/>
        <v>viernes</v>
      </c>
    </row>
    <row r="107" spans="1:10" hidden="1" outlineLevel="2" x14ac:dyDescent="0.3">
      <c r="A107" s="3">
        <v>411</v>
      </c>
      <c r="B107" t="s">
        <v>118</v>
      </c>
      <c r="C107" t="s">
        <v>15</v>
      </c>
      <c r="D107" s="10">
        <v>80.400000000000006</v>
      </c>
      <c r="E107" s="1">
        <v>45886</v>
      </c>
      <c r="F107" s="6" t="s">
        <v>16</v>
      </c>
      <c r="G107" s="11">
        <v>33</v>
      </c>
      <c r="H107" s="11">
        <v>1</v>
      </c>
      <c r="I107" t="str">
        <f t="shared" si="6"/>
        <v>agosto</v>
      </c>
      <c r="J107" t="str">
        <f t="shared" si="7"/>
        <v>domingo</v>
      </c>
    </row>
    <row r="108" spans="1:10" hidden="1" outlineLevel="2" x14ac:dyDescent="0.3">
      <c r="A108" s="3">
        <v>763</v>
      </c>
      <c r="B108" t="s">
        <v>197</v>
      </c>
      <c r="C108" t="s">
        <v>15</v>
      </c>
      <c r="D108" s="10">
        <v>60.3</v>
      </c>
      <c r="E108" s="1">
        <v>45872</v>
      </c>
      <c r="F108" s="6" t="s">
        <v>16</v>
      </c>
      <c r="G108" s="11">
        <v>50</v>
      </c>
      <c r="H108" s="11">
        <v>3</v>
      </c>
      <c r="I108" t="str">
        <f t="shared" si="6"/>
        <v>agosto</v>
      </c>
      <c r="J108" t="str">
        <f t="shared" si="7"/>
        <v>domingo</v>
      </c>
    </row>
    <row r="109" spans="1:10" hidden="1" outlineLevel="2" x14ac:dyDescent="0.3">
      <c r="A109" s="3">
        <v>242</v>
      </c>
      <c r="B109" t="s">
        <v>72</v>
      </c>
      <c r="C109" t="s">
        <v>15</v>
      </c>
      <c r="D109" s="10">
        <v>93.9</v>
      </c>
      <c r="E109" s="1">
        <v>45894</v>
      </c>
      <c r="F109" s="6" t="s">
        <v>16</v>
      </c>
      <c r="G109" s="11">
        <v>78</v>
      </c>
      <c r="H109" s="11">
        <v>1</v>
      </c>
      <c r="I109" t="str">
        <f t="shared" si="6"/>
        <v>agosto</v>
      </c>
      <c r="J109" t="str">
        <f t="shared" si="7"/>
        <v>lunes</v>
      </c>
    </row>
    <row r="110" spans="1:10" hidden="1" outlineLevel="2" x14ac:dyDescent="0.3">
      <c r="A110" s="3">
        <v>605</v>
      </c>
      <c r="B110" t="s">
        <v>165</v>
      </c>
      <c r="C110" t="s">
        <v>15</v>
      </c>
      <c r="D110" s="10">
        <v>63.1</v>
      </c>
      <c r="E110" s="1">
        <v>45892</v>
      </c>
      <c r="F110" s="6" t="s">
        <v>16</v>
      </c>
      <c r="G110" s="11">
        <v>0</v>
      </c>
      <c r="H110" s="11">
        <v>1</v>
      </c>
      <c r="I110" t="str">
        <f t="shared" si="6"/>
        <v>agosto</v>
      </c>
      <c r="J110" t="str">
        <f t="shared" si="7"/>
        <v>sábado</v>
      </c>
    </row>
    <row r="111" spans="1:10" hidden="1" outlineLevel="2" x14ac:dyDescent="0.3">
      <c r="A111" s="3">
        <v>997</v>
      </c>
      <c r="B111" t="s">
        <v>252</v>
      </c>
      <c r="C111" t="s">
        <v>15</v>
      </c>
      <c r="D111" s="10">
        <v>88.3</v>
      </c>
      <c r="E111" s="1">
        <v>45899</v>
      </c>
      <c r="F111" s="6" t="s">
        <v>16</v>
      </c>
      <c r="G111" s="11">
        <v>12</v>
      </c>
      <c r="H111" s="11">
        <v>3</v>
      </c>
      <c r="I111" t="str">
        <f t="shared" si="6"/>
        <v>agosto</v>
      </c>
      <c r="J111" t="str">
        <f t="shared" si="7"/>
        <v>sábado</v>
      </c>
    </row>
    <row r="112" spans="1:10" hidden="1" outlineLevel="2" x14ac:dyDescent="0.3">
      <c r="A112" s="3">
        <v>9</v>
      </c>
      <c r="B112" t="s">
        <v>14</v>
      </c>
      <c r="C112" t="s">
        <v>15</v>
      </c>
      <c r="D112" s="10">
        <v>69.400000000000006</v>
      </c>
      <c r="E112" s="1">
        <v>45642</v>
      </c>
      <c r="F112" s="6" t="s">
        <v>16</v>
      </c>
      <c r="G112" s="11">
        <v>30</v>
      </c>
      <c r="H112" s="11">
        <v>1</v>
      </c>
      <c r="I112" t="str">
        <f t="shared" si="6"/>
        <v>diciembre</v>
      </c>
      <c r="J112" t="str">
        <f t="shared" si="7"/>
        <v>lunes</v>
      </c>
    </row>
    <row r="113" spans="1:10" hidden="1" outlineLevel="2" x14ac:dyDescent="0.3">
      <c r="A113" s="3">
        <v>389</v>
      </c>
      <c r="B113" t="s">
        <v>113</v>
      </c>
      <c r="C113" t="s">
        <v>15</v>
      </c>
      <c r="D113" s="10">
        <v>70.5</v>
      </c>
      <c r="E113" s="1">
        <v>45629</v>
      </c>
      <c r="F113" s="6" t="s">
        <v>16</v>
      </c>
      <c r="G113" s="11">
        <v>53</v>
      </c>
      <c r="H113" s="11">
        <v>1</v>
      </c>
      <c r="I113" t="str">
        <f t="shared" si="6"/>
        <v>diciembre</v>
      </c>
      <c r="J113" t="str">
        <f t="shared" si="7"/>
        <v>martes</v>
      </c>
    </row>
    <row r="114" spans="1:10" hidden="1" outlineLevel="2" x14ac:dyDescent="0.3">
      <c r="A114" s="3">
        <v>862</v>
      </c>
      <c r="B114" t="s">
        <v>221</v>
      </c>
      <c r="C114" t="s">
        <v>15</v>
      </c>
      <c r="D114" s="10">
        <v>88.1</v>
      </c>
      <c r="E114" s="1">
        <v>45643</v>
      </c>
      <c r="F114" s="6" t="s">
        <v>16</v>
      </c>
      <c r="G114" s="11">
        <v>45</v>
      </c>
      <c r="H114" s="11">
        <v>1</v>
      </c>
      <c r="I114" t="str">
        <f t="shared" si="6"/>
        <v>diciembre</v>
      </c>
      <c r="J114" t="str">
        <f t="shared" si="7"/>
        <v>martes</v>
      </c>
    </row>
    <row r="115" spans="1:10" hidden="1" outlineLevel="2" x14ac:dyDescent="0.3">
      <c r="A115" s="3">
        <v>891</v>
      </c>
      <c r="B115" t="s">
        <v>231</v>
      </c>
      <c r="C115" t="s">
        <v>15</v>
      </c>
      <c r="D115" s="10">
        <v>79.900000000000006</v>
      </c>
      <c r="E115" s="1">
        <v>45657</v>
      </c>
      <c r="F115" s="6" t="s">
        <v>16</v>
      </c>
      <c r="G115" s="11">
        <v>76</v>
      </c>
      <c r="H115" s="11">
        <v>3</v>
      </c>
      <c r="I115" t="str">
        <f t="shared" si="6"/>
        <v>diciembre</v>
      </c>
      <c r="J115" t="str">
        <f t="shared" si="7"/>
        <v>martes</v>
      </c>
    </row>
    <row r="116" spans="1:10" hidden="1" outlineLevel="2" x14ac:dyDescent="0.3">
      <c r="A116" s="3">
        <v>758</v>
      </c>
      <c r="B116" t="s">
        <v>196</v>
      </c>
      <c r="C116" t="s">
        <v>15</v>
      </c>
      <c r="D116" s="10">
        <v>51.5</v>
      </c>
      <c r="E116" s="1">
        <v>45673</v>
      </c>
      <c r="F116" s="6" t="s">
        <v>16</v>
      </c>
      <c r="G116" s="11">
        <v>71</v>
      </c>
      <c r="H116" s="11">
        <v>1</v>
      </c>
      <c r="I116" t="str">
        <f t="shared" si="6"/>
        <v>enero</v>
      </c>
      <c r="J116" t="str">
        <f t="shared" si="7"/>
        <v>jueves</v>
      </c>
    </row>
    <row r="117" spans="1:10" hidden="1" outlineLevel="2" x14ac:dyDescent="0.3">
      <c r="A117" s="3">
        <v>843</v>
      </c>
      <c r="B117" t="s">
        <v>214</v>
      </c>
      <c r="C117" t="s">
        <v>15</v>
      </c>
      <c r="D117" s="10">
        <v>81.599999999999994</v>
      </c>
      <c r="E117" s="1">
        <v>45673</v>
      </c>
      <c r="F117" s="6" t="s">
        <v>16</v>
      </c>
      <c r="G117" s="11">
        <v>64</v>
      </c>
      <c r="H117" s="11">
        <v>3</v>
      </c>
      <c r="I117" t="str">
        <f t="shared" si="6"/>
        <v>enero</v>
      </c>
      <c r="J117" t="str">
        <f t="shared" si="7"/>
        <v>jueves</v>
      </c>
    </row>
    <row r="118" spans="1:10" hidden="1" outlineLevel="2" x14ac:dyDescent="0.3">
      <c r="A118" s="3">
        <v>545</v>
      </c>
      <c r="B118" t="s">
        <v>155</v>
      </c>
      <c r="C118" t="s">
        <v>15</v>
      </c>
      <c r="D118" s="10">
        <v>85.3</v>
      </c>
      <c r="E118" s="1">
        <v>45685</v>
      </c>
      <c r="F118" s="6" t="s">
        <v>16</v>
      </c>
      <c r="G118" s="11">
        <v>100</v>
      </c>
      <c r="H118" s="11">
        <v>1</v>
      </c>
      <c r="I118" t="str">
        <f t="shared" si="6"/>
        <v>enero</v>
      </c>
      <c r="J118" t="str">
        <f t="shared" si="7"/>
        <v>martes</v>
      </c>
    </row>
    <row r="119" spans="1:10" hidden="1" outlineLevel="2" x14ac:dyDescent="0.3">
      <c r="A119" s="3">
        <v>35</v>
      </c>
      <c r="B119" t="s">
        <v>25</v>
      </c>
      <c r="C119" t="s">
        <v>15</v>
      </c>
      <c r="D119" s="10">
        <v>59.3</v>
      </c>
      <c r="E119" s="1">
        <v>45665</v>
      </c>
      <c r="F119" s="6" t="s">
        <v>16</v>
      </c>
      <c r="G119" s="11">
        <v>80</v>
      </c>
      <c r="H119" s="11">
        <v>2</v>
      </c>
      <c r="I119" t="str">
        <f t="shared" si="6"/>
        <v>enero</v>
      </c>
      <c r="J119" t="str">
        <f t="shared" si="7"/>
        <v>miércoles</v>
      </c>
    </row>
    <row r="120" spans="1:10" hidden="1" outlineLevel="2" x14ac:dyDescent="0.3">
      <c r="A120" s="3">
        <v>327</v>
      </c>
      <c r="B120" t="s">
        <v>100</v>
      </c>
      <c r="C120" t="s">
        <v>15</v>
      </c>
      <c r="D120" s="10">
        <v>78.8</v>
      </c>
      <c r="E120" s="1">
        <v>45679</v>
      </c>
      <c r="F120" s="6" t="s">
        <v>16</v>
      </c>
      <c r="G120" s="11">
        <v>100</v>
      </c>
      <c r="H120" s="11">
        <v>1</v>
      </c>
      <c r="I120" t="str">
        <f t="shared" si="6"/>
        <v>enero</v>
      </c>
      <c r="J120" t="str">
        <f t="shared" si="7"/>
        <v>miércoles</v>
      </c>
    </row>
    <row r="121" spans="1:10" hidden="1" outlineLevel="2" x14ac:dyDescent="0.3">
      <c r="A121" s="3">
        <v>792</v>
      </c>
      <c r="B121" t="s">
        <v>203</v>
      </c>
      <c r="C121" t="s">
        <v>15</v>
      </c>
      <c r="D121" s="10">
        <v>98.4</v>
      </c>
      <c r="E121" s="1">
        <v>45690</v>
      </c>
      <c r="F121" s="6" t="s">
        <v>16</v>
      </c>
      <c r="G121" s="11">
        <v>97</v>
      </c>
      <c r="H121" s="11">
        <v>2</v>
      </c>
      <c r="I121" t="str">
        <f t="shared" si="6"/>
        <v>febrero</v>
      </c>
      <c r="J121" t="str">
        <f t="shared" si="7"/>
        <v>domingo</v>
      </c>
    </row>
    <row r="122" spans="1:10" hidden="1" outlineLevel="2" x14ac:dyDescent="0.3">
      <c r="A122" s="3">
        <v>945</v>
      </c>
      <c r="B122" t="s">
        <v>246</v>
      </c>
      <c r="C122" t="s">
        <v>15</v>
      </c>
      <c r="D122" s="10">
        <v>76.099999999999994</v>
      </c>
      <c r="E122" s="1">
        <v>45701</v>
      </c>
      <c r="F122" s="6" t="s">
        <v>16</v>
      </c>
      <c r="G122" s="11">
        <v>61</v>
      </c>
      <c r="H122" s="11">
        <v>3</v>
      </c>
      <c r="I122" t="str">
        <f t="shared" si="6"/>
        <v>febrero</v>
      </c>
      <c r="J122" t="str">
        <f t="shared" si="7"/>
        <v>jueves</v>
      </c>
    </row>
    <row r="123" spans="1:10" hidden="1" outlineLevel="2" x14ac:dyDescent="0.3">
      <c r="A123" s="3">
        <v>493</v>
      </c>
      <c r="B123" t="s">
        <v>138</v>
      </c>
      <c r="C123" t="s">
        <v>15</v>
      </c>
      <c r="D123" s="10">
        <v>98.9</v>
      </c>
      <c r="E123" s="1">
        <v>45705</v>
      </c>
      <c r="F123" s="6" t="s">
        <v>16</v>
      </c>
      <c r="G123" s="11">
        <v>40</v>
      </c>
      <c r="H123" s="11">
        <v>2</v>
      </c>
      <c r="I123" t="str">
        <f t="shared" si="6"/>
        <v>febrero</v>
      </c>
      <c r="J123" t="str">
        <f t="shared" si="7"/>
        <v>lunes</v>
      </c>
    </row>
    <row r="124" spans="1:10" hidden="1" outlineLevel="2" x14ac:dyDescent="0.3">
      <c r="A124" s="3">
        <v>373</v>
      </c>
      <c r="B124" t="s">
        <v>109</v>
      </c>
      <c r="C124" t="s">
        <v>15</v>
      </c>
      <c r="D124" s="10">
        <v>62.8</v>
      </c>
      <c r="E124" s="1">
        <v>45696</v>
      </c>
      <c r="F124" s="6" t="s">
        <v>16</v>
      </c>
      <c r="G124" s="11">
        <v>0</v>
      </c>
      <c r="H124" s="11">
        <v>1</v>
      </c>
      <c r="I124" t="str">
        <f t="shared" si="6"/>
        <v>febrero</v>
      </c>
      <c r="J124" t="str">
        <f t="shared" si="7"/>
        <v>sábado</v>
      </c>
    </row>
    <row r="125" spans="1:10" hidden="1" outlineLevel="2" x14ac:dyDescent="0.3">
      <c r="A125" s="3">
        <v>435</v>
      </c>
      <c r="B125" t="s">
        <v>125</v>
      </c>
      <c r="C125" t="s">
        <v>15</v>
      </c>
      <c r="D125" s="10">
        <v>74.099999999999994</v>
      </c>
      <c r="E125" s="1">
        <v>45716</v>
      </c>
      <c r="F125" s="6" t="s">
        <v>16</v>
      </c>
      <c r="G125" s="11">
        <v>90</v>
      </c>
      <c r="H125" s="11">
        <v>2</v>
      </c>
      <c r="I125" t="str">
        <f t="shared" si="6"/>
        <v>febrero</v>
      </c>
      <c r="J125" t="str">
        <f t="shared" si="7"/>
        <v>viernes</v>
      </c>
    </row>
    <row r="126" spans="1:10" hidden="1" outlineLevel="2" x14ac:dyDescent="0.3">
      <c r="A126" s="3">
        <v>63</v>
      </c>
      <c r="B126" t="s">
        <v>32</v>
      </c>
      <c r="C126" t="s">
        <v>15</v>
      </c>
      <c r="D126" s="10">
        <v>78.900000000000006</v>
      </c>
      <c r="E126" s="1">
        <v>45849</v>
      </c>
      <c r="F126" s="6" t="s">
        <v>16</v>
      </c>
      <c r="G126" s="11">
        <v>38</v>
      </c>
      <c r="H126" s="11">
        <v>3</v>
      </c>
      <c r="I126" t="str">
        <f t="shared" si="6"/>
        <v>julio</v>
      </c>
      <c r="J126" t="str">
        <f t="shared" si="7"/>
        <v>viernes</v>
      </c>
    </row>
    <row r="127" spans="1:10" hidden="1" outlineLevel="2" x14ac:dyDescent="0.3">
      <c r="A127" s="3">
        <v>675</v>
      </c>
      <c r="B127" t="s">
        <v>180</v>
      </c>
      <c r="C127" t="s">
        <v>15</v>
      </c>
      <c r="D127" s="10">
        <v>61.1</v>
      </c>
      <c r="E127" s="1">
        <v>45863</v>
      </c>
      <c r="F127" s="6" t="s">
        <v>16</v>
      </c>
      <c r="G127" s="11">
        <v>96</v>
      </c>
      <c r="H127" s="11">
        <v>1</v>
      </c>
      <c r="I127" t="str">
        <f t="shared" si="6"/>
        <v>julio</v>
      </c>
      <c r="J127" t="str">
        <f t="shared" si="7"/>
        <v>viernes</v>
      </c>
    </row>
    <row r="128" spans="1:10" hidden="1" outlineLevel="2" x14ac:dyDescent="0.3">
      <c r="A128" s="3">
        <v>768</v>
      </c>
      <c r="B128" t="s">
        <v>198</v>
      </c>
      <c r="C128" t="s">
        <v>15</v>
      </c>
      <c r="D128" s="10">
        <v>62.2</v>
      </c>
      <c r="E128" s="1">
        <v>45849</v>
      </c>
      <c r="F128" s="6" t="s">
        <v>16</v>
      </c>
      <c r="G128" s="11">
        <v>62</v>
      </c>
      <c r="H128" s="11">
        <v>1</v>
      </c>
      <c r="I128" t="str">
        <f t="shared" si="6"/>
        <v>julio</v>
      </c>
      <c r="J128" t="str">
        <f t="shared" si="7"/>
        <v>viernes</v>
      </c>
    </row>
    <row r="129" spans="1:10" hidden="1" outlineLevel="2" x14ac:dyDescent="0.3">
      <c r="A129" s="3">
        <v>826</v>
      </c>
      <c r="B129" t="s">
        <v>212</v>
      </c>
      <c r="C129" t="s">
        <v>15</v>
      </c>
      <c r="D129" s="10">
        <v>94.4</v>
      </c>
      <c r="E129" s="1">
        <v>45842</v>
      </c>
      <c r="F129" s="6" t="s">
        <v>16</v>
      </c>
      <c r="G129" s="11">
        <v>32</v>
      </c>
      <c r="H129" s="11">
        <v>2</v>
      </c>
      <c r="I129" t="str">
        <f t="shared" si="6"/>
        <v>julio</v>
      </c>
      <c r="J129" t="str">
        <f t="shared" si="7"/>
        <v>viernes</v>
      </c>
    </row>
    <row r="130" spans="1:10" hidden="1" outlineLevel="2" x14ac:dyDescent="0.3">
      <c r="A130" s="3">
        <v>667</v>
      </c>
      <c r="B130" t="s">
        <v>178</v>
      </c>
      <c r="C130" t="s">
        <v>15</v>
      </c>
      <c r="D130" s="10">
        <v>56</v>
      </c>
      <c r="E130" s="1">
        <v>45824</v>
      </c>
      <c r="F130" s="6" t="s">
        <v>16</v>
      </c>
      <c r="G130" s="11">
        <v>68</v>
      </c>
      <c r="H130" s="11">
        <v>2</v>
      </c>
      <c r="I130" t="str">
        <f t="shared" si="6"/>
        <v>junio</v>
      </c>
      <c r="J130" t="str">
        <f t="shared" si="7"/>
        <v>lunes</v>
      </c>
    </row>
    <row r="131" spans="1:10" hidden="1" outlineLevel="2" x14ac:dyDescent="0.3">
      <c r="A131" s="3">
        <v>492</v>
      </c>
      <c r="B131" t="s">
        <v>137</v>
      </c>
      <c r="C131" t="s">
        <v>15</v>
      </c>
      <c r="D131" s="10">
        <v>52.8</v>
      </c>
      <c r="E131" s="1">
        <v>45732</v>
      </c>
      <c r="F131" s="6" t="s">
        <v>16</v>
      </c>
      <c r="G131" s="11">
        <v>81</v>
      </c>
      <c r="H131" s="11">
        <v>2</v>
      </c>
      <c r="I131" t="str">
        <f t="shared" si="6"/>
        <v>marzo</v>
      </c>
      <c r="J131" t="str">
        <f t="shared" si="7"/>
        <v>domingo</v>
      </c>
    </row>
    <row r="132" spans="1:10" hidden="1" outlineLevel="2" x14ac:dyDescent="0.3">
      <c r="A132" s="3">
        <v>458</v>
      </c>
      <c r="B132" t="s">
        <v>131</v>
      </c>
      <c r="C132" t="s">
        <v>15</v>
      </c>
      <c r="D132" s="10">
        <v>57.4</v>
      </c>
      <c r="E132" s="1">
        <v>45743</v>
      </c>
      <c r="F132" s="6" t="s">
        <v>16</v>
      </c>
      <c r="G132" s="11">
        <v>91</v>
      </c>
      <c r="H132" s="11">
        <v>1</v>
      </c>
      <c r="I132" t="str">
        <f t="shared" si="6"/>
        <v>marzo</v>
      </c>
      <c r="J132" t="str">
        <f t="shared" si="7"/>
        <v>jueves</v>
      </c>
    </row>
    <row r="133" spans="1:10" hidden="1" outlineLevel="2" x14ac:dyDescent="0.3">
      <c r="A133" s="3">
        <v>287</v>
      </c>
      <c r="B133" t="s">
        <v>85</v>
      </c>
      <c r="C133" t="s">
        <v>15</v>
      </c>
      <c r="D133" s="10">
        <v>62</v>
      </c>
      <c r="E133" s="1">
        <v>45744</v>
      </c>
      <c r="F133" s="6" t="s">
        <v>16</v>
      </c>
      <c r="G133" s="11">
        <v>100</v>
      </c>
      <c r="H133" s="11">
        <v>1</v>
      </c>
      <c r="I133" t="str">
        <f t="shared" si="6"/>
        <v>marzo</v>
      </c>
      <c r="J133" t="str">
        <f t="shared" si="7"/>
        <v>viernes</v>
      </c>
    </row>
    <row r="134" spans="1:10" hidden="1" outlineLevel="2" x14ac:dyDescent="0.3">
      <c r="A134" s="3">
        <v>550</v>
      </c>
      <c r="B134" t="s">
        <v>157</v>
      </c>
      <c r="C134" t="s">
        <v>15</v>
      </c>
      <c r="D134" s="10">
        <v>68.099999999999994</v>
      </c>
      <c r="E134" s="1">
        <v>45744</v>
      </c>
      <c r="F134" s="6" t="s">
        <v>16</v>
      </c>
      <c r="G134" s="11">
        <v>100</v>
      </c>
      <c r="H134" s="11">
        <v>1</v>
      </c>
      <c r="I134" t="str">
        <f t="shared" si="6"/>
        <v>marzo</v>
      </c>
      <c r="J134" t="str">
        <f t="shared" si="7"/>
        <v>viernes</v>
      </c>
    </row>
    <row r="135" spans="1:10" hidden="1" outlineLevel="2" x14ac:dyDescent="0.3">
      <c r="A135" s="3">
        <v>509</v>
      </c>
      <c r="B135" t="s">
        <v>142</v>
      </c>
      <c r="C135" t="s">
        <v>15</v>
      </c>
      <c r="D135" s="10">
        <v>73.900000000000006</v>
      </c>
      <c r="E135" s="1">
        <v>45788</v>
      </c>
      <c r="F135" s="6" t="s">
        <v>16</v>
      </c>
      <c r="G135" s="11">
        <v>22</v>
      </c>
      <c r="H135" s="11">
        <v>3</v>
      </c>
      <c r="I135" t="str">
        <f t="shared" si="6"/>
        <v>mayo</v>
      </c>
      <c r="J135" t="str">
        <f t="shared" si="7"/>
        <v>domingo</v>
      </c>
    </row>
    <row r="136" spans="1:10" hidden="1" outlineLevel="2" x14ac:dyDescent="0.3">
      <c r="A136" s="3">
        <v>309</v>
      </c>
      <c r="B136" t="s">
        <v>93</v>
      </c>
      <c r="C136" t="s">
        <v>15</v>
      </c>
      <c r="D136" s="10">
        <v>75</v>
      </c>
      <c r="E136" s="1">
        <v>45785</v>
      </c>
      <c r="F136" s="6" t="s">
        <v>16</v>
      </c>
      <c r="G136" s="11">
        <v>63</v>
      </c>
      <c r="H136" s="11">
        <v>3</v>
      </c>
      <c r="I136" t="str">
        <f t="shared" si="6"/>
        <v>mayo</v>
      </c>
      <c r="J136" t="str">
        <f t="shared" si="7"/>
        <v>jueves</v>
      </c>
    </row>
    <row r="137" spans="1:10" hidden="1" outlineLevel="2" x14ac:dyDescent="0.3">
      <c r="A137" s="3">
        <v>618</v>
      </c>
      <c r="B137" t="s">
        <v>167</v>
      </c>
      <c r="C137" t="s">
        <v>15</v>
      </c>
      <c r="D137" s="10">
        <v>66.400000000000006</v>
      </c>
      <c r="E137" s="1">
        <v>45806</v>
      </c>
      <c r="F137" s="6" t="s">
        <v>16</v>
      </c>
      <c r="G137" s="11">
        <v>68</v>
      </c>
      <c r="H137" s="11">
        <v>1</v>
      </c>
      <c r="I137" t="str">
        <f t="shared" si="6"/>
        <v>mayo</v>
      </c>
      <c r="J137" t="str">
        <f t="shared" si="7"/>
        <v>jueves</v>
      </c>
    </row>
    <row r="138" spans="1:10" hidden="1" outlineLevel="2" x14ac:dyDescent="0.3">
      <c r="A138" s="3">
        <v>673</v>
      </c>
      <c r="B138" t="s">
        <v>179</v>
      </c>
      <c r="C138" t="s">
        <v>15</v>
      </c>
      <c r="D138" s="10">
        <v>97.2</v>
      </c>
      <c r="E138" s="1">
        <v>45977</v>
      </c>
      <c r="F138" s="6" t="s">
        <v>16</v>
      </c>
      <c r="G138" s="11">
        <v>88</v>
      </c>
      <c r="H138" s="11">
        <v>1</v>
      </c>
      <c r="I138" t="str">
        <f t="shared" si="6"/>
        <v>noviembre</v>
      </c>
      <c r="J138" t="str">
        <f t="shared" si="7"/>
        <v>domingo</v>
      </c>
    </row>
    <row r="139" spans="1:10" hidden="1" outlineLevel="2" x14ac:dyDescent="0.3">
      <c r="A139" s="3">
        <v>894</v>
      </c>
      <c r="B139" t="s">
        <v>232</v>
      </c>
      <c r="C139" t="s">
        <v>15</v>
      </c>
      <c r="D139" s="10">
        <v>76.5</v>
      </c>
      <c r="E139" s="1">
        <v>45966</v>
      </c>
      <c r="F139" s="6" t="s">
        <v>16</v>
      </c>
      <c r="G139" s="11">
        <v>97</v>
      </c>
      <c r="H139" s="11">
        <v>2</v>
      </c>
      <c r="I139" t="str">
        <f t="shared" si="6"/>
        <v>noviembre</v>
      </c>
      <c r="J139" t="str">
        <f t="shared" si="7"/>
        <v>miércoles</v>
      </c>
    </row>
    <row r="140" spans="1:10" hidden="1" outlineLevel="2" x14ac:dyDescent="0.3">
      <c r="A140" s="3">
        <v>121</v>
      </c>
      <c r="B140" t="s">
        <v>46</v>
      </c>
      <c r="C140" t="s">
        <v>15</v>
      </c>
      <c r="D140" s="10">
        <v>97.9</v>
      </c>
      <c r="E140" s="1">
        <v>45939</v>
      </c>
      <c r="F140" s="6" t="s">
        <v>16</v>
      </c>
      <c r="G140" s="11">
        <v>24</v>
      </c>
      <c r="H140" s="11">
        <v>3</v>
      </c>
      <c r="I140" t="str">
        <f t="shared" si="6"/>
        <v>octubre</v>
      </c>
      <c r="J140" t="str">
        <f t="shared" si="7"/>
        <v>jueves</v>
      </c>
    </row>
    <row r="141" spans="1:10" hidden="1" outlineLevel="2" x14ac:dyDescent="0.3">
      <c r="A141" s="3">
        <v>87</v>
      </c>
      <c r="B141" t="s">
        <v>37</v>
      </c>
      <c r="C141" t="s">
        <v>15</v>
      </c>
      <c r="D141" s="10">
        <v>60.6</v>
      </c>
      <c r="E141" s="1">
        <v>45936</v>
      </c>
      <c r="F141" s="6" t="s">
        <v>16</v>
      </c>
      <c r="G141" s="11">
        <v>80</v>
      </c>
      <c r="H141" s="11">
        <v>2</v>
      </c>
      <c r="I141" t="str">
        <f t="shared" si="6"/>
        <v>octubre</v>
      </c>
      <c r="J141" t="str">
        <f t="shared" si="7"/>
        <v>lunes</v>
      </c>
    </row>
    <row r="142" spans="1:10" hidden="1" outlineLevel="2" x14ac:dyDescent="0.3">
      <c r="A142" s="3">
        <v>538</v>
      </c>
      <c r="B142" t="s">
        <v>153</v>
      </c>
      <c r="C142" t="s">
        <v>15</v>
      </c>
      <c r="D142" s="10">
        <v>56.3</v>
      </c>
      <c r="E142" s="1">
        <v>45952</v>
      </c>
      <c r="F142" s="6" t="s">
        <v>16</v>
      </c>
      <c r="G142" s="11">
        <v>55</v>
      </c>
      <c r="H142" s="11">
        <v>3</v>
      </c>
      <c r="I142" t="str">
        <f t="shared" si="6"/>
        <v>octubre</v>
      </c>
      <c r="J142" t="str">
        <f t="shared" si="7"/>
        <v>miércoles</v>
      </c>
    </row>
    <row r="143" spans="1:10" hidden="1" outlineLevel="2" x14ac:dyDescent="0.3">
      <c r="A143" s="3">
        <v>592</v>
      </c>
      <c r="B143" t="s">
        <v>163</v>
      </c>
      <c r="C143" t="s">
        <v>15</v>
      </c>
      <c r="D143" s="10">
        <v>89</v>
      </c>
      <c r="E143" s="1">
        <v>45934</v>
      </c>
      <c r="F143" s="6" t="s">
        <v>16</v>
      </c>
      <c r="G143" s="11">
        <v>50</v>
      </c>
      <c r="H143" s="11">
        <v>2</v>
      </c>
      <c r="I143" t="str">
        <f t="shared" si="6"/>
        <v>octubre</v>
      </c>
      <c r="J143" t="str">
        <f t="shared" si="7"/>
        <v>sábado</v>
      </c>
    </row>
    <row r="144" spans="1:10" hidden="1" outlineLevel="2" x14ac:dyDescent="0.3">
      <c r="A144" s="3">
        <v>222</v>
      </c>
      <c r="B144" t="s">
        <v>68</v>
      </c>
      <c r="C144" t="s">
        <v>15</v>
      </c>
      <c r="D144" s="10">
        <v>85.7</v>
      </c>
      <c r="E144" s="1">
        <v>45947</v>
      </c>
      <c r="F144" s="6" t="s">
        <v>16</v>
      </c>
      <c r="G144" s="11">
        <v>58</v>
      </c>
      <c r="H144" s="11">
        <v>3</v>
      </c>
      <c r="I144" t="str">
        <f t="shared" si="6"/>
        <v>octubre</v>
      </c>
      <c r="J144" t="str">
        <f t="shared" si="7"/>
        <v>viernes</v>
      </c>
    </row>
    <row r="145" spans="1:10" hidden="1" outlineLevel="2" x14ac:dyDescent="0.3">
      <c r="A145" s="3">
        <v>36</v>
      </c>
      <c r="B145" t="s">
        <v>26</v>
      </c>
      <c r="C145" t="s">
        <v>15</v>
      </c>
      <c r="D145" s="10">
        <v>66.3</v>
      </c>
      <c r="E145" s="1">
        <v>45908</v>
      </c>
      <c r="F145" s="6" t="s">
        <v>16</v>
      </c>
      <c r="G145" s="11">
        <v>98</v>
      </c>
      <c r="H145" s="11">
        <v>1</v>
      </c>
      <c r="I145" t="str">
        <f t="shared" si="6"/>
        <v>septiembre</v>
      </c>
      <c r="J145" t="str">
        <f t="shared" si="7"/>
        <v>lunes</v>
      </c>
    </row>
    <row r="146" spans="1:10" hidden="1" outlineLevel="2" x14ac:dyDescent="0.3">
      <c r="A146" s="3">
        <v>705</v>
      </c>
      <c r="B146" t="s">
        <v>185</v>
      </c>
      <c r="C146" t="s">
        <v>15</v>
      </c>
      <c r="D146" s="10">
        <v>97.5</v>
      </c>
      <c r="E146" s="1">
        <v>45903</v>
      </c>
      <c r="F146" s="6" t="s">
        <v>16</v>
      </c>
      <c r="G146" s="11">
        <v>60</v>
      </c>
      <c r="H146" s="11">
        <v>3</v>
      </c>
      <c r="I146" t="str">
        <f t="shared" si="6"/>
        <v>septiembre</v>
      </c>
      <c r="J146" t="str">
        <f t="shared" si="7"/>
        <v>miércoles</v>
      </c>
    </row>
    <row r="147" spans="1:10" hidden="1" outlineLevel="2" x14ac:dyDescent="0.3">
      <c r="A147" s="3">
        <v>261</v>
      </c>
      <c r="B147" t="s">
        <v>80</v>
      </c>
      <c r="C147" t="s">
        <v>15</v>
      </c>
      <c r="D147" s="10">
        <v>66.599999999999994</v>
      </c>
      <c r="E147" s="1">
        <v>45905</v>
      </c>
      <c r="F147" s="6" t="s">
        <v>16</v>
      </c>
      <c r="G147" s="11">
        <v>79</v>
      </c>
      <c r="H147" s="11">
        <v>1</v>
      </c>
      <c r="I147" t="str">
        <f t="shared" si="6"/>
        <v>septiembre</v>
      </c>
      <c r="J147" t="str">
        <f t="shared" si="7"/>
        <v>viernes</v>
      </c>
    </row>
    <row r="148" spans="1:10" hidden="1" outlineLevel="2" x14ac:dyDescent="0.3">
      <c r="A148" s="3">
        <v>877</v>
      </c>
      <c r="B148" t="s">
        <v>224</v>
      </c>
      <c r="C148" t="s">
        <v>15</v>
      </c>
      <c r="D148" s="10">
        <v>54.6</v>
      </c>
      <c r="E148" s="1">
        <v>45912</v>
      </c>
      <c r="F148" s="6" t="s">
        <v>16</v>
      </c>
      <c r="G148" s="11">
        <v>48</v>
      </c>
      <c r="H148" s="11">
        <v>2</v>
      </c>
      <c r="I148" t="str">
        <f t="shared" si="6"/>
        <v>septiembre</v>
      </c>
      <c r="J148" t="str">
        <f t="shared" si="7"/>
        <v>viernes</v>
      </c>
    </row>
    <row r="149" spans="1:10" outlineLevel="1" collapsed="1" x14ac:dyDescent="0.3">
      <c r="A149" s="3"/>
      <c r="C149" s="13" t="s">
        <v>271</v>
      </c>
      <c r="D149" s="10">
        <f>SUBTOTAL(1,D104:D148)</f>
        <v>73.757777777777775</v>
      </c>
    </row>
    <row r="150" spans="1:10" hidden="1" outlineLevel="2" x14ac:dyDescent="0.3">
      <c r="A150" s="3">
        <v>179</v>
      </c>
      <c r="B150" t="s">
        <v>62</v>
      </c>
      <c r="C150" t="s">
        <v>9</v>
      </c>
      <c r="D150" s="10">
        <v>63.4</v>
      </c>
      <c r="E150" s="1">
        <v>45888</v>
      </c>
      <c r="F150" s="6" t="s">
        <v>22</v>
      </c>
      <c r="G150" s="11">
        <v>35</v>
      </c>
      <c r="H150" s="11">
        <v>1</v>
      </c>
      <c r="I150" t="str">
        <f t="shared" ref="I150:I196" si="8">TEXT(E150,"MMMM")</f>
        <v>agosto</v>
      </c>
      <c r="J150" t="str">
        <f t="shared" ref="J150:J196" si="9">TEXT(E150,"DDDD")</f>
        <v>martes</v>
      </c>
    </row>
    <row r="151" spans="1:10" hidden="1" outlineLevel="2" x14ac:dyDescent="0.3">
      <c r="A151" s="3">
        <v>244</v>
      </c>
      <c r="B151" t="s">
        <v>74</v>
      </c>
      <c r="C151" t="s">
        <v>9</v>
      </c>
      <c r="D151" s="10">
        <v>95.4</v>
      </c>
      <c r="E151" s="1">
        <v>45889</v>
      </c>
      <c r="F151" s="6" t="s">
        <v>22</v>
      </c>
      <c r="G151" s="11">
        <v>61</v>
      </c>
      <c r="H151" s="11">
        <v>2</v>
      </c>
      <c r="I151" t="str">
        <f t="shared" si="8"/>
        <v>agosto</v>
      </c>
      <c r="J151" t="str">
        <f t="shared" si="9"/>
        <v>miércoles</v>
      </c>
    </row>
    <row r="152" spans="1:10" hidden="1" outlineLevel="2" x14ac:dyDescent="0.3">
      <c r="A152" s="3">
        <v>145</v>
      </c>
      <c r="B152" t="s">
        <v>52</v>
      </c>
      <c r="C152" t="s">
        <v>9</v>
      </c>
      <c r="D152" s="10">
        <v>87.3</v>
      </c>
      <c r="E152" s="1">
        <v>45878</v>
      </c>
      <c r="F152" s="6" t="s">
        <v>22</v>
      </c>
      <c r="G152" s="11">
        <v>95</v>
      </c>
      <c r="H152" s="11">
        <v>2</v>
      </c>
      <c r="I152" t="str">
        <f t="shared" si="8"/>
        <v>agosto</v>
      </c>
      <c r="J152" t="str">
        <f t="shared" si="9"/>
        <v>sábado</v>
      </c>
    </row>
    <row r="153" spans="1:10" hidden="1" outlineLevel="2" x14ac:dyDescent="0.3">
      <c r="A153" s="3">
        <v>890</v>
      </c>
      <c r="B153" t="s">
        <v>230</v>
      </c>
      <c r="C153" t="s">
        <v>9</v>
      </c>
      <c r="D153" s="10">
        <v>81.7</v>
      </c>
      <c r="E153" s="1">
        <v>45870</v>
      </c>
      <c r="F153" s="6" t="s">
        <v>22</v>
      </c>
      <c r="G153" s="11">
        <v>97</v>
      </c>
      <c r="H153" s="11">
        <v>2</v>
      </c>
      <c r="I153" t="str">
        <f t="shared" si="8"/>
        <v>agosto</v>
      </c>
      <c r="J153" t="str">
        <f t="shared" si="9"/>
        <v>viernes</v>
      </c>
    </row>
    <row r="154" spans="1:10" hidden="1" outlineLevel="2" x14ac:dyDescent="0.3">
      <c r="A154" s="3">
        <v>734</v>
      </c>
      <c r="B154" t="s">
        <v>192</v>
      </c>
      <c r="C154" t="s">
        <v>9</v>
      </c>
      <c r="D154" s="10">
        <v>71.2</v>
      </c>
      <c r="E154" s="1">
        <v>45655</v>
      </c>
      <c r="F154" s="6" t="s">
        <v>22</v>
      </c>
      <c r="G154" s="11">
        <v>34</v>
      </c>
      <c r="H154" s="11">
        <v>2</v>
      </c>
      <c r="I154" t="str">
        <f t="shared" si="8"/>
        <v>diciembre</v>
      </c>
      <c r="J154" t="str">
        <f t="shared" si="9"/>
        <v>domingo</v>
      </c>
    </row>
    <row r="155" spans="1:10" hidden="1" outlineLevel="2" x14ac:dyDescent="0.3">
      <c r="A155" s="3">
        <v>268</v>
      </c>
      <c r="B155" t="s">
        <v>81</v>
      </c>
      <c r="C155" t="s">
        <v>9</v>
      </c>
      <c r="D155" s="10">
        <v>68.599999999999994</v>
      </c>
      <c r="E155" s="1">
        <v>45628</v>
      </c>
      <c r="F155" s="6" t="s">
        <v>22</v>
      </c>
      <c r="G155" s="11">
        <v>54</v>
      </c>
      <c r="H155" s="11">
        <v>2</v>
      </c>
      <c r="I155" t="str">
        <f t="shared" si="8"/>
        <v>diciembre</v>
      </c>
      <c r="J155" t="str">
        <f t="shared" si="9"/>
        <v>lunes</v>
      </c>
    </row>
    <row r="156" spans="1:10" hidden="1" outlineLevel="2" x14ac:dyDescent="0.3">
      <c r="A156" s="3">
        <v>62</v>
      </c>
      <c r="B156" t="s">
        <v>31</v>
      </c>
      <c r="C156" t="s">
        <v>9</v>
      </c>
      <c r="D156" s="10">
        <v>81.3</v>
      </c>
      <c r="E156" s="1">
        <v>45647</v>
      </c>
      <c r="F156" s="6" t="s">
        <v>22</v>
      </c>
      <c r="G156" s="11">
        <v>26</v>
      </c>
      <c r="H156" s="11">
        <v>2</v>
      </c>
      <c r="I156" t="str">
        <f t="shared" si="8"/>
        <v>diciembre</v>
      </c>
      <c r="J156" t="str">
        <f t="shared" si="9"/>
        <v>sábado</v>
      </c>
    </row>
    <row r="157" spans="1:10" hidden="1" outlineLevel="2" x14ac:dyDescent="0.3">
      <c r="A157" s="3">
        <v>106</v>
      </c>
      <c r="B157" t="s">
        <v>42</v>
      </c>
      <c r="C157" t="s">
        <v>9</v>
      </c>
      <c r="D157" s="10">
        <v>53.3</v>
      </c>
      <c r="E157" s="1">
        <v>45646</v>
      </c>
      <c r="F157" s="6" t="s">
        <v>22</v>
      </c>
      <c r="G157" s="11">
        <v>65</v>
      </c>
      <c r="H157" s="11">
        <v>1</v>
      </c>
      <c r="I157" t="str">
        <f t="shared" si="8"/>
        <v>diciembre</v>
      </c>
      <c r="J157" t="str">
        <f t="shared" si="9"/>
        <v>viernes</v>
      </c>
    </row>
    <row r="158" spans="1:10" hidden="1" outlineLevel="2" x14ac:dyDescent="0.3">
      <c r="A158" s="3">
        <v>522</v>
      </c>
      <c r="B158" t="s">
        <v>147</v>
      </c>
      <c r="C158" t="s">
        <v>9</v>
      </c>
      <c r="D158" s="10">
        <v>75.400000000000006</v>
      </c>
      <c r="E158" s="1">
        <v>45646</v>
      </c>
      <c r="F158" s="6" t="s">
        <v>22</v>
      </c>
      <c r="G158" s="11">
        <v>67</v>
      </c>
      <c r="H158" s="11">
        <v>1</v>
      </c>
      <c r="I158" t="str">
        <f t="shared" si="8"/>
        <v>diciembre</v>
      </c>
      <c r="J158" t="str">
        <f t="shared" si="9"/>
        <v>viernes</v>
      </c>
    </row>
    <row r="159" spans="1:10" hidden="1" outlineLevel="2" x14ac:dyDescent="0.3">
      <c r="A159" s="3">
        <v>847</v>
      </c>
      <c r="B159" t="s">
        <v>215</v>
      </c>
      <c r="C159" t="s">
        <v>9</v>
      </c>
      <c r="D159" s="10">
        <v>59.3</v>
      </c>
      <c r="E159" s="1">
        <v>45662</v>
      </c>
      <c r="F159" s="6" t="s">
        <v>22</v>
      </c>
      <c r="G159" s="11">
        <v>3</v>
      </c>
      <c r="H159" s="11">
        <v>3</v>
      </c>
      <c r="I159" t="str">
        <f t="shared" si="8"/>
        <v>enero</v>
      </c>
      <c r="J159" t="str">
        <f t="shared" si="9"/>
        <v>domingo</v>
      </c>
    </row>
    <row r="160" spans="1:10" hidden="1" outlineLevel="2" x14ac:dyDescent="0.3">
      <c r="A160" s="3">
        <v>446</v>
      </c>
      <c r="B160" t="s">
        <v>130</v>
      </c>
      <c r="C160" t="s">
        <v>9</v>
      </c>
      <c r="D160" s="10">
        <v>64.599999999999994</v>
      </c>
      <c r="E160" s="1">
        <v>45672</v>
      </c>
      <c r="F160" s="6" t="s">
        <v>10</v>
      </c>
      <c r="G160" s="11">
        <v>90</v>
      </c>
      <c r="H160" s="11">
        <v>2</v>
      </c>
      <c r="I160" t="str">
        <f t="shared" si="8"/>
        <v>enero</v>
      </c>
      <c r="J160" t="str">
        <f t="shared" si="9"/>
        <v>miércoles</v>
      </c>
    </row>
    <row r="161" spans="1:10" hidden="1" outlineLevel="2" x14ac:dyDescent="0.3">
      <c r="A161" s="3">
        <v>569</v>
      </c>
      <c r="B161" t="s">
        <v>161</v>
      </c>
      <c r="C161" t="s">
        <v>9</v>
      </c>
      <c r="D161" s="10">
        <v>89.1</v>
      </c>
      <c r="E161" s="1">
        <v>45665</v>
      </c>
      <c r="F161" s="6" t="s">
        <v>22</v>
      </c>
      <c r="G161" s="11">
        <v>99</v>
      </c>
      <c r="H161" s="11">
        <v>1</v>
      </c>
      <c r="I161" t="str">
        <f t="shared" si="8"/>
        <v>enero</v>
      </c>
      <c r="J161" t="str">
        <f t="shared" si="9"/>
        <v>miércoles</v>
      </c>
    </row>
    <row r="162" spans="1:10" hidden="1" outlineLevel="2" x14ac:dyDescent="0.3">
      <c r="A162" s="3">
        <v>242</v>
      </c>
      <c r="B162" t="s">
        <v>72</v>
      </c>
      <c r="C162" t="s">
        <v>9</v>
      </c>
      <c r="D162" s="10">
        <v>94.7</v>
      </c>
      <c r="E162" s="1">
        <v>45681</v>
      </c>
      <c r="F162" s="6" t="s">
        <v>22</v>
      </c>
      <c r="G162" s="11">
        <v>58</v>
      </c>
      <c r="H162" s="11">
        <v>3</v>
      </c>
      <c r="I162" t="str">
        <f t="shared" si="8"/>
        <v>enero</v>
      </c>
      <c r="J162" t="str">
        <f t="shared" si="9"/>
        <v>viernes</v>
      </c>
    </row>
    <row r="163" spans="1:10" hidden="1" outlineLevel="2" x14ac:dyDescent="0.3">
      <c r="A163" s="3">
        <v>728</v>
      </c>
      <c r="B163" t="s">
        <v>189</v>
      </c>
      <c r="C163" t="s">
        <v>9</v>
      </c>
      <c r="D163" s="10">
        <v>96.8</v>
      </c>
      <c r="E163" s="1">
        <v>45660</v>
      </c>
      <c r="F163" s="6" t="s">
        <v>22</v>
      </c>
      <c r="G163" s="11">
        <v>76</v>
      </c>
      <c r="H163" s="11">
        <v>3</v>
      </c>
      <c r="I163" t="str">
        <f t="shared" si="8"/>
        <v>enero</v>
      </c>
      <c r="J163" t="str">
        <f t="shared" si="9"/>
        <v>viernes</v>
      </c>
    </row>
    <row r="164" spans="1:10" hidden="1" outlineLevel="2" x14ac:dyDescent="0.3">
      <c r="A164" s="3">
        <v>253</v>
      </c>
      <c r="B164" t="s">
        <v>76</v>
      </c>
      <c r="C164" t="s">
        <v>9</v>
      </c>
      <c r="D164" s="10">
        <v>62.3</v>
      </c>
      <c r="E164" s="1">
        <v>45692</v>
      </c>
      <c r="F164" s="6" t="s">
        <v>22</v>
      </c>
      <c r="G164" s="11">
        <v>35</v>
      </c>
      <c r="H164" s="11">
        <v>2</v>
      </c>
      <c r="I164" t="str">
        <f t="shared" si="8"/>
        <v>febrero</v>
      </c>
      <c r="J164" t="str">
        <f t="shared" si="9"/>
        <v>martes</v>
      </c>
    </row>
    <row r="165" spans="1:10" hidden="1" outlineLevel="2" x14ac:dyDescent="0.3">
      <c r="A165" s="3">
        <v>613</v>
      </c>
      <c r="B165" t="s">
        <v>166</v>
      </c>
      <c r="C165" t="s">
        <v>9</v>
      </c>
      <c r="D165" s="10">
        <v>63</v>
      </c>
      <c r="E165" s="1">
        <v>45841</v>
      </c>
      <c r="F165" s="6" t="s">
        <v>22</v>
      </c>
      <c r="G165" s="11">
        <v>81</v>
      </c>
      <c r="H165" s="11">
        <v>2</v>
      </c>
      <c r="I165" t="str">
        <f t="shared" si="8"/>
        <v>julio</v>
      </c>
      <c r="J165" t="str">
        <f t="shared" si="9"/>
        <v>jueves</v>
      </c>
    </row>
    <row r="166" spans="1:10" hidden="1" outlineLevel="2" x14ac:dyDescent="0.3">
      <c r="A166" s="3">
        <v>113</v>
      </c>
      <c r="B166" t="s">
        <v>43</v>
      </c>
      <c r="C166" t="s">
        <v>9</v>
      </c>
      <c r="D166" s="10">
        <v>79.5</v>
      </c>
      <c r="E166" s="1">
        <v>45846</v>
      </c>
      <c r="F166" s="6" t="s">
        <v>22</v>
      </c>
      <c r="G166" s="11">
        <v>78</v>
      </c>
      <c r="H166" s="11">
        <v>3</v>
      </c>
      <c r="I166" t="str">
        <f t="shared" si="8"/>
        <v>julio</v>
      </c>
      <c r="J166" t="str">
        <f t="shared" si="9"/>
        <v>martes</v>
      </c>
    </row>
    <row r="167" spans="1:10" hidden="1" outlineLevel="2" x14ac:dyDescent="0.3">
      <c r="A167" s="3">
        <v>295</v>
      </c>
      <c r="B167" t="s">
        <v>89</v>
      </c>
      <c r="C167" t="s">
        <v>9</v>
      </c>
      <c r="D167" s="10">
        <v>98.1</v>
      </c>
      <c r="E167" s="1">
        <v>45846</v>
      </c>
      <c r="F167" s="6" t="s">
        <v>22</v>
      </c>
      <c r="G167" s="11">
        <v>24</v>
      </c>
      <c r="H167" s="11">
        <v>3</v>
      </c>
      <c r="I167" t="str">
        <f t="shared" si="8"/>
        <v>julio</v>
      </c>
      <c r="J167" t="str">
        <f t="shared" si="9"/>
        <v>martes</v>
      </c>
    </row>
    <row r="168" spans="1:10" hidden="1" outlineLevel="2" x14ac:dyDescent="0.3">
      <c r="A168" s="3">
        <v>390</v>
      </c>
      <c r="B168" t="s">
        <v>114</v>
      </c>
      <c r="C168" t="s">
        <v>9</v>
      </c>
      <c r="D168" s="10">
        <v>86.2</v>
      </c>
      <c r="E168" s="1">
        <v>45846</v>
      </c>
      <c r="F168" s="6" t="s">
        <v>10</v>
      </c>
      <c r="G168" s="11">
        <v>39</v>
      </c>
      <c r="H168" s="11">
        <v>3</v>
      </c>
      <c r="I168" t="str">
        <f t="shared" si="8"/>
        <v>julio</v>
      </c>
      <c r="J168" t="str">
        <f t="shared" si="9"/>
        <v>martes</v>
      </c>
    </row>
    <row r="169" spans="1:10" hidden="1" outlineLevel="2" x14ac:dyDescent="0.3">
      <c r="A169" s="3">
        <v>318</v>
      </c>
      <c r="B169" t="s">
        <v>97</v>
      </c>
      <c r="C169" t="s">
        <v>9</v>
      </c>
      <c r="D169" s="10">
        <v>69.900000000000006</v>
      </c>
      <c r="E169" s="1">
        <v>45854</v>
      </c>
      <c r="F169" s="6" t="s">
        <v>22</v>
      </c>
      <c r="G169" s="11">
        <v>87</v>
      </c>
      <c r="H169" s="11">
        <v>1</v>
      </c>
      <c r="I169" t="str">
        <f t="shared" si="8"/>
        <v>julio</v>
      </c>
      <c r="J169" t="str">
        <f t="shared" si="9"/>
        <v>miércoles</v>
      </c>
    </row>
    <row r="170" spans="1:10" hidden="1" outlineLevel="2" x14ac:dyDescent="0.3">
      <c r="A170" s="3">
        <v>403</v>
      </c>
      <c r="B170" t="s">
        <v>116</v>
      </c>
      <c r="C170" t="s">
        <v>9</v>
      </c>
      <c r="D170" s="10">
        <v>71.400000000000006</v>
      </c>
      <c r="E170" s="1">
        <v>45864</v>
      </c>
      <c r="F170" s="6" t="s">
        <v>10</v>
      </c>
      <c r="G170" s="11">
        <v>90</v>
      </c>
      <c r="H170" s="11">
        <v>2</v>
      </c>
      <c r="I170" t="str">
        <f t="shared" si="8"/>
        <v>julio</v>
      </c>
      <c r="J170" t="str">
        <f t="shared" si="9"/>
        <v>sábado</v>
      </c>
    </row>
    <row r="171" spans="1:10" hidden="1" outlineLevel="2" x14ac:dyDescent="0.3">
      <c r="A171" s="3">
        <v>404</v>
      </c>
      <c r="B171" t="s">
        <v>117</v>
      </c>
      <c r="C171" t="s">
        <v>9</v>
      </c>
      <c r="D171" s="10">
        <v>86.9</v>
      </c>
      <c r="E171" s="1">
        <v>45857</v>
      </c>
      <c r="F171" s="6" t="s">
        <v>10</v>
      </c>
      <c r="G171" s="11">
        <v>44</v>
      </c>
      <c r="H171" s="11">
        <v>1</v>
      </c>
      <c r="I171" t="str">
        <f t="shared" si="8"/>
        <v>julio</v>
      </c>
      <c r="J171" t="str">
        <f t="shared" si="9"/>
        <v>sábado</v>
      </c>
    </row>
    <row r="172" spans="1:10" hidden="1" outlineLevel="2" x14ac:dyDescent="0.3">
      <c r="A172" s="3">
        <v>439</v>
      </c>
      <c r="B172" t="s">
        <v>127</v>
      </c>
      <c r="C172" t="s">
        <v>9</v>
      </c>
      <c r="D172" s="10">
        <v>97.3</v>
      </c>
      <c r="E172" s="1">
        <v>45843</v>
      </c>
      <c r="F172" s="6" t="s">
        <v>22</v>
      </c>
      <c r="G172" s="11">
        <v>42</v>
      </c>
      <c r="H172" s="11">
        <v>3</v>
      </c>
      <c r="I172" t="str">
        <f t="shared" si="8"/>
        <v>julio</v>
      </c>
      <c r="J172" t="str">
        <f t="shared" si="9"/>
        <v>sábado</v>
      </c>
    </row>
    <row r="173" spans="1:10" hidden="1" outlineLevel="2" x14ac:dyDescent="0.3">
      <c r="A173" s="3">
        <v>859</v>
      </c>
      <c r="B173" t="s">
        <v>219</v>
      </c>
      <c r="C173" t="s">
        <v>9</v>
      </c>
      <c r="D173" s="10">
        <v>76.8</v>
      </c>
      <c r="E173" s="1">
        <v>45857</v>
      </c>
      <c r="F173" s="6" t="s">
        <v>10</v>
      </c>
      <c r="G173" s="11">
        <v>71</v>
      </c>
      <c r="H173" s="11">
        <v>2</v>
      </c>
      <c r="I173" t="str">
        <f t="shared" si="8"/>
        <v>julio</v>
      </c>
      <c r="J173" t="str">
        <f t="shared" si="9"/>
        <v>sábado</v>
      </c>
    </row>
    <row r="174" spans="1:10" hidden="1" outlineLevel="2" x14ac:dyDescent="0.3">
      <c r="A174" s="3">
        <v>521</v>
      </c>
      <c r="B174" t="s">
        <v>146</v>
      </c>
      <c r="C174" t="s">
        <v>9</v>
      </c>
      <c r="D174" s="10">
        <v>82.4</v>
      </c>
      <c r="E174" s="1">
        <v>45832</v>
      </c>
      <c r="F174" s="6" t="s">
        <v>22</v>
      </c>
      <c r="G174" s="11">
        <v>17</v>
      </c>
      <c r="H174" s="11">
        <v>3</v>
      </c>
      <c r="I174" t="str">
        <f t="shared" si="8"/>
        <v>junio</v>
      </c>
      <c r="J174" t="str">
        <f t="shared" si="9"/>
        <v>martes</v>
      </c>
    </row>
    <row r="175" spans="1:10" hidden="1" outlineLevel="2" x14ac:dyDescent="0.3">
      <c r="A175" s="3">
        <v>830</v>
      </c>
      <c r="B175" t="s">
        <v>213</v>
      </c>
      <c r="C175" t="s">
        <v>9</v>
      </c>
      <c r="D175" s="10">
        <v>72.2</v>
      </c>
      <c r="E175" s="1">
        <v>45821</v>
      </c>
      <c r="F175" s="6" t="s">
        <v>10</v>
      </c>
      <c r="G175" s="11">
        <v>52</v>
      </c>
      <c r="H175" s="11">
        <v>2</v>
      </c>
      <c r="I175" t="str">
        <f t="shared" si="8"/>
        <v>junio</v>
      </c>
      <c r="J175" t="str">
        <f t="shared" si="9"/>
        <v>viernes</v>
      </c>
    </row>
    <row r="176" spans="1:10" hidden="1" outlineLevel="2" x14ac:dyDescent="0.3">
      <c r="A176" s="3">
        <v>379</v>
      </c>
      <c r="B176" t="s">
        <v>111</v>
      </c>
      <c r="C176" t="s">
        <v>9</v>
      </c>
      <c r="D176" s="10">
        <v>91.7</v>
      </c>
      <c r="E176" s="1">
        <v>45739</v>
      </c>
      <c r="F176" s="6" t="s">
        <v>22</v>
      </c>
      <c r="G176" s="11">
        <v>46</v>
      </c>
      <c r="H176" s="11">
        <v>3</v>
      </c>
      <c r="I176" t="str">
        <f t="shared" si="8"/>
        <v>marzo</v>
      </c>
      <c r="J176" t="str">
        <f t="shared" si="9"/>
        <v>domingo</v>
      </c>
    </row>
    <row r="177" spans="1:10" hidden="1" outlineLevel="2" x14ac:dyDescent="0.3">
      <c r="A177" s="3">
        <v>731</v>
      </c>
      <c r="B177" t="s">
        <v>191</v>
      </c>
      <c r="C177" t="s">
        <v>9</v>
      </c>
      <c r="D177" s="10">
        <v>79.7</v>
      </c>
      <c r="E177" s="1">
        <v>45718</v>
      </c>
      <c r="F177" s="6" t="s">
        <v>22</v>
      </c>
      <c r="G177" s="11">
        <v>69</v>
      </c>
      <c r="H177" s="11">
        <v>1</v>
      </c>
      <c r="I177" t="str">
        <f t="shared" si="8"/>
        <v>marzo</v>
      </c>
      <c r="J177" t="str">
        <f t="shared" si="9"/>
        <v>domingo</v>
      </c>
    </row>
    <row r="178" spans="1:10" hidden="1" outlineLevel="2" x14ac:dyDescent="0.3">
      <c r="A178" s="3">
        <v>894</v>
      </c>
      <c r="B178" t="s">
        <v>232</v>
      </c>
      <c r="C178" t="s">
        <v>9</v>
      </c>
      <c r="D178" s="10">
        <v>62.9</v>
      </c>
      <c r="E178" s="1">
        <v>45746</v>
      </c>
      <c r="F178" s="6" t="s">
        <v>22</v>
      </c>
      <c r="G178" s="11">
        <v>53</v>
      </c>
      <c r="H178" s="11">
        <v>2</v>
      </c>
      <c r="I178" t="str">
        <f t="shared" si="8"/>
        <v>marzo</v>
      </c>
      <c r="J178" t="str">
        <f t="shared" si="9"/>
        <v>domingo</v>
      </c>
    </row>
    <row r="179" spans="1:10" hidden="1" outlineLevel="2" x14ac:dyDescent="0.3">
      <c r="A179" s="3">
        <v>849</v>
      </c>
      <c r="B179" t="s">
        <v>217</v>
      </c>
      <c r="C179" t="s">
        <v>9</v>
      </c>
      <c r="D179" s="10">
        <v>73.8</v>
      </c>
      <c r="E179" s="1">
        <v>45726</v>
      </c>
      <c r="F179" s="6" t="s">
        <v>22</v>
      </c>
      <c r="G179" s="11">
        <v>19</v>
      </c>
      <c r="H179" s="11">
        <v>3</v>
      </c>
      <c r="I179" t="str">
        <f t="shared" si="8"/>
        <v>marzo</v>
      </c>
      <c r="J179" t="str">
        <f t="shared" si="9"/>
        <v>lunes</v>
      </c>
    </row>
    <row r="180" spans="1:10" hidden="1" outlineLevel="2" x14ac:dyDescent="0.3">
      <c r="A180" s="3">
        <v>2</v>
      </c>
      <c r="B180" t="s">
        <v>8</v>
      </c>
      <c r="C180" t="s">
        <v>9</v>
      </c>
      <c r="D180" s="10">
        <v>92.7</v>
      </c>
      <c r="E180" s="1">
        <v>45735</v>
      </c>
      <c r="F180" s="6" t="s">
        <v>10</v>
      </c>
      <c r="G180" s="11">
        <v>49</v>
      </c>
      <c r="H180" s="11">
        <v>1</v>
      </c>
      <c r="I180" t="str">
        <f t="shared" si="8"/>
        <v>marzo</v>
      </c>
      <c r="J180" t="str">
        <f t="shared" si="9"/>
        <v>miércoles</v>
      </c>
    </row>
    <row r="181" spans="1:10" hidden="1" outlineLevel="2" x14ac:dyDescent="0.3">
      <c r="A181" s="3">
        <v>29</v>
      </c>
      <c r="B181" t="s">
        <v>21</v>
      </c>
      <c r="C181" t="s">
        <v>9</v>
      </c>
      <c r="D181" s="10">
        <v>51.5</v>
      </c>
      <c r="E181" s="1">
        <v>45788</v>
      </c>
      <c r="F181" s="6" t="s">
        <v>22</v>
      </c>
      <c r="G181" s="11">
        <v>72</v>
      </c>
      <c r="H181" s="11">
        <v>1</v>
      </c>
      <c r="I181" t="str">
        <f t="shared" si="8"/>
        <v>mayo</v>
      </c>
      <c r="J181" t="str">
        <f t="shared" si="9"/>
        <v>domingo</v>
      </c>
    </row>
    <row r="182" spans="1:10" hidden="1" outlineLevel="2" x14ac:dyDescent="0.3">
      <c r="A182" s="3">
        <v>146</v>
      </c>
      <c r="B182" t="s">
        <v>53</v>
      </c>
      <c r="C182" t="s">
        <v>9</v>
      </c>
      <c r="D182" s="10">
        <v>83.1</v>
      </c>
      <c r="E182" s="1">
        <v>45799</v>
      </c>
      <c r="F182" s="6" t="s">
        <v>22</v>
      </c>
      <c r="G182" s="11">
        <v>22</v>
      </c>
      <c r="H182" s="11">
        <v>2</v>
      </c>
      <c r="I182" t="str">
        <f t="shared" si="8"/>
        <v>mayo</v>
      </c>
      <c r="J182" t="str">
        <f t="shared" si="9"/>
        <v>jueves</v>
      </c>
    </row>
    <row r="183" spans="1:10" hidden="1" outlineLevel="2" x14ac:dyDescent="0.3">
      <c r="A183" s="3">
        <v>235</v>
      </c>
      <c r="B183" t="s">
        <v>71</v>
      </c>
      <c r="C183" t="s">
        <v>9</v>
      </c>
      <c r="D183" s="10">
        <v>63.7</v>
      </c>
      <c r="E183" s="1">
        <v>45779</v>
      </c>
      <c r="F183" s="6" t="s">
        <v>22</v>
      </c>
      <c r="G183" s="11">
        <v>51</v>
      </c>
      <c r="H183" s="11">
        <v>3</v>
      </c>
      <c r="I183" t="str">
        <f t="shared" si="8"/>
        <v>mayo</v>
      </c>
      <c r="J183" t="str">
        <f t="shared" si="9"/>
        <v>viernes</v>
      </c>
    </row>
    <row r="184" spans="1:10" hidden="1" outlineLevel="2" x14ac:dyDescent="0.3">
      <c r="A184" s="3">
        <v>174</v>
      </c>
      <c r="B184" t="s">
        <v>59</v>
      </c>
      <c r="C184" t="s">
        <v>9</v>
      </c>
      <c r="D184" s="10">
        <v>83.4</v>
      </c>
      <c r="E184" s="1">
        <v>45963</v>
      </c>
      <c r="F184" s="6" t="s">
        <v>10</v>
      </c>
      <c r="G184" s="11">
        <v>14</v>
      </c>
      <c r="H184" s="11">
        <v>3</v>
      </c>
      <c r="I184" t="str">
        <f t="shared" si="8"/>
        <v>noviembre</v>
      </c>
      <c r="J184" t="str">
        <f t="shared" si="9"/>
        <v>domingo</v>
      </c>
    </row>
    <row r="185" spans="1:10" hidden="1" outlineLevel="2" x14ac:dyDescent="0.3">
      <c r="A185" s="3">
        <v>940</v>
      </c>
      <c r="B185" t="s">
        <v>245</v>
      </c>
      <c r="C185" t="s">
        <v>9</v>
      </c>
      <c r="D185" s="10">
        <v>65.099999999999994</v>
      </c>
      <c r="E185" s="1">
        <v>45985</v>
      </c>
      <c r="F185" s="6" t="s">
        <v>10</v>
      </c>
      <c r="G185" s="11">
        <v>41</v>
      </c>
      <c r="H185" s="11">
        <v>3</v>
      </c>
      <c r="I185" t="str">
        <f t="shared" si="8"/>
        <v>noviembre</v>
      </c>
      <c r="J185" t="str">
        <f t="shared" si="9"/>
        <v>lunes</v>
      </c>
    </row>
    <row r="186" spans="1:10" hidden="1" outlineLevel="2" x14ac:dyDescent="0.3">
      <c r="A186" s="3">
        <v>659</v>
      </c>
      <c r="B186" t="s">
        <v>177</v>
      </c>
      <c r="C186" t="s">
        <v>9</v>
      </c>
      <c r="D186" s="10">
        <v>98.3</v>
      </c>
      <c r="E186" s="1">
        <v>45986</v>
      </c>
      <c r="F186" s="6" t="s">
        <v>22</v>
      </c>
      <c r="G186" s="11">
        <v>97</v>
      </c>
      <c r="H186" s="11">
        <v>2</v>
      </c>
      <c r="I186" t="str">
        <f t="shared" si="8"/>
        <v>noviembre</v>
      </c>
      <c r="J186" t="str">
        <f t="shared" si="9"/>
        <v>martes</v>
      </c>
    </row>
    <row r="187" spans="1:10" hidden="1" outlineLevel="2" x14ac:dyDescent="0.3">
      <c r="A187" s="3">
        <v>851</v>
      </c>
      <c r="B187" t="s">
        <v>218</v>
      </c>
      <c r="C187" t="s">
        <v>9</v>
      </c>
      <c r="D187" s="10">
        <v>99</v>
      </c>
      <c r="E187" s="1">
        <v>45965</v>
      </c>
      <c r="F187" s="6" t="s">
        <v>22</v>
      </c>
      <c r="G187" s="11">
        <v>49</v>
      </c>
      <c r="H187" s="11">
        <v>1</v>
      </c>
      <c r="I187" t="str">
        <f t="shared" si="8"/>
        <v>noviembre</v>
      </c>
      <c r="J187" t="str">
        <f t="shared" si="9"/>
        <v>martes</v>
      </c>
    </row>
    <row r="188" spans="1:10" hidden="1" outlineLevel="2" x14ac:dyDescent="0.3">
      <c r="A188" s="3">
        <v>929</v>
      </c>
      <c r="B188" t="s">
        <v>242</v>
      </c>
      <c r="C188" t="s">
        <v>9</v>
      </c>
      <c r="D188" s="10">
        <v>83.2</v>
      </c>
      <c r="E188" s="1">
        <v>45973</v>
      </c>
      <c r="F188" s="6" t="s">
        <v>10</v>
      </c>
      <c r="G188" s="11">
        <v>74</v>
      </c>
      <c r="H188" s="11">
        <v>3</v>
      </c>
      <c r="I188" t="str">
        <f t="shared" si="8"/>
        <v>noviembre</v>
      </c>
      <c r="J188" t="str">
        <f t="shared" si="9"/>
        <v>miércoles</v>
      </c>
    </row>
    <row r="189" spans="1:10" hidden="1" outlineLevel="2" x14ac:dyDescent="0.3">
      <c r="A189" s="3">
        <v>930</v>
      </c>
      <c r="B189" t="s">
        <v>243</v>
      </c>
      <c r="C189" t="s">
        <v>9</v>
      </c>
      <c r="D189" s="10">
        <v>80.900000000000006</v>
      </c>
      <c r="E189" s="1">
        <v>45969</v>
      </c>
      <c r="F189" s="6" t="s">
        <v>22</v>
      </c>
      <c r="G189" s="11">
        <v>53</v>
      </c>
      <c r="H189" s="11">
        <v>3</v>
      </c>
      <c r="I189" t="str">
        <f t="shared" si="8"/>
        <v>noviembre</v>
      </c>
      <c r="J189" t="str">
        <f t="shared" si="9"/>
        <v>sábado</v>
      </c>
    </row>
    <row r="190" spans="1:10" hidden="1" outlineLevel="2" x14ac:dyDescent="0.3">
      <c r="A190" s="3">
        <v>258</v>
      </c>
      <c r="B190" t="s">
        <v>79</v>
      </c>
      <c r="C190" t="s">
        <v>9</v>
      </c>
      <c r="D190" s="10">
        <v>93.3</v>
      </c>
      <c r="E190" s="1">
        <v>45960</v>
      </c>
      <c r="F190" s="6" t="s">
        <v>22</v>
      </c>
      <c r="G190" s="11">
        <v>30</v>
      </c>
      <c r="H190" s="11">
        <v>3</v>
      </c>
      <c r="I190" t="str">
        <f t="shared" si="8"/>
        <v>octubre</v>
      </c>
      <c r="J190" t="str">
        <f t="shared" si="9"/>
        <v>jueves</v>
      </c>
    </row>
    <row r="191" spans="1:10" hidden="1" outlineLevel="2" x14ac:dyDescent="0.3">
      <c r="A191" s="3">
        <v>25</v>
      </c>
      <c r="B191" t="s">
        <v>18</v>
      </c>
      <c r="C191" t="s">
        <v>9</v>
      </c>
      <c r="D191" s="10">
        <v>57.3</v>
      </c>
      <c r="E191" s="1">
        <v>45957</v>
      </c>
      <c r="F191" s="6" t="s">
        <v>10</v>
      </c>
      <c r="G191" s="11">
        <v>41</v>
      </c>
      <c r="H191" s="11">
        <v>2</v>
      </c>
      <c r="I191" t="str">
        <f t="shared" si="8"/>
        <v>octubre</v>
      </c>
      <c r="J191" t="str">
        <f t="shared" si="9"/>
        <v>lunes</v>
      </c>
    </row>
    <row r="192" spans="1:10" hidden="1" outlineLevel="2" x14ac:dyDescent="0.3">
      <c r="A192" s="3">
        <v>289</v>
      </c>
      <c r="B192" t="s">
        <v>86</v>
      </c>
      <c r="C192" t="s">
        <v>9</v>
      </c>
      <c r="D192" s="10">
        <v>95.3</v>
      </c>
      <c r="E192" s="1">
        <v>45936</v>
      </c>
      <c r="F192" s="6" t="s">
        <v>10</v>
      </c>
      <c r="G192" s="11">
        <v>47</v>
      </c>
      <c r="H192" s="11">
        <v>1</v>
      </c>
      <c r="I192" t="str">
        <f t="shared" si="8"/>
        <v>octubre</v>
      </c>
      <c r="J192" t="str">
        <f t="shared" si="9"/>
        <v>lunes</v>
      </c>
    </row>
    <row r="193" spans="1:10" hidden="1" outlineLevel="2" x14ac:dyDescent="0.3">
      <c r="A193" s="3">
        <v>887</v>
      </c>
      <c r="B193" t="s">
        <v>229</v>
      </c>
      <c r="C193" t="s">
        <v>9</v>
      </c>
      <c r="D193" s="10">
        <v>56.4</v>
      </c>
      <c r="E193" s="1">
        <v>45914</v>
      </c>
      <c r="F193" s="6" t="s">
        <v>22</v>
      </c>
      <c r="G193" s="11">
        <v>100</v>
      </c>
      <c r="H193" s="11">
        <v>1</v>
      </c>
      <c r="I193" t="str">
        <f t="shared" si="8"/>
        <v>septiembre</v>
      </c>
      <c r="J193" t="str">
        <f t="shared" si="9"/>
        <v>domingo</v>
      </c>
    </row>
    <row r="194" spans="1:10" hidden="1" outlineLevel="2" x14ac:dyDescent="0.3">
      <c r="A194" s="3">
        <v>444</v>
      </c>
      <c r="B194" t="s">
        <v>129</v>
      </c>
      <c r="C194" t="s">
        <v>9</v>
      </c>
      <c r="D194" s="10">
        <v>60.6</v>
      </c>
      <c r="E194" s="1">
        <v>45922</v>
      </c>
      <c r="F194" s="6" t="s">
        <v>22</v>
      </c>
      <c r="G194" s="11">
        <v>11</v>
      </c>
      <c r="H194" s="11">
        <v>3</v>
      </c>
      <c r="I194" t="str">
        <f t="shared" si="8"/>
        <v>septiembre</v>
      </c>
      <c r="J194" t="str">
        <f t="shared" si="9"/>
        <v>lunes</v>
      </c>
    </row>
    <row r="195" spans="1:10" hidden="1" outlineLevel="2" x14ac:dyDescent="0.3">
      <c r="A195" s="3">
        <v>793</v>
      </c>
      <c r="B195" t="s">
        <v>204</v>
      </c>
      <c r="C195" t="s">
        <v>9</v>
      </c>
      <c r="D195" s="10">
        <v>77.3</v>
      </c>
      <c r="E195" s="1">
        <v>45924</v>
      </c>
      <c r="F195" s="6" t="s">
        <v>22</v>
      </c>
      <c r="G195" s="11">
        <v>74</v>
      </c>
      <c r="H195" s="11">
        <v>3</v>
      </c>
      <c r="I195" t="str">
        <f t="shared" si="8"/>
        <v>septiembre</v>
      </c>
      <c r="J195" t="str">
        <f t="shared" si="9"/>
        <v>miércoles</v>
      </c>
    </row>
    <row r="196" spans="1:10" hidden="1" outlineLevel="2" x14ac:dyDescent="0.3">
      <c r="A196" s="3">
        <v>695</v>
      </c>
      <c r="B196" t="s">
        <v>183</v>
      </c>
      <c r="C196" t="s">
        <v>9</v>
      </c>
      <c r="D196" s="10">
        <v>70.8</v>
      </c>
      <c r="E196" s="1">
        <v>45927</v>
      </c>
      <c r="F196" s="6" t="s">
        <v>22</v>
      </c>
      <c r="G196" s="11">
        <v>53</v>
      </c>
      <c r="H196" s="11">
        <v>1</v>
      </c>
      <c r="I196" t="str">
        <f t="shared" si="8"/>
        <v>septiembre</v>
      </c>
      <c r="J196" t="str">
        <f t="shared" si="9"/>
        <v>sábado</v>
      </c>
    </row>
    <row r="197" spans="1:10" outlineLevel="1" collapsed="1" x14ac:dyDescent="0.3">
      <c r="A197" s="3"/>
      <c r="C197" s="13" t="s">
        <v>272</v>
      </c>
      <c r="D197" s="10">
        <f>SUBTOTAL(1,D150:D196)</f>
        <v>77.619148936170234</v>
      </c>
    </row>
    <row r="198" spans="1:10" hidden="1" outlineLevel="2" x14ac:dyDescent="0.3">
      <c r="A198" s="3">
        <v>311</v>
      </c>
      <c r="B198" t="s">
        <v>95</v>
      </c>
      <c r="C198" t="s">
        <v>12</v>
      </c>
      <c r="D198" s="10">
        <v>98.8</v>
      </c>
      <c r="E198" s="1">
        <v>45767</v>
      </c>
      <c r="F198" s="6" t="s">
        <v>13</v>
      </c>
      <c r="G198" s="11">
        <v>96</v>
      </c>
      <c r="H198" s="11">
        <v>3</v>
      </c>
      <c r="I198" t="str">
        <f t="shared" ref="I198:I229" si="10">TEXT(E198,"MMMM")</f>
        <v>abril</v>
      </c>
      <c r="J198" t="str">
        <f t="shared" ref="J198:J229" si="11">TEXT(E198,"DDDD")</f>
        <v>domingo</v>
      </c>
    </row>
    <row r="199" spans="1:10" hidden="1" outlineLevel="2" x14ac:dyDescent="0.3">
      <c r="A199" s="3">
        <v>526</v>
      </c>
      <c r="B199" t="s">
        <v>148</v>
      </c>
      <c r="C199" t="s">
        <v>12</v>
      </c>
      <c r="D199" s="10">
        <v>65.599999999999994</v>
      </c>
      <c r="E199" s="1">
        <v>45750</v>
      </c>
      <c r="F199" s="6" t="s">
        <v>13</v>
      </c>
      <c r="G199" s="11">
        <v>42</v>
      </c>
      <c r="H199" s="11">
        <v>3</v>
      </c>
      <c r="I199" t="str">
        <f t="shared" si="10"/>
        <v>abril</v>
      </c>
      <c r="J199" t="str">
        <f t="shared" si="11"/>
        <v>jueves</v>
      </c>
    </row>
    <row r="200" spans="1:10" hidden="1" outlineLevel="2" x14ac:dyDescent="0.3">
      <c r="A200" s="3">
        <v>376</v>
      </c>
      <c r="B200" t="s">
        <v>110</v>
      </c>
      <c r="C200" t="s">
        <v>12</v>
      </c>
      <c r="D200" s="10">
        <v>56.4</v>
      </c>
      <c r="E200" s="1">
        <v>45748</v>
      </c>
      <c r="F200" s="6" t="s">
        <v>13</v>
      </c>
      <c r="G200" s="11">
        <v>65</v>
      </c>
      <c r="H200" s="11">
        <v>2</v>
      </c>
      <c r="I200" t="str">
        <f t="shared" si="10"/>
        <v>abril</v>
      </c>
      <c r="J200" t="str">
        <f t="shared" si="11"/>
        <v>martes</v>
      </c>
    </row>
    <row r="201" spans="1:10" hidden="1" outlineLevel="2" x14ac:dyDescent="0.3">
      <c r="A201" s="3">
        <v>46</v>
      </c>
      <c r="B201" t="s">
        <v>28</v>
      </c>
      <c r="C201" t="s">
        <v>12</v>
      </c>
      <c r="D201" s="10">
        <v>98.8</v>
      </c>
      <c r="E201" s="1">
        <v>45770</v>
      </c>
      <c r="F201" s="6" t="s">
        <v>20</v>
      </c>
      <c r="G201" s="11">
        <v>59</v>
      </c>
      <c r="H201" s="11">
        <v>1</v>
      </c>
      <c r="I201" t="str">
        <f t="shared" si="10"/>
        <v>abril</v>
      </c>
      <c r="J201" t="str">
        <f t="shared" si="11"/>
        <v>miércoles</v>
      </c>
    </row>
    <row r="202" spans="1:10" hidden="1" outlineLevel="2" x14ac:dyDescent="0.3">
      <c r="A202" s="3">
        <v>367</v>
      </c>
      <c r="B202" t="s">
        <v>107</v>
      </c>
      <c r="C202" t="s">
        <v>12</v>
      </c>
      <c r="D202" s="10">
        <v>54.6</v>
      </c>
      <c r="E202" s="1">
        <v>45770</v>
      </c>
      <c r="F202" s="6" t="s">
        <v>13</v>
      </c>
      <c r="G202" s="11">
        <v>47</v>
      </c>
      <c r="H202" s="11">
        <v>2</v>
      </c>
      <c r="I202" t="str">
        <f t="shared" si="10"/>
        <v>abril</v>
      </c>
      <c r="J202" t="str">
        <f t="shared" si="11"/>
        <v>miércoles</v>
      </c>
    </row>
    <row r="203" spans="1:10" hidden="1" outlineLevel="2" x14ac:dyDescent="0.3">
      <c r="A203" s="3">
        <v>330</v>
      </c>
      <c r="B203" t="s">
        <v>101</v>
      </c>
      <c r="C203" t="s">
        <v>12</v>
      </c>
      <c r="D203" s="10">
        <v>65.099999999999994</v>
      </c>
      <c r="E203" s="1">
        <v>45872</v>
      </c>
      <c r="F203" s="6" t="s">
        <v>13</v>
      </c>
      <c r="G203" s="11">
        <v>100</v>
      </c>
      <c r="H203" s="11">
        <v>1</v>
      </c>
      <c r="I203" t="str">
        <f t="shared" si="10"/>
        <v>agosto</v>
      </c>
      <c r="J203" t="str">
        <f t="shared" si="11"/>
        <v>domingo</v>
      </c>
    </row>
    <row r="204" spans="1:10" hidden="1" outlineLevel="2" x14ac:dyDescent="0.3">
      <c r="A204" s="3">
        <v>933</v>
      </c>
      <c r="B204" t="s">
        <v>244</v>
      </c>
      <c r="C204" t="s">
        <v>12</v>
      </c>
      <c r="D204" s="10">
        <v>84.3</v>
      </c>
      <c r="E204" s="1">
        <v>45897</v>
      </c>
      <c r="F204" s="6" t="s">
        <v>13</v>
      </c>
      <c r="G204" s="11">
        <v>85</v>
      </c>
      <c r="H204" s="11">
        <v>2</v>
      </c>
      <c r="I204" t="str">
        <f t="shared" si="10"/>
        <v>agosto</v>
      </c>
      <c r="J204" t="str">
        <f t="shared" si="11"/>
        <v>jueves</v>
      </c>
    </row>
    <row r="205" spans="1:10" hidden="1" outlineLevel="2" x14ac:dyDescent="0.3">
      <c r="A205" s="3">
        <v>134</v>
      </c>
      <c r="B205" t="s">
        <v>49</v>
      </c>
      <c r="C205" t="s">
        <v>12</v>
      </c>
      <c r="D205" s="10">
        <v>50.9</v>
      </c>
      <c r="E205" s="1">
        <v>45873</v>
      </c>
      <c r="F205" s="6" t="s">
        <v>20</v>
      </c>
      <c r="G205" s="11">
        <v>72</v>
      </c>
      <c r="H205" s="11">
        <v>2</v>
      </c>
      <c r="I205" t="str">
        <f t="shared" si="10"/>
        <v>agosto</v>
      </c>
      <c r="J205" t="str">
        <f t="shared" si="11"/>
        <v>lunes</v>
      </c>
    </row>
    <row r="206" spans="1:10" hidden="1" outlineLevel="2" x14ac:dyDescent="0.3">
      <c r="A206" s="3">
        <v>548</v>
      </c>
      <c r="B206" t="s">
        <v>156</v>
      </c>
      <c r="C206" t="s">
        <v>12</v>
      </c>
      <c r="D206" s="10">
        <v>94.2</v>
      </c>
      <c r="E206" s="1">
        <v>45887</v>
      </c>
      <c r="F206" s="6" t="s">
        <v>13</v>
      </c>
      <c r="G206" s="11">
        <v>100</v>
      </c>
      <c r="H206" s="11">
        <v>1</v>
      </c>
      <c r="I206" t="str">
        <f t="shared" si="10"/>
        <v>agosto</v>
      </c>
      <c r="J206" t="str">
        <f t="shared" si="11"/>
        <v>lunes</v>
      </c>
    </row>
    <row r="207" spans="1:10" hidden="1" outlineLevel="2" x14ac:dyDescent="0.3">
      <c r="A207" s="3">
        <v>522</v>
      </c>
      <c r="B207" t="s">
        <v>147</v>
      </c>
      <c r="C207" t="s">
        <v>12</v>
      </c>
      <c r="D207" s="10">
        <v>92.3</v>
      </c>
      <c r="E207" s="1">
        <v>45874</v>
      </c>
      <c r="F207" s="6" t="s">
        <v>20</v>
      </c>
      <c r="G207" s="11">
        <v>80</v>
      </c>
      <c r="H207" s="11">
        <v>1</v>
      </c>
      <c r="I207" t="str">
        <f t="shared" si="10"/>
        <v>agosto</v>
      </c>
      <c r="J207" t="str">
        <f t="shared" si="11"/>
        <v>martes</v>
      </c>
    </row>
    <row r="208" spans="1:10" hidden="1" outlineLevel="2" x14ac:dyDescent="0.3">
      <c r="A208" s="3">
        <v>797</v>
      </c>
      <c r="B208" t="s">
        <v>206</v>
      </c>
      <c r="C208" t="s">
        <v>12</v>
      </c>
      <c r="D208" s="10">
        <v>67</v>
      </c>
      <c r="E208" s="1">
        <v>45875</v>
      </c>
      <c r="F208" s="6" t="s">
        <v>20</v>
      </c>
      <c r="G208" s="11">
        <v>80</v>
      </c>
      <c r="H208" s="11">
        <v>3</v>
      </c>
      <c r="I208" t="str">
        <f t="shared" si="10"/>
        <v>agosto</v>
      </c>
      <c r="J208" t="str">
        <f t="shared" si="11"/>
        <v>miércoles</v>
      </c>
    </row>
    <row r="209" spans="1:10" hidden="1" outlineLevel="2" x14ac:dyDescent="0.3">
      <c r="A209" s="3">
        <v>63</v>
      </c>
      <c r="B209" t="s">
        <v>32</v>
      </c>
      <c r="C209" t="s">
        <v>12</v>
      </c>
      <c r="D209" s="10">
        <v>93.4</v>
      </c>
      <c r="E209" s="1">
        <v>45631</v>
      </c>
      <c r="F209" s="6" t="s">
        <v>13</v>
      </c>
      <c r="G209" s="11">
        <v>38</v>
      </c>
      <c r="H209" s="11">
        <v>2</v>
      </c>
      <c r="I209" t="str">
        <f t="shared" si="10"/>
        <v>diciembre</v>
      </c>
      <c r="J209" t="str">
        <f t="shared" si="11"/>
        <v>jueves</v>
      </c>
    </row>
    <row r="210" spans="1:10" hidden="1" outlineLevel="2" x14ac:dyDescent="0.3">
      <c r="A210" s="3">
        <v>242</v>
      </c>
      <c r="B210" t="s">
        <v>72</v>
      </c>
      <c r="C210" t="s">
        <v>12</v>
      </c>
      <c r="D210" s="10">
        <v>73</v>
      </c>
      <c r="E210" s="1">
        <v>45656</v>
      </c>
      <c r="F210" s="6" t="s">
        <v>20</v>
      </c>
      <c r="G210" s="11">
        <v>90</v>
      </c>
      <c r="H210" s="11">
        <v>2</v>
      </c>
      <c r="I210" t="str">
        <f t="shared" si="10"/>
        <v>diciembre</v>
      </c>
      <c r="J210" t="str">
        <f t="shared" si="11"/>
        <v>lunes</v>
      </c>
    </row>
    <row r="211" spans="1:10" hidden="1" outlineLevel="2" x14ac:dyDescent="0.3">
      <c r="A211" s="3">
        <v>643</v>
      </c>
      <c r="B211" t="s">
        <v>173</v>
      </c>
      <c r="C211" t="s">
        <v>12</v>
      </c>
      <c r="D211" s="10">
        <v>75.900000000000006</v>
      </c>
      <c r="E211" s="1">
        <v>45649</v>
      </c>
      <c r="F211" s="6" t="s">
        <v>13</v>
      </c>
      <c r="G211" s="11">
        <v>63</v>
      </c>
      <c r="H211" s="11">
        <v>1</v>
      </c>
      <c r="I211" t="str">
        <f t="shared" si="10"/>
        <v>diciembre</v>
      </c>
      <c r="J211" t="str">
        <f t="shared" si="11"/>
        <v>lunes</v>
      </c>
    </row>
    <row r="212" spans="1:10" hidden="1" outlineLevel="2" x14ac:dyDescent="0.3">
      <c r="A212" s="3">
        <v>658</v>
      </c>
      <c r="B212" t="s">
        <v>176</v>
      </c>
      <c r="C212" t="s">
        <v>12</v>
      </c>
      <c r="D212" s="10">
        <v>52</v>
      </c>
      <c r="E212" s="1">
        <v>45644</v>
      </c>
      <c r="F212" s="6" t="s">
        <v>13</v>
      </c>
      <c r="G212" s="11">
        <v>4</v>
      </c>
      <c r="H212" s="11">
        <v>3</v>
      </c>
      <c r="I212" t="str">
        <f t="shared" si="10"/>
        <v>diciembre</v>
      </c>
      <c r="J212" t="str">
        <f t="shared" si="11"/>
        <v>miércoles</v>
      </c>
    </row>
    <row r="213" spans="1:10" hidden="1" outlineLevel="2" x14ac:dyDescent="0.3">
      <c r="A213" s="3">
        <v>324</v>
      </c>
      <c r="B213" t="s">
        <v>99</v>
      </c>
      <c r="C213" t="s">
        <v>12</v>
      </c>
      <c r="D213" s="10">
        <v>75.900000000000006</v>
      </c>
      <c r="E213" s="1">
        <v>45683</v>
      </c>
      <c r="F213" s="6" t="s">
        <v>20</v>
      </c>
      <c r="G213" s="11">
        <v>90</v>
      </c>
      <c r="H213" s="11">
        <v>2</v>
      </c>
      <c r="I213" t="str">
        <f t="shared" si="10"/>
        <v>enero</v>
      </c>
      <c r="J213" t="str">
        <f t="shared" si="11"/>
        <v>domingo</v>
      </c>
    </row>
    <row r="214" spans="1:10" hidden="1" outlineLevel="2" x14ac:dyDescent="0.3">
      <c r="A214" s="3">
        <v>177</v>
      </c>
      <c r="B214" t="s">
        <v>60</v>
      </c>
      <c r="C214" t="s">
        <v>12</v>
      </c>
      <c r="D214" s="10">
        <v>94.2</v>
      </c>
      <c r="E214" s="1">
        <v>45673</v>
      </c>
      <c r="F214" s="6" t="s">
        <v>20</v>
      </c>
      <c r="G214" s="11">
        <v>100</v>
      </c>
      <c r="H214" s="11">
        <v>3</v>
      </c>
      <c r="I214" t="str">
        <f t="shared" si="10"/>
        <v>enero</v>
      </c>
      <c r="J214" t="str">
        <f t="shared" si="11"/>
        <v>jueves</v>
      </c>
    </row>
    <row r="215" spans="1:10" hidden="1" outlineLevel="2" x14ac:dyDescent="0.3">
      <c r="A215" s="3">
        <v>629</v>
      </c>
      <c r="B215" t="s">
        <v>170</v>
      </c>
      <c r="C215" t="s">
        <v>12</v>
      </c>
      <c r="D215" s="10">
        <v>91.7</v>
      </c>
      <c r="E215" s="1">
        <v>45687</v>
      </c>
      <c r="F215" s="6" t="s">
        <v>20</v>
      </c>
      <c r="G215" s="11">
        <v>0</v>
      </c>
      <c r="H215" s="11">
        <v>3</v>
      </c>
      <c r="I215" t="str">
        <f t="shared" si="10"/>
        <v>enero</v>
      </c>
      <c r="J215" t="str">
        <f t="shared" si="11"/>
        <v>jueves</v>
      </c>
    </row>
    <row r="216" spans="1:10" hidden="1" outlineLevel="2" x14ac:dyDescent="0.3">
      <c r="A216" s="3">
        <v>51</v>
      </c>
      <c r="B216" t="s">
        <v>29</v>
      </c>
      <c r="C216" t="s">
        <v>12</v>
      </c>
      <c r="D216" s="10">
        <v>82.6</v>
      </c>
      <c r="E216" s="1">
        <v>45685</v>
      </c>
      <c r="F216" s="6" t="s">
        <v>20</v>
      </c>
      <c r="G216" s="11">
        <v>100</v>
      </c>
      <c r="H216" s="11">
        <v>3</v>
      </c>
      <c r="I216" t="str">
        <f t="shared" si="10"/>
        <v>enero</v>
      </c>
      <c r="J216" t="str">
        <f t="shared" si="11"/>
        <v>martes</v>
      </c>
    </row>
    <row r="217" spans="1:10" hidden="1" outlineLevel="2" x14ac:dyDescent="0.3">
      <c r="A217" s="3">
        <v>153</v>
      </c>
      <c r="B217" t="s">
        <v>54</v>
      </c>
      <c r="C217" t="s">
        <v>12</v>
      </c>
      <c r="D217" s="10">
        <v>86.7</v>
      </c>
      <c r="E217" s="1">
        <v>45664</v>
      </c>
      <c r="F217" s="6" t="s">
        <v>13</v>
      </c>
      <c r="G217" s="11">
        <v>89</v>
      </c>
      <c r="H217" s="11">
        <v>2</v>
      </c>
      <c r="I217" t="str">
        <f t="shared" si="10"/>
        <v>enero</v>
      </c>
      <c r="J217" t="str">
        <f t="shared" si="11"/>
        <v>martes</v>
      </c>
    </row>
    <row r="218" spans="1:10" hidden="1" outlineLevel="2" x14ac:dyDescent="0.3">
      <c r="A218" s="3">
        <v>904</v>
      </c>
      <c r="B218" t="s">
        <v>235</v>
      </c>
      <c r="C218" t="s">
        <v>12</v>
      </c>
      <c r="D218" s="10">
        <v>79.7</v>
      </c>
      <c r="E218" s="1">
        <v>45679</v>
      </c>
      <c r="F218" s="6" t="s">
        <v>20</v>
      </c>
      <c r="G218" s="11">
        <v>61</v>
      </c>
      <c r="H218" s="11">
        <v>1</v>
      </c>
      <c r="I218" t="str">
        <f t="shared" si="10"/>
        <v>enero</v>
      </c>
      <c r="J218" t="str">
        <f t="shared" si="11"/>
        <v>miércoles</v>
      </c>
    </row>
    <row r="219" spans="1:10" hidden="1" outlineLevel="2" x14ac:dyDescent="0.3">
      <c r="A219" s="3">
        <v>244</v>
      </c>
      <c r="B219" t="s">
        <v>74</v>
      </c>
      <c r="C219" t="s">
        <v>12</v>
      </c>
      <c r="D219" s="10">
        <v>66.8</v>
      </c>
      <c r="E219" s="1">
        <v>45682</v>
      </c>
      <c r="F219" s="6" t="s">
        <v>13</v>
      </c>
      <c r="G219" s="11">
        <v>75</v>
      </c>
      <c r="H219" s="11">
        <v>3</v>
      </c>
      <c r="I219" t="str">
        <f t="shared" si="10"/>
        <v>enero</v>
      </c>
      <c r="J219" t="str">
        <f t="shared" si="11"/>
        <v>sábado</v>
      </c>
    </row>
    <row r="220" spans="1:10" hidden="1" outlineLevel="2" x14ac:dyDescent="0.3">
      <c r="A220" s="3">
        <v>89</v>
      </c>
      <c r="B220" t="s">
        <v>38</v>
      </c>
      <c r="C220" t="s">
        <v>12</v>
      </c>
      <c r="D220" s="10">
        <v>81.7</v>
      </c>
      <c r="E220" s="1">
        <v>45660</v>
      </c>
      <c r="F220" s="6" t="s">
        <v>20</v>
      </c>
      <c r="G220" s="11">
        <v>90</v>
      </c>
      <c r="H220" s="11">
        <v>2</v>
      </c>
      <c r="I220" t="str">
        <f t="shared" si="10"/>
        <v>enero</v>
      </c>
      <c r="J220" t="str">
        <f t="shared" si="11"/>
        <v>viernes</v>
      </c>
    </row>
    <row r="221" spans="1:10" hidden="1" outlineLevel="2" x14ac:dyDescent="0.3">
      <c r="A221" s="3">
        <v>466</v>
      </c>
      <c r="B221" t="s">
        <v>132</v>
      </c>
      <c r="C221" t="s">
        <v>12</v>
      </c>
      <c r="D221" s="10">
        <v>53.7</v>
      </c>
      <c r="E221" s="1">
        <v>45712</v>
      </c>
      <c r="F221" s="6" t="s">
        <v>13</v>
      </c>
      <c r="G221" s="11">
        <v>96</v>
      </c>
      <c r="H221" s="11">
        <v>1</v>
      </c>
      <c r="I221" t="str">
        <f t="shared" si="10"/>
        <v>febrero</v>
      </c>
      <c r="J221" t="str">
        <f t="shared" si="11"/>
        <v>lunes</v>
      </c>
    </row>
    <row r="222" spans="1:10" hidden="1" outlineLevel="2" x14ac:dyDescent="0.3">
      <c r="A222" s="3">
        <v>621</v>
      </c>
      <c r="B222" t="s">
        <v>169</v>
      </c>
      <c r="C222" t="s">
        <v>12</v>
      </c>
      <c r="D222" s="10">
        <v>67</v>
      </c>
      <c r="E222" s="1">
        <v>45698</v>
      </c>
      <c r="F222" s="6" t="s">
        <v>20</v>
      </c>
      <c r="G222" s="11">
        <v>0</v>
      </c>
      <c r="H222" s="11">
        <v>2</v>
      </c>
      <c r="I222" t="str">
        <f t="shared" si="10"/>
        <v>febrero</v>
      </c>
      <c r="J222" t="str">
        <f t="shared" si="11"/>
        <v>lunes</v>
      </c>
    </row>
    <row r="223" spans="1:10" hidden="1" outlineLevel="2" x14ac:dyDescent="0.3">
      <c r="A223" s="3">
        <v>925</v>
      </c>
      <c r="B223" t="s">
        <v>240</v>
      </c>
      <c r="C223" t="s">
        <v>12</v>
      </c>
      <c r="D223" s="10">
        <v>75</v>
      </c>
      <c r="E223" s="1">
        <v>45698</v>
      </c>
      <c r="F223" s="6" t="s">
        <v>20</v>
      </c>
      <c r="G223" s="11">
        <v>38</v>
      </c>
      <c r="H223" s="11">
        <v>2</v>
      </c>
      <c r="I223" t="str">
        <f t="shared" si="10"/>
        <v>febrero</v>
      </c>
      <c r="J223" t="str">
        <f t="shared" si="11"/>
        <v>lunes</v>
      </c>
    </row>
    <row r="224" spans="1:10" hidden="1" outlineLevel="2" x14ac:dyDescent="0.3">
      <c r="A224" s="3">
        <v>354</v>
      </c>
      <c r="B224" t="s">
        <v>106</v>
      </c>
      <c r="C224" t="s">
        <v>12</v>
      </c>
      <c r="D224" s="10">
        <v>69.7</v>
      </c>
      <c r="E224" s="1">
        <v>45706</v>
      </c>
      <c r="F224" s="6" t="s">
        <v>13</v>
      </c>
      <c r="G224" s="11">
        <v>70</v>
      </c>
      <c r="H224" s="11">
        <v>3</v>
      </c>
      <c r="I224" t="str">
        <f t="shared" si="10"/>
        <v>febrero</v>
      </c>
      <c r="J224" t="str">
        <f t="shared" si="11"/>
        <v>martes</v>
      </c>
    </row>
    <row r="225" spans="1:10" hidden="1" outlineLevel="2" x14ac:dyDescent="0.3">
      <c r="A225" s="3">
        <v>469</v>
      </c>
      <c r="B225" t="s">
        <v>133</v>
      </c>
      <c r="C225" t="s">
        <v>12</v>
      </c>
      <c r="D225" s="10">
        <v>72.2</v>
      </c>
      <c r="E225" s="1">
        <v>45700</v>
      </c>
      <c r="F225" s="6" t="s">
        <v>20</v>
      </c>
      <c r="G225" s="11">
        <v>62</v>
      </c>
      <c r="H225" s="11">
        <v>1</v>
      </c>
      <c r="I225" t="str">
        <f t="shared" si="10"/>
        <v>febrero</v>
      </c>
      <c r="J225" t="str">
        <f t="shared" si="11"/>
        <v>miércoles</v>
      </c>
    </row>
    <row r="226" spans="1:10" hidden="1" outlineLevel="2" x14ac:dyDescent="0.3">
      <c r="A226" s="3">
        <v>920</v>
      </c>
      <c r="B226" t="s">
        <v>239</v>
      </c>
      <c r="C226" t="s">
        <v>12</v>
      </c>
      <c r="D226" s="10">
        <v>97.4</v>
      </c>
      <c r="E226" s="1">
        <v>45689</v>
      </c>
      <c r="F226" s="6" t="s">
        <v>13</v>
      </c>
      <c r="G226" s="11">
        <v>63</v>
      </c>
      <c r="H226" s="11">
        <v>1</v>
      </c>
      <c r="I226" t="str">
        <f t="shared" si="10"/>
        <v>febrero</v>
      </c>
      <c r="J226" t="str">
        <f t="shared" si="11"/>
        <v>sábado</v>
      </c>
    </row>
    <row r="227" spans="1:10" hidden="1" outlineLevel="2" x14ac:dyDescent="0.3">
      <c r="A227" s="3">
        <v>213</v>
      </c>
      <c r="B227" t="s">
        <v>66</v>
      </c>
      <c r="C227" t="s">
        <v>12</v>
      </c>
      <c r="D227" s="10">
        <v>91.4</v>
      </c>
      <c r="E227" s="1">
        <v>45702</v>
      </c>
      <c r="F227" s="6" t="s">
        <v>20</v>
      </c>
      <c r="G227" s="11">
        <v>60</v>
      </c>
      <c r="H227" s="11">
        <v>3</v>
      </c>
      <c r="I227" t="str">
        <f t="shared" si="10"/>
        <v>febrero</v>
      </c>
      <c r="J227" t="str">
        <f t="shared" si="11"/>
        <v>viernes</v>
      </c>
    </row>
    <row r="228" spans="1:10" hidden="1" outlineLevel="2" x14ac:dyDescent="0.3">
      <c r="A228" s="3">
        <v>750</v>
      </c>
      <c r="B228" t="s">
        <v>194</v>
      </c>
      <c r="C228" t="s">
        <v>12</v>
      </c>
      <c r="D228" s="10">
        <v>78.599999999999994</v>
      </c>
      <c r="E228" s="1">
        <v>45853</v>
      </c>
      <c r="F228" s="6" t="s">
        <v>13</v>
      </c>
      <c r="G228" s="11">
        <v>2</v>
      </c>
      <c r="H228" s="11">
        <v>3</v>
      </c>
      <c r="I228" t="str">
        <f t="shared" si="10"/>
        <v>julio</v>
      </c>
      <c r="J228" t="str">
        <f t="shared" si="11"/>
        <v>martes</v>
      </c>
    </row>
    <row r="229" spans="1:10" hidden="1" outlineLevel="2" x14ac:dyDescent="0.3">
      <c r="A229" s="3">
        <v>372</v>
      </c>
      <c r="B229" t="s">
        <v>108</v>
      </c>
      <c r="C229" t="s">
        <v>12</v>
      </c>
      <c r="D229" s="10">
        <v>97.2</v>
      </c>
      <c r="E229" s="1">
        <v>45843</v>
      </c>
      <c r="F229" s="6" t="s">
        <v>20</v>
      </c>
      <c r="G229" s="11">
        <v>100</v>
      </c>
      <c r="H229" s="11">
        <v>1</v>
      </c>
      <c r="I229" t="str">
        <f t="shared" si="10"/>
        <v>julio</v>
      </c>
      <c r="J229" t="str">
        <f t="shared" si="11"/>
        <v>sábado</v>
      </c>
    </row>
    <row r="230" spans="1:10" hidden="1" outlineLevel="2" x14ac:dyDescent="0.3">
      <c r="A230" s="3">
        <v>520</v>
      </c>
      <c r="B230" t="s">
        <v>145</v>
      </c>
      <c r="C230" t="s">
        <v>12</v>
      </c>
      <c r="D230" s="10">
        <v>72.099999999999994</v>
      </c>
      <c r="E230" s="1">
        <v>45857</v>
      </c>
      <c r="F230" s="6" t="s">
        <v>20</v>
      </c>
      <c r="G230" s="11">
        <v>86</v>
      </c>
      <c r="H230" s="11">
        <v>3</v>
      </c>
      <c r="I230" t="str">
        <f t="shared" ref="I230:I254" si="12">TEXT(E230,"MMMM")</f>
        <v>julio</v>
      </c>
      <c r="J230" t="str">
        <f t="shared" ref="J230:J254" si="13">TEXT(E230,"DDDD")</f>
        <v>sábado</v>
      </c>
    </row>
    <row r="231" spans="1:10" hidden="1" outlineLevel="2" x14ac:dyDescent="0.3">
      <c r="A231" s="3">
        <v>647</v>
      </c>
      <c r="B231" t="s">
        <v>174</v>
      </c>
      <c r="C231" t="s">
        <v>12</v>
      </c>
      <c r="D231" s="10">
        <v>55.3</v>
      </c>
      <c r="E231" s="1">
        <v>45823</v>
      </c>
      <c r="F231" s="6" t="s">
        <v>13</v>
      </c>
      <c r="G231" s="11">
        <v>57</v>
      </c>
      <c r="H231" s="11">
        <v>2</v>
      </c>
      <c r="I231" t="str">
        <f t="shared" si="12"/>
        <v>junio</v>
      </c>
      <c r="J231" t="str">
        <f t="shared" si="13"/>
        <v>domingo</v>
      </c>
    </row>
    <row r="232" spans="1:10" hidden="1" outlineLevel="2" x14ac:dyDescent="0.3">
      <c r="A232" s="3">
        <v>786</v>
      </c>
      <c r="B232" t="s">
        <v>202</v>
      </c>
      <c r="C232" t="s">
        <v>12</v>
      </c>
      <c r="D232" s="10">
        <v>61.2</v>
      </c>
      <c r="E232" s="1">
        <v>45833</v>
      </c>
      <c r="F232" s="6" t="s">
        <v>20</v>
      </c>
      <c r="G232" s="11">
        <v>94</v>
      </c>
      <c r="H232" s="11">
        <v>3</v>
      </c>
      <c r="I232" t="str">
        <f t="shared" si="12"/>
        <v>junio</v>
      </c>
      <c r="J232" t="str">
        <f t="shared" si="13"/>
        <v>miércoles</v>
      </c>
    </row>
    <row r="233" spans="1:10" hidden="1" outlineLevel="2" x14ac:dyDescent="0.3">
      <c r="A233" s="3">
        <v>729</v>
      </c>
      <c r="B233" t="s">
        <v>190</v>
      </c>
      <c r="C233" t="s">
        <v>12</v>
      </c>
      <c r="D233" s="10">
        <v>77.7</v>
      </c>
      <c r="E233" s="1">
        <v>45829</v>
      </c>
      <c r="F233" s="6" t="s">
        <v>13</v>
      </c>
      <c r="G233" s="11">
        <v>51</v>
      </c>
      <c r="H233" s="11">
        <v>1</v>
      </c>
      <c r="I233" t="str">
        <f t="shared" si="12"/>
        <v>junio</v>
      </c>
      <c r="J233" t="str">
        <f t="shared" si="13"/>
        <v>sábado</v>
      </c>
    </row>
    <row r="234" spans="1:10" hidden="1" outlineLevel="2" x14ac:dyDescent="0.3">
      <c r="A234" s="3">
        <v>100</v>
      </c>
      <c r="B234" t="s">
        <v>41</v>
      </c>
      <c r="C234" t="s">
        <v>12</v>
      </c>
      <c r="D234" s="10">
        <v>70.3</v>
      </c>
      <c r="E234" s="1">
        <v>45835</v>
      </c>
      <c r="F234" s="6" t="s">
        <v>20</v>
      </c>
      <c r="G234" s="11">
        <v>55</v>
      </c>
      <c r="H234" s="11">
        <v>1</v>
      </c>
      <c r="I234" t="str">
        <f t="shared" si="12"/>
        <v>junio</v>
      </c>
      <c r="J234" t="str">
        <f t="shared" si="13"/>
        <v>viernes</v>
      </c>
    </row>
    <row r="235" spans="1:10" hidden="1" outlineLevel="2" x14ac:dyDescent="0.3">
      <c r="A235" s="3">
        <v>954</v>
      </c>
      <c r="B235" t="s">
        <v>247</v>
      </c>
      <c r="C235" t="s">
        <v>12</v>
      </c>
      <c r="D235" s="10">
        <v>62.4</v>
      </c>
      <c r="E235" s="1">
        <v>45835</v>
      </c>
      <c r="F235" s="6" t="s">
        <v>13</v>
      </c>
      <c r="G235" s="11">
        <v>70</v>
      </c>
      <c r="H235" s="11">
        <v>1</v>
      </c>
      <c r="I235" t="str">
        <f t="shared" si="12"/>
        <v>junio</v>
      </c>
      <c r="J235" t="str">
        <f t="shared" si="13"/>
        <v>viernes</v>
      </c>
    </row>
    <row r="236" spans="1:10" hidden="1" outlineLevel="2" x14ac:dyDescent="0.3">
      <c r="A236" s="3">
        <v>23</v>
      </c>
      <c r="B236" t="s">
        <v>17</v>
      </c>
      <c r="C236" t="s">
        <v>12</v>
      </c>
      <c r="D236" s="10">
        <v>85.3</v>
      </c>
      <c r="E236" s="1">
        <v>45739</v>
      </c>
      <c r="F236" s="6" t="s">
        <v>13</v>
      </c>
      <c r="G236" s="11">
        <v>100</v>
      </c>
      <c r="H236" s="11">
        <v>1</v>
      </c>
      <c r="I236" t="str">
        <f t="shared" si="12"/>
        <v>marzo</v>
      </c>
      <c r="J236" t="str">
        <f t="shared" si="13"/>
        <v>domingo</v>
      </c>
    </row>
    <row r="237" spans="1:10" hidden="1" outlineLevel="2" x14ac:dyDescent="0.3">
      <c r="A237" s="3">
        <v>815</v>
      </c>
      <c r="B237" t="s">
        <v>209</v>
      </c>
      <c r="C237" t="s">
        <v>12</v>
      </c>
      <c r="D237" s="10">
        <v>52.3</v>
      </c>
      <c r="E237" s="1">
        <v>45718</v>
      </c>
      <c r="F237" s="6" t="s">
        <v>13</v>
      </c>
      <c r="G237" s="11">
        <v>55</v>
      </c>
      <c r="H237" s="11">
        <v>2</v>
      </c>
      <c r="I237" t="str">
        <f t="shared" si="12"/>
        <v>marzo</v>
      </c>
      <c r="J237" t="str">
        <f t="shared" si="13"/>
        <v>domingo</v>
      </c>
    </row>
    <row r="238" spans="1:10" hidden="1" outlineLevel="2" x14ac:dyDescent="0.3">
      <c r="A238" s="3">
        <v>620</v>
      </c>
      <c r="B238" t="s">
        <v>168</v>
      </c>
      <c r="C238" t="s">
        <v>12</v>
      </c>
      <c r="D238" s="10">
        <v>94.8</v>
      </c>
      <c r="E238" s="1">
        <v>45802</v>
      </c>
      <c r="F238" s="6" t="s">
        <v>20</v>
      </c>
      <c r="G238" s="11">
        <v>2</v>
      </c>
      <c r="H238" s="11">
        <v>3</v>
      </c>
      <c r="I238" t="str">
        <f t="shared" si="12"/>
        <v>mayo</v>
      </c>
      <c r="J238" t="str">
        <f t="shared" si="13"/>
        <v>domingo</v>
      </c>
    </row>
    <row r="239" spans="1:10" hidden="1" outlineLevel="2" x14ac:dyDescent="0.3">
      <c r="A239" s="3">
        <v>983</v>
      </c>
      <c r="B239" t="s">
        <v>250</v>
      </c>
      <c r="C239" t="s">
        <v>12</v>
      </c>
      <c r="D239" s="10">
        <v>65.900000000000006</v>
      </c>
      <c r="E239" s="1">
        <v>45788</v>
      </c>
      <c r="F239" s="6" t="s">
        <v>13</v>
      </c>
      <c r="G239" s="11">
        <v>27</v>
      </c>
      <c r="H239" s="11">
        <v>2</v>
      </c>
      <c r="I239" t="str">
        <f t="shared" si="12"/>
        <v>mayo</v>
      </c>
      <c r="J239" t="str">
        <f t="shared" si="13"/>
        <v>domingo</v>
      </c>
    </row>
    <row r="240" spans="1:10" hidden="1" outlineLevel="2" x14ac:dyDescent="0.3">
      <c r="A240" s="3">
        <v>794</v>
      </c>
      <c r="B240" t="s">
        <v>205</v>
      </c>
      <c r="C240" t="s">
        <v>12</v>
      </c>
      <c r="D240" s="10">
        <v>75.8</v>
      </c>
      <c r="E240" s="1">
        <v>45799</v>
      </c>
      <c r="F240" s="6" t="s">
        <v>20</v>
      </c>
      <c r="G240" s="11">
        <v>97</v>
      </c>
      <c r="H240" s="11">
        <v>2</v>
      </c>
      <c r="I240" t="str">
        <f t="shared" si="12"/>
        <v>mayo</v>
      </c>
      <c r="J240" t="str">
        <f t="shared" si="13"/>
        <v>jueves</v>
      </c>
    </row>
    <row r="241" spans="1:10" hidden="1" outlineLevel="2" x14ac:dyDescent="0.3">
      <c r="A241" s="3">
        <v>6</v>
      </c>
      <c r="B241" t="s">
        <v>11</v>
      </c>
      <c r="C241" t="s">
        <v>12</v>
      </c>
      <c r="D241" s="10">
        <v>87.6</v>
      </c>
      <c r="E241" s="1">
        <v>45803</v>
      </c>
      <c r="F241" s="6" t="s">
        <v>13</v>
      </c>
      <c r="G241" s="11">
        <v>73</v>
      </c>
      <c r="H241" s="11">
        <v>1</v>
      </c>
      <c r="I241" t="str">
        <f t="shared" si="12"/>
        <v>mayo</v>
      </c>
      <c r="J241" t="str">
        <f t="shared" si="13"/>
        <v>lunes</v>
      </c>
    </row>
    <row r="242" spans="1:10" hidden="1" outlineLevel="2" x14ac:dyDescent="0.3">
      <c r="A242" s="3">
        <v>434</v>
      </c>
      <c r="B242" t="s">
        <v>124</v>
      </c>
      <c r="C242" t="s">
        <v>12</v>
      </c>
      <c r="D242" s="10">
        <v>70.400000000000006</v>
      </c>
      <c r="E242" s="1">
        <v>45805</v>
      </c>
      <c r="F242" s="6" t="s">
        <v>20</v>
      </c>
      <c r="G242" s="11">
        <v>72</v>
      </c>
      <c r="H242" s="11">
        <v>3</v>
      </c>
      <c r="I242" t="str">
        <f t="shared" si="12"/>
        <v>mayo</v>
      </c>
      <c r="J242" t="str">
        <f t="shared" si="13"/>
        <v>miércoles</v>
      </c>
    </row>
    <row r="243" spans="1:10" hidden="1" outlineLevel="2" x14ac:dyDescent="0.3">
      <c r="A243" s="3">
        <v>25</v>
      </c>
      <c r="B243" t="s">
        <v>18</v>
      </c>
      <c r="C243" t="s">
        <v>12</v>
      </c>
      <c r="D243" s="10">
        <v>83.5</v>
      </c>
      <c r="E243" s="1">
        <v>45963</v>
      </c>
      <c r="F243" s="6" t="s">
        <v>13</v>
      </c>
      <c r="G243" s="11">
        <v>26</v>
      </c>
      <c r="H243" s="11">
        <v>3</v>
      </c>
      <c r="I243" t="str">
        <f t="shared" si="12"/>
        <v>noviembre</v>
      </c>
      <c r="J243" t="str">
        <f t="shared" si="13"/>
        <v>domingo</v>
      </c>
    </row>
    <row r="244" spans="1:10" hidden="1" outlineLevel="2" x14ac:dyDescent="0.3">
      <c r="A244" s="3">
        <v>582</v>
      </c>
      <c r="B244" t="s">
        <v>162</v>
      </c>
      <c r="C244" t="s">
        <v>12</v>
      </c>
      <c r="D244" s="10">
        <v>52</v>
      </c>
      <c r="E244" s="1">
        <v>45973</v>
      </c>
      <c r="F244" s="6" t="s">
        <v>13</v>
      </c>
      <c r="G244" s="11">
        <v>73</v>
      </c>
      <c r="H244" s="11">
        <v>2</v>
      </c>
      <c r="I244" t="str">
        <f t="shared" si="12"/>
        <v>noviembre</v>
      </c>
      <c r="J244" t="str">
        <f t="shared" si="13"/>
        <v>miércoles</v>
      </c>
    </row>
    <row r="245" spans="1:10" hidden="1" outlineLevel="2" x14ac:dyDescent="0.3">
      <c r="A245" s="3">
        <v>208</v>
      </c>
      <c r="B245" t="s">
        <v>65</v>
      </c>
      <c r="C245" t="s">
        <v>12</v>
      </c>
      <c r="D245" s="10">
        <v>89.9</v>
      </c>
      <c r="E245" s="1">
        <v>45983</v>
      </c>
      <c r="F245" s="6" t="s">
        <v>13</v>
      </c>
      <c r="G245" s="11">
        <v>22</v>
      </c>
      <c r="H245" s="11">
        <v>3</v>
      </c>
      <c r="I245" t="str">
        <f t="shared" si="12"/>
        <v>noviembre</v>
      </c>
      <c r="J245" t="str">
        <f t="shared" si="13"/>
        <v>sábado</v>
      </c>
    </row>
    <row r="246" spans="1:10" hidden="1" outlineLevel="2" x14ac:dyDescent="0.3">
      <c r="A246" s="3">
        <v>903</v>
      </c>
      <c r="B246" t="s">
        <v>234</v>
      </c>
      <c r="C246" t="s">
        <v>12</v>
      </c>
      <c r="D246" s="10">
        <v>89.8</v>
      </c>
      <c r="E246" s="1">
        <v>45962</v>
      </c>
      <c r="F246" s="6" t="s">
        <v>13</v>
      </c>
      <c r="G246" s="11">
        <v>71</v>
      </c>
      <c r="H246" s="11">
        <v>1</v>
      </c>
      <c r="I246" t="str">
        <f t="shared" si="12"/>
        <v>noviembre</v>
      </c>
      <c r="J246" t="str">
        <f t="shared" si="13"/>
        <v>sábado</v>
      </c>
    </row>
    <row r="247" spans="1:10" hidden="1" outlineLevel="2" x14ac:dyDescent="0.3">
      <c r="A247" s="3">
        <v>420</v>
      </c>
      <c r="B247" t="s">
        <v>121</v>
      </c>
      <c r="C247" t="s">
        <v>12</v>
      </c>
      <c r="D247" s="10">
        <v>52.4</v>
      </c>
      <c r="E247" s="1">
        <v>45951</v>
      </c>
      <c r="F247" s="6" t="s">
        <v>20</v>
      </c>
      <c r="G247" s="11">
        <v>24</v>
      </c>
      <c r="H247" s="11">
        <v>3</v>
      </c>
      <c r="I247" t="str">
        <f t="shared" si="12"/>
        <v>octubre</v>
      </c>
      <c r="J247" t="str">
        <f t="shared" si="13"/>
        <v>martes</v>
      </c>
    </row>
    <row r="248" spans="1:10" hidden="1" outlineLevel="2" x14ac:dyDescent="0.3">
      <c r="A248" s="3">
        <v>494</v>
      </c>
      <c r="B248" t="s">
        <v>139</v>
      </c>
      <c r="C248" t="s">
        <v>12</v>
      </c>
      <c r="D248" s="10">
        <v>67.5</v>
      </c>
      <c r="E248" s="1">
        <v>45944</v>
      </c>
      <c r="F248" s="6" t="s">
        <v>13</v>
      </c>
      <c r="G248" s="11">
        <v>90</v>
      </c>
      <c r="H248" s="11">
        <v>3</v>
      </c>
      <c r="I248" t="str">
        <f t="shared" si="12"/>
        <v>octubre</v>
      </c>
      <c r="J248" t="str">
        <f t="shared" si="13"/>
        <v>martes</v>
      </c>
    </row>
    <row r="249" spans="1:10" hidden="1" outlineLevel="2" x14ac:dyDescent="0.3">
      <c r="A249" s="3">
        <v>537</v>
      </c>
      <c r="B249" t="s">
        <v>152</v>
      </c>
      <c r="C249" t="s">
        <v>12</v>
      </c>
      <c r="D249" s="10">
        <v>99.2</v>
      </c>
      <c r="E249" s="1">
        <v>45952</v>
      </c>
      <c r="F249" s="6" t="s">
        <v>13</v>
      </c>
      <c r="G249" s="11">
        <v>60</v>
      </c>
      <c r="H249" s="11">
        <v>3</v>
      </c>
      <c r="I249" t="str">
        <f t="shared" si="12"/>
        <v>octubre</v>
      </c>
      <c r="J249" t="str">
        <f t="shared" si="13"/>
        <v>miércoles</v>
      </c>
    </row>
    <row r="250" spans="1:10" hidden="1" outlineLevel="2" x14ac:dyDescent="0.3">
      <c r="A250" s="3">
        <v>542</v>
      </c>
      <c r="B250" t="s">
        <v>154</v>
      </c>
      <c r="C250" t="s">
        <v>12</v>
      </c>
      <c r="D250" s="10">
        <v>82.4</v>
      </c>
      <c r="E250" s="1">
        <v>45945</v>
      </c>
      <c r="F250" s="6" t="s">
        <v>13</v>
      </c>
      <c r="G250" s="11">
        <v>77</v>
      </c>
      <c r="H250" s="11">
        <v>2</v>
      </c>
      <c r="I250" t="str">
        <f t="shared" si="12"/>
        <v>octubre</v>
      </c>
      <c r="J250" t="str">
        <f t="shared" si="13"/>
        <v>miércoles</v>
      </c>
    </row>
    <row r="251" spans="1:10" hidden="1" outlineLevel="2" x14ac:dyDescent="0.3">
      <c r="A251" s="3">
        <v>639</v>
      </c>
      <c r="B251" t="s">
        <v>172</v>
      </c>
      <c r="C251" t="s">
        <v>12</v>
      </c>
      <c r="D251" s="10">
        <v>72.900000000000006</v>
      </c>
      <c r="E251" s="1">
        <v>45938</v>
      </c>
      <c r="F251" s="6" t="s">
        <v>13</v>
      </c>
      <c r="G251" s="11">
        <v>76</v>
      </c>
      <c r="H251" s="11">
        <v>2</v>
      </c>
      <c r="I251" t="str">
        <f t="shared" si="12"/>
        <v>octubre</v>
      </c>
      <c r="J251" t="str">
        <f t="shared" si="13"/>
        <v>miércoles</v>
      </c>
    </row>
    <row r="252" spans="1:10" hidden="1" outlineLevel="2" x14ac:dyDescent="0.3">
      <c r="A252" s="3">
        <v>86</v>
      </c>
      <c r="B252" t="s">
        <v>36</v>
      </c>
      <c r="C252" t="s">
        <v>12</v>
      </c>
      <c r="D252" s="10">
        <v>52.4</v>
      </c>
      <c r="E252" s="1">
        <v>45955</v>
      </c>
      <c r="F252" s="6" t="s">
        <v>13</v>
      </c>
      <c r="G252" s="11">
        <v>68</v>
      </c>
      <c r="H252" s="11">
        <v>3</v>
      </c>
      <c r="I252" t="str">
        <f t="shared" si="12"/>
        <v>octubre</v>
      </c>
      <c r="J252" t="str">
        <f t="shared" si="13"/>
        <v>sábado</v>
      </c>
    </row>
    <row r="253" spans="1:10" hidden="1" outlineLevel="2" x14ac:dyDescent="0.3">
      <c r="A253" s="3">
        <v>746</v>
      </c>
      <c r="B253" t="s">
        <v>193</v>
      </c>
      <c r="C253" t="s">
        <v>12</v>
      </c>
      <c r="D253" s="10">
        <v>83.8</v>
      </c>
      <c r="E253" s="1">
        <v>45954</v>
      </c>
      <c r="F253" s="6" t="s">
        <v>20</v>
      </c>
      <c r="G253" s="11">
        <v>71</v>
      </c>
      <c r="H253" s="11">
        <v>3</v>
      </c>
      <c r="I253" t="str">
        <f t="shared" si="12"/>
        <v>octubre</v>
      </c>
      <c r="J253" t="str">
        <f t="shared" si="13"/>
        <v>viernes</v>
      </c>
    </row>
    <row r="254" spans="1:10" hidden="1" outlineLevel="2" x14ac:dyDescent="0.3">
      <c r="A254" s="3">
        <v>480</v>
      </c>
      <c r="B254" t="s">
        <v>134</v>
      </c>
      <c r="C254" t="s">
        <v>12</v>
      </c>
      <c r="D254" s="10">
        <v>98.8</v>
      </c>
      <c r="E254" s="1">
        <v>45920</v>
      </c>
      <c r="F254" s="6" t="s">
        <v>20</v>
      </c>
      <c r="G254" s="11">
        <v>25</v>
      </c>
      <c r="H254" s="11">
        <v>1</v>
      </c>
      <c r="I254" t="str">
        <f t="shared" si="12"/>
        <v>septiembre</v>
      </c>
      <c r="J254" t="str">
        <f t="shared" si="13"/>
        <v>sábado</v>
      </c>
    </row>
    <row r="255" spans="1:10" outlineLevel="1" collapsed="1" x14ac:dyDescent="0.3">
      <c r="A255" s="3"/>
      <c r="C255" s="13" t="s">
        <v>273</v>
      </c>
      <c r="D255" s="10">
        <f>SUBTOTAL(1,D198:D254)</f>
        <v>76.131578947368439</v>
      </c>
    </row>
    <row r="256" spans="1:10" x14ac:dyDescent="0.3">
      <c r="A256" s="3"/>
      <c r="C256" s="13" t="s">
        <v>255</v>
      </c>
      <c r="D256" s="10">
        <f>SUBTOTAL(1,D2:D254)</f>
        <v>75.96987951807229</v>
      </c>
    </row>
  </sheetData>
  <autoFilter ref="A1:J254" xr:uid="{34935F05-F8D0-4A3C-BE3C-E679B411A071}">
    <sortState xmlns:xlrd2="http://schemas.microsoft.com/office/spreadsheetml/2017/richdata2" ref="A2:J254">
      <sortCondition ref="C1:C254"/>
    </sortState>
  </autoFilter>
  <sortState xmlns:xlrd2="http://schemas.microsoft.com/office/spreadsheetml/2017/richdata2" ref="A2:J254">
    <sortCondition ref="J1:J25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1186-E451-4F8C-8DF4-ECCEFF83E262}">
  <dimension ref="B2:H9"/>
  <sheetViews>
    <sheetView tabSelected="1" workbookViewId="0">
      <selection activeCell="L7" sqref="L7"/>
    </sheetView>
  </sheetViews>
  <sheetFormatPr baseColWidth="10" defaultRowHeight="14.4" x14ac:dyDescent="0.3"/>
  <cols>
    <col min="2" max="2" width="13.6640625" customWidth="1"/>
    <col min="4" max="4" width="14.5546875" customWidth="1"/>
  </cols>
  <sheetData>
    <row r="2" spans="2:8" x14ac:dyDescent="0.3">
      <c r="B2" s="30" t="s">
        <v>280</v>
      </c>
      <c r="C2" s="3"/>
      <c r="D2" s="30" t="s">
        <v>281</v>
      </c>
      <c r="E2" s="3"/>
      <c r="F2" s="30" t="s">
        <v>282</v>
      </c>
      <c r="G2" s="3"/>
      <c r="H2" s="30" t="s">
        <v>283</v>
      </c>
    </row>
    <row r="3" spans="2:8" x14ac:dyDescent="0.3">
      <c r="B3" s="16" t="s">
        <v>297</v>
      </c>
      <c r="D3" s="17"/>
      <c r="F3" s="17"/>
      <c r="H3" s="17" t="s">
        <v>300</v>
      </c>
    </row>
    <row r="4" spans="2:8" x14ac:dyDescent="0.3">
      <c r="B4" s="16"/>
      <c r="D4" s="19">
        <v>46185</v>
      </c>
      <c r="F4" s="17">
        <v>34</v>
      </c>
      <c r="H4" s="17" t="s">
        <v>301</v>
      </c>
    </row>
    <row r="5" spans="2:8" x14ac:dyDescent="0.3">
      <c r="B5" s="16" t="s">
        <v>298</v>
      </c>
      <c r="D5" s="19">
        <v>46198</v>
      </c>
      <c r="F5" s="17"/>
      <c r="H5" s="17"/>
    </row>
    <row r="6" spans="2:8" x14ac:dyDescent="0.3">
      <c r="B6" s="16" t="s">
        <v>297</v>
      </c>
      <c r="D6" s="17"/>
      <c r="F6" s="17">
        <v>18</v>
      </c>
      <c r="H6" s="17"/>
    </row>
    <row r="7" spans="2:8" x14ac:dyDescent="0.3">
      <c r="B7" s="16"/>
      <c r="D7" s="17"/>
      <c r="F7" s="17">
        <v>20</v>
      </c>
      <c r="H7" s="17"/>
    </row>
    <row r="8" spans="2:8" x14ac:dyDescent="0.3">
      <c r="B8" s="16" t="s">
        <v>299</v>
      </c>
      <c r="D8" s="17"/>
      <c r="F8" s="17"/>
      <c r="H8" s="17"/>
    </row>
    <row r="9" spans="2:8" x14ac:dyDescent="0.3">
      <c r="B9" s="16"/>
      <c r="D9" s="17"/>
      <c r="F9" s="17"/>
      <c r="H9" s="17"/>
    </row>
  </sheetData>
  <dataValidations count="4">
    <dataValidation type="list" allowBlank="1" showInputMessage="1" showErrorMessage="1" errorTitle="Error en ciudad" error="Usted intenta ingresar un valor que no esta permitido.Debe escoger uno de la lista." promptTitle="Ingrese Ciudad" prompt="Sólo puede escoger una ciudad de la lista" sqref="B3:B9" xr:uid="{78295B5D-5D7B-44C7-9E61-B92694174AB7}">
      <formula1>"Cali,Bucaramanga,Pasto"</formula1>
    </dataValidation>
    <dataValidation type="date" allowBlank="1" showInputMessage="1" showErrorMessage="1" errorTitle="Error en Fecha" error="Usted estada ingresando una fecha no permitida. Porfavor escoja una del mes de junio." promptTitle="Ingrese Fecha" prompt="Solo puede escoger una fecha del mes de Junio" sqref="D3:D9" xr:uid="{75F0C19B-B013-4F57-9ABD-EECD14EF412D}">
      <formula1>46174</formula1>
      <formula2>46203</formula2>
    </dataValidation>
    <dataValidation type="whole" operator="greaterThanOrEqual" allowBlank="1" showInputMessage="1" showErrorMessage="1" errorTitle="Error en Edad" error="Esta intenando ingresar una edad no permitida. Debe escoger una mayor o igual a 18." promptTitle="Ingrese la Edad" prompt="Solo puede escoger una edad mayor a 18" sqref="F3:F9" xr:uid="{28BD058B-FC2B-4F9E-B13A-F2E516935852}">
      <formula1>18</formula1>
    </dataValidation>
    <dataValidation type="custom" allowBlank="1" showInputMessage="1" showErrorMessage="1" errorTitle="Error en Código" error="Debe ingresar la palabra &quot;CET&quot;, antes del número" promptTitle="Ingrese un código" prompt="Porfavor ingresar un código con la palabra CET" sqref="H3:H9" xr:uid="{2273DAA0-F9F8-446A-BA0A-2ED9E92194FD}">
      <formula1>EXACT("CET",LEFT(H3,3))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59FC84F9EFD546922C507B8EF15DA0" ma:contentTypeVersion="16" ma:contentTypeDescription="Crear nuevo documento." ma:contentTypeScope="" ma:versionID="ad6b85bd48f317c14903285e13f19844">
  <xsd:schema xmlns:xsd="http://www.w3.org/2001/XMLSchema" xmlns:xs="http://www.w3.org/2001/XMLSchema" xmlns:p="http://schemas.microsoft.com/office/2006/metadata/properties" xmlns:ns2="277a6852-adcf-40cb-8631-74894d954a66" xmlns:ns3="f15c2c00-bd65-4534-9c28-299cad06bae7" targetNamespace="http://schemas.microsoft.com/office/2006/metadata/properties" ma:root="true" ma:fieldsID="ce4a255778be4a44cf08a508c58aa744" ns2:_="" ns3:_="">
    <xsd:import namespace="277a6852-adcf-40cb-8631-74894d954a66"/>
    <xsd:import namespace="f15c2c00-bd65-4534-9c28-299cad06ba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a6852-adcf-40cb-8631-74894d9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828073-d3d8-4d2b-8072-2029c8ea2567}" ma:internalName="TaxCatchAll" ma:showField="CatchAllData" ma:web="277a6852-adcf-40cb-8631-74894d954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2c00-bd65-4534-9c28-299cad06b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5f7197d-fdf9-4056-a817-646141ae8b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a6852-adcf-40cb-8631-74894d954a66" xsi:nil="true"/>
    <lcf76f155ced4ddcb4097134ff3c332f xmlns="f15c2c00-bd65-4534-9c28-299cad06ba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301916-E644-4F52-BF55-64D2F523FA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D7AC2-5683-4B31-A5EE-47B4F00814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a6852-adcf-40cb-8631-74894d954a66"/>
    <ds:schemaRef ds:uri="f15c2c00-bd65-4534-9c28-299cad06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ADFF72-6F6E-42A7-92A7-B3A4625F894B}">
  <ds:schemaRefs>
    <ds:schemaRef ds:uri="http://schemas.microsoft.com/office/2006/metadata/properties"/>
    <ds:schemaRef ds:uri="http://schemas.microsoft.com/office/infopath/2007/PartnerControls"/>
    <ds:schemaRef ds:uri="277a6852-adcf-40cb-8631-74894d954a66"/>
    <ds:schemaRef ds:uri="f15c2c00-bd65-4534-9c28-299cad06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FormatoCodicional</vt:lpstr>
      <vt:lpstr>Filtros</vt:lpstr>
      <vt:lpstr>CantIntentosMes</vt:lpstr>
      <vt:lpstr>PromAsistenciaProfesor</vt:lpstr>
      <vt:lpstr>PromNotasMateria</vt:lpstr>
      <vt:lpstr>Validación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Maria González</dc:creator>
  <cp:keywords/>
  <dc:description/>
  <cp:lastModifiedBy>Jheison Silva</cp:lastModifiedBy>
  <cp:revision/>
  <cp:lastPrinted>2026-06-29T19:57:37Z</cp:lastPrinted>
  <dcterms:created xsi:type="dcterms:W3CDTF">2025-12-03T22:59:55Z</dcterms:created>
  <dcterms:modified xsi:type="dcterms:W3CDTF">2026-07-01T16:10:18Z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0x0101008A59FC84F9EFD546922C507B8EF15DA0</vt:lpwstr>
  </property>
  <property fmtid="{D5CDD505-2E9C-101B-9397-08002B2CF9AE}" pid="3" name="Order">
    <vt:r8>8300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